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6c7759df3a6e5e3/Accounting/1. Global link/13. Data lam bao cao/"/>
    </mc:Choice>
  </mc:AlternateContent>
  <xr:revisionPtr revIDLastSave="646" documentId="8_{7E7DB2E3-3B76-4204-AF7C-C24679ACAF94}" xr6:coauthVersionLast="47" xr6:coauthVersionMax="47" xr10:uidLastSave="{A654F6CC-FF7D-4C2E-9683-62CF3198CA73}"/>
  <bookViews>
    <workbookView xWindow="-120" yWindow="-120" windowWidth="20730" windowHeight="11160" tabRatio="757" firstSheet="1" activeTab="1" xr2:uid="{BB36554D-CD9F-4398-83E9-6A988EC18F0B}"/>
  </bookViews>
  <sheets>
    <sheet name="Sales Report" sheetId="11" state="hidden" r:id="rId1"/>
    <sheet name="Sales by Vendor" sheetId="10" r:id="rId2"/>
    <sheet name="Inventory by Vendor" sheetId="5" r:id="rId3"/>
    <sheet name="Inventory by Season" sheetId="7" r:id="rId4"/>
    <sheet name="Associate RHN" sheetId="12" state="hidden" r:id="rId5"/>
    <sheet name="Sales TY" sheetId="3" state="hidden" r:id="rId6"/>
    <sheet name="Inventory TY" sheetId="2" state="hidden" r:id="rId7"/>
    <sheet name="Report date" sheetId="6" state="hidden" r:id="rId8"/>
    <sheet name="Associate Status" sheetId="13" state="hidden" r:id="rId9"/>
    <sheet name="Store lay bao  cao" sheetId="9" state="hidden" r:id="rId10"/>
  </sheets>
  <definedNames>
    <definedName name="_xlnm._FilterDatabase" localSheetId="8" hidden="1">'Associate Status'!$A$1:$C$33</definedName>
  </definedNames>
  <calcPr calcId="191029"/>
  <pivotCaches>
    <pivotCache cacheId="27" r:id="rId11"/>
    <pivotCache cacheId="3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92" i="3" l="1"/>
  <c r="AJ892" i="3"/>
  <c r="AI891" i="3"/>
  <c r="AJ891" i="3"/>
  <c r="AI890" i="3"/>
  <c r="AJ890" i="3"/>
  <c r="AI888" i="3"/>
  <c r="AI889" i="3"/>
  <c r="AJ888" i="3"/>
  <c r="AJ889" i="3"/>
  <c r="AI887" i="3"/>
  <c r="AJ887" i="3"/>
  <c r="AI885" i="3"/>
  <c r="AI886" i="3"/>
  <c r="AJ885" i="3"/>
  <c r="AJ886" i="3"/>
  <c r="AI882" i="3"/>
  <c r="AI883" i="3"/>
  <c r="AI884" i="3"/>
  <c r="AJ882" i="3"/>
  <c r="AJ883" i="3"/>
  <c r="AJ884" i="3"/>
  <c r="AI879" i="3"/>
  <c r="AI880" i="3"/>
  <c r="AI881" i="3"/>
  <c r="AJ879" i="3"/>
  <c r="AJ880" i="3"/>
  <c r="AJ881" i="3"/>
  <c r="AI876" i="3"/>
  <c r="AI877" i="3"/>
  <c r="AI878" i="3"/>
  <c r="AJ876" i="3"/>
  <c r="AJ877" i="3"/>
  <c r="AJ878" i="3"/>
  <c r="AI873" i="3"/>
  <c r="AI874" i="3"/>
  <c r="AI875" i="3"/>
  <c r="AJ873" i="3"/>
  <c r="AJ874" i="3"/>
  <c r="AJ875" i="3"/>
  <c r="AI872" i="3"/>
  <c r="AJ872" i="3"/>
  <c r="AI871" i="3"/>
  <c r="AJ871" i="3"/>
  <c r="AI870" i="3"/>
  <c r="AJ870" i="3"/>
  <c r="AI868" i="3"/>
  <c r="AI869" i="3"/>
  <c r="AJ868" i="3"/>
  <c r="AJ869" i="3"/>
  <c r="AI866" i="3"/>
  <c r="AI867" i="3"/>
  <c r="AJ866" i="3"/>
  <c r="AJ867" i="3"/>
  <c r="AI864" i="3"/>
  <c r="AI865" i="3"/>
  <c r="AJ864" i="3"/>
  <c r="AJ865" i="3"/>
  <c r="AI863" i="3"/>
  <c r="AJ863" i="3"/>
  <c r="AI861" i="3"/>
  <c r="AI862" i="3"/>
  <c r="AJ861" i="3"/>
  <c r="AJ862" i="3"/>
  <c r="AI859" i="3"/>
  <c r="AI860" i="3"/>
  <c r="AJ859" i="3"/>
  <c r="AJ860" i="3"/>
  <c r="AJ2" i="3" l="1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D1" i="12"/>
  <c r="D1" i="11"/>
  <c r="E1" i="10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C1" i="7"/>
  <c r="B1" i="5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</calcChain>
</file>

<file path=xl/sharedStrings.xml><?xml version="1.0" encoding="utf-8"?>
<sst xmlns="http://schemas.openxmlformats.org/spreadsheetml/2006/main" count="17331" uniqueCount="2701">
  <si>
    <t>Year</t>
  </si>
  <si>
    <t>Month</t>
  </si>
  <si>
    <t>Date</t>
  </si>
  <si>
    <t>Item #</t>
  </si>
  <si>
    <t>Vendor Name</t>
  </si>
  <si>
    <t>Dept Name</t>
  </si>
  <si>
    <t>Season</t>
  </si>
  <si>
    <t>Categories</t>
  </si>
  <si>
    <t>Landed Cost</t>
  </si>
  <si>
    <t>Store</t>
  </si>
  <si>
    <t>Inventory Qty</t>
  </si>
  <si>
    <t>WACC</t>
  </si>
  <si>
    <t>JEWELRY</t>
  </si>
  <si>
    <t>HQ</t>
  </si>
  <si>
    <t>WRTW</t>
  </si>
  <si>
    <t>RHN</t>
  </si>
  <si>
    <t>RWL</t>
  </si>
  <si>
    <t>RWR</t>
  </si>
  <si>
    <t>FW11</t>
  </si>
  <si>
    <t>ROSA MARIA</t>
  </si>
  <si>
    <t>SS12</t>
  </si>
  <si>
    <t>RWT</t>
  </si>
  <si>
    <t>LOA</t>
  </si>
  <si>
    <t>FW12</t>
  </si>
  <si>
    <t>ACC</t>
  </si>
  <si>
    <t>SS13</t>
  </si>
  <si>
    <t>FW13</t>
  </si>
  <si>
    <t>RHA</t>
  </si>
  <si>
    <t>RWD</t>
  </si>
  <si>
    <t>FW16</t>
  </si>
  <si>
    <t>SS17</t>
  </si>
  <si>
    <t>FW17</t>
  </si>
  <si>
    <t>Ted Muehling</t>
  </si>
  <si>
    <t>SS18</t>
  </si>
  <si>
    <t>EARRINGS</t>
  </si>
  <si>
    <t>Rosa Maria</t>
  </si>
  <si>
    <t>SS19</t>
  </si>
  <si>
    <t>NECKLACE</t>
  </si>
  <si>
    <t>PIN</t>
  </si>
  <si>
    <t>BROOCH</t>
  </si>
  <si>
    <t>TED MUEHLING</t>
  </si>
  <si>
    <t>GIF</t>
  </si>
  <si>
    <t>SS20</t>
  </si>
  <si>
    <t>RING</t>
  </si>
  <si>
    <t>NAK ARMSTRONG</t>
  </si>
  <si>
    <t>SS22</t>
  </si>
  <si>
    <t>CONFUORTO GIOIELLY ITALY</t>
  </si>
  <si>
    <t>GEODE</t>
  </si>
  <si>
    <t>GOLDEN CORALS</t>
  </si>
  <si>
    <t>PENDANT</t>
  </si>
  <si>
    <t>MARIAE LUISA</t>
  </si>
  <si>
    <t>FW22</t>
  </si>
  <si>
    <t>SS23</t>
  </si>
  <si>
    <t>BRACELET</t>
  </si>
  <si>
    <t>CO</t>
  </si>
  <si>
    <t>ARTUR SCHOLL</t>
  </si>
  <si>
    <t>BANGLE</t>
  </si>
  <si>
    <t>FW23</t>
  </si>
  <si>
    <t>NANIS</t>
  </si>
  <si>
    <t>SPINELLI KILCOLLIN</t>
  </si>
  <si>
    <t>SS24</t>
  </si>
  <si>
    <t>OTHER</t>
  </si>
  <si>
    <t>WJEW</t>
  </si>
  <si>
    <t>FW24</t>
  </si>
  <si>
    <t>GIORGIO VISCONTI</t>
  </si>
  <si>
    <t>VHERNIER</t>
  </si>
  <si>
    <t>SS25</t>
  </si>
  <si>
    <t>INTRAN</t>
  </si>
  <si>
    <t>RWP</t>
  </si>
  <si>
    <t>FW25</t>
  </si>
  <si>
    <t>BURATO</t>
  </si>
  <si>
    <t>SS26</t>
  </si>
  <si>
    <t>Week</t>
  </si>
  <si>
    <t>Seaseon1</t>
  </si>
  <si>
    <t>Cate</t>
  </si>
  <si>
    <t>Landed cost</t>
  </si>
  <si>
    <t>Base cost</t>
  </si>
  <si>
    <t>Item</t>
  </si>
  <si>
    <t>Store&amp;Bill</t>
  </si>
  <si>
    <t>Vendor</t>
  </si>
  <si>
    <t>Dept</t>
  </si>
  <si>
    <t>Bill</t>
  </si>
  <si>
    <t>Qty Sold</t>
  </si>
  <si>
    <t>Payment form</t>
  </si>
  <si>
    <t>Payment</t>
  </si>
  <si>
    <t>Revenue</t>
  </si>
  <si>
    <t>Discount %</t>
  </si>
  <si>
    <t>Discount (Ex VAT)</t>
  </si>
  <si>
    <t>Discount</t>
  </si>
  <si>
    <t>Cashier</t>
  </si>
  <si>
    <t>Description</t>
  </si>
  <si>
    <t>Full Name</t>
  </si>
  <si>
    <t>Item Name</t>
  </si>
  <si>
    <t>Hour</t>
  </si>
  <si>
    <t>Attribute</t>
  </si>
  <si>
    <t>Full Price</t>
  </si>
  <si>
    <t>Size</t>
  </si>
  <si>
    <t>Full Price(Ex VAT)</t>
  </si>
  <si>
    <t>Associate</t>
  </si>
  <si>
    <t>Phone Number</t>
  </si>
  <si>
    <t>Lợi nhuận gộp</t>
  </si>
  <si>
    <t>Credit Card</t>
  </si>
  <si>
    <t>Cash</t>
  </si>
  <si>
    <t>Tourist</t>
  </si>
  <si>
    <t>Ngoc_Nguyen</t>
  </si>
  <si>
    <t>Mr. Tung Duong</t>
  </si>
  <si>
    <t>CHINH_NGUYEN</t>
  </si>
  <si>
    <t>0904193172</t>
  </si>
  <si>
    <t>U</t>
  </si>
  <si>
    <t>HUE_BUI</t>
  </si>
  <si>
    <t>Split</t>
  </si>
  <si>
    <t>HUONG_NGUYEN</t>
  </si>
  <si>
    <t>HOA_TRAN</t>
  </si>
  <si>
    <t>NGHIA_NGUYEN</t>
  </si>
  <si>
    <t>DVF</t>
  </si>
  <si>
    <t>S</t>
  </si>
  <si>
    <t>NGOC_HUYNH</t>
  </si>
  <si>
    <t>SYSADMIN</t>
  </si>
  <si>
    <t>TNM</t>
  </si>
  <si>
    <t>TRANG_TRAN</t>
  </si>
  <si>
    <t>Minh_Nguyen</t>
  </si>
  <si>
    <t>MINH_NGUYEN</t>
  </si>
  <si>
    <t>Hang_Nguyen</t>
  </si>
  <si>
    <t>VUONG_VO</t>
  </si>
  <si>
    <t>Diem_Nguyen</t>
  </si>
  <si>
    <t>HUONG_NGUYENKIM</t>
  </si>
  <si>
    <t>TIEN_NGUYEN</t>
  </si>
  <si>
    <t>DIEM_NGUYEN</t>
  </si>
  <si>
    <t>L</t>
  </si>
  <si>
    <t>LINH_LUU</t>
  </si>
  <si>
    <t>Mrs. Nguyen Thi Mai Huong</t>
  </si>
  <si>
    <t>0908402668</t>
  </si>
  <si>
    <t>THAI_NGUYEN</t>
  </si>
  <si>
    <t>KHANG_HUA</t>
  </si>
  <si>
    <t>Phuong_Bui</t>
  </si>
  <si>
    <t>Huyen_Dang</t>
  </si>
  <si>
    <t>HUYEN_DANG</t>
  </si>
  <si>
    <t>BLACK</t>
  </si>
  <si>
    <t>LINH_PHAN</t>
  </si>
  <si>
    <t>TAM_NGUYEN</t>
  </si>
  <si>
    <t>Ha_Nguyen</t>
  </si>
  <si>
    <t>HUY_DUONG</t>
  </si>
  <si>
    <t>TAM_LE</t>
  </si>
  <si>
    <t>Debit Card</t>
  </si>
  <si>
    <t>Check</t>
  </si>
  <si>
    <t>MAI_NGUYEN</t>
  </si>
  <si>
    <t>Ms. Duong Thi Minh Chau</t>
  </si>
  <si>
    <t>HANH_PHAN</t>
  </si>
  <si>
    <t>Mrs. Vu Thi Kim Ngan</t>
  </si>
  <si>
    <t>0366665666</t>
  </si>
  <si>
    <t>Ms. Do Thi Kim Lien</t>
  </si>
  <si>
    <t>0936383838</t>
  </si>
  <si>
    <t>Ms. Dinh My Hanh</t>
  </si>
  <si>
    <t>0904043388</t>
  </si>
  <si>
    <t>SILVER/GREY</t>
  </si>
  <si>
    <t>Mrs. Nguyen Thi Thanh</t>
  </si>
  <si>
    <t>None</t>
  </si>
  <si>
    <t>Tam_Nguyen</t>
  </si>
  <si>
    <t>Mrs. Duong Minh Ha</t>
  </si>
  <si>
    <t>0903811856</t>
  </si>
  <si>
    <t>Chau_Vuong</t>
  </si>
  <si>
    <t>WHITE</t>
  </si>
  <si>
    <t>TRAM_LE</t>
  </si>
  <si>
    <t>Ms. Nguyen Thi Nhung</t>
  </si>
  <si>
    <t>0906797121</t>
  </si>
  <si>
    <t>Mrs. Le Thi Hoa</t>
  </si>
  <si>
    <t>0913221545</t>
  </si>
  <si>
    <t>Ms. Nguyen Thuy Hoa</t>
  </si>
  <si>
    <t>0979667071</t>
  </si>
  <si>
    <t>KIEU_NGUYEN</t>
  </si>
  <si>
    <t>CHAU_VUONG</t>
  </si>
  <si>
    <t>Mrs. Nguyen Thi Minh Hue</t>
  </si>
  <si>
    <t>0906159999</t>
  </si>
  <si>
    <t>GOLD</t>
  </si>
  <si>
    <t>Nguyen Thanh Van</t>
  </si>
  <si>
    <t>Account</t>
  </si>
  <si>
    <t>Ms. Huynh Hoa Thuy Tien</t>
  </si>
  <si>
    <t>0937068787</t>
  </si>
  <si>
    <t>Ms. Nguyen thu Cuc</t>
  </si>
  <si>
    <t>0913022326</t>
  </si>
  <si>
    <t>Ms. Dinh Thuy Quynh</t>
  </si>
  <si>
    <t>CHI_NGUYEN</t>
  </si>
  <si>
    <t>Thai_Nguyen</t>
  </si>
  <si>
    <t>Mrs. Pham Thanh Nga</t>
  </si>
  <si>
    <t>0912195999</t>
  </si>
  <si>
    <t>Mrs. Le Thu Ngan</t>
  </si>
  <si>
    <t>0983352011</t>
  </si>
  <si>
    <t>Mrs. Nguyen Hong Thao</t>
  </si>
  <si>
    <t>0937793338</t>
  </si>
  <si>
    <t>BLUE</t>
  </si>
  <si>
    <t>PINK</t>
  </si>
  <si>
    <t>Mrs. Nguyen Thi Anh Hien</t>
  </si>
  <si>
    <t>SILVER/BLACK</t>
  </si>
  <si>
    <t>0917181062</t>
  </si>
  <si>
    <t>RED</t>
  </si>
  <si>
    <t>Oanh_Do</t>
  </si>
  <si>
    <t>Ms. Duong thi Hong Hanh</t>
  </si>
  <si>
    <t>0942388869</t>
  </si>
  <si>
    <t>Mrs. Pham Thuy Nga</t>
  </si>
  <si>
    <t>0908545384</t>
  </si>
  <si>
    <t>Ms. Chu Linh Chi</t>
  </si>
  <si>
    <t>0913809310</t>
  </si>
  <si>
    <t>Mrs. Nguyen Thu Ha</t>
  </si>
  <si>
    <t>0932391868</t>
  </si>
  <si>
    <t>Ms. Pham Thi Cam Ly</t>
  </si>
  <si>
    <t>0913212299</t>
  </si>
  <si>
    <t>Mrs. Phan Lan Phuong</t>
  </si>
  <si>
    <t>0977317777</t>
  </si>
  <si>
    <t>Ms. Nguyen Thi Thu Hong</t>
  </si>
  <si>
    <t>Mrs. Huynh Thi Kim Hoa</t>
  </si>
  <si>
    <t>0903363131</t>
  </si>
  <si>
    <t>Mrs. Tran Thanh Ly</t>
  </si>
  <si>
    <t>0983861971</t>
  </si>
  <si>
    <t>RWR294</t>
  </si>
  <si>
    <t>SPK Sirius SG Single band of sterling silver with 18k yellow gold accents and micro-pavé black diamonds</t>
  </si>
  <si>
    <t>SG12-R-G4S2YGAPCG</t>
  </si>
  <si>
    <t>Mrs. Tran Thi Hoai Anh</t>
  </si>
  <si>
    <t>0908039899</t>
  </si>
  <si>
    <t>Mrs. Le Thi Van</t>
  </si>
  <si>
    <t>0903803780</t>
  </si>
  <si>
    <t>SILVER</t>
  </si>
  <si>
    <t>Mrs. Vo Nhu Ha</t>
  </si>
  <si>
    <t>0903789789</t>
  </si>
  <si>
    <t>0908087979</t>
  </si>
  <si>
    <t>GREEN</t>
  </si>
  <si>
    <t>Le Hoang Phuong</t>
  </si>
  <si>
    <t>RHN580</t>
  </si>
  <si>
    <t>RHN588</t>
  </si>
  <si>
    <t>Ms. To Thi Hanh</t>
  </si>
  <si>
    <t>0916671961</t>
  </si>
  <si>
    <t>Mrs. Do Thi Phuong Lien</t>
  </si>
  <si>
    <t>0913508352</t>
  </si>
  <si>
    <t>RHN644</t>
  </si>
  <si>
    <t>Mrs. Nguyen Duc Hanh</t>
  </si>
  <si>
    <t>0834336699</t>
  </si>
  <si>
    <t>RHN650</t>
  </si>
  <si>
    <t>0933138688</t>
  </si>
  <si>
    <t>RHN715</t>
  </si>
  <si>
    <t>RM SILVER RING-TOP SILVER TREATED FRAME SET WITH COGNAC DIAMONDS -MIDDLE BROWN RUTILATED QUARTZ</t>
  </si>
  <si>
    <t>JULIA (1) S-ST DIA (CO-BRN RUT.</t>
  </si>
  <si>
    <t>COGNAC/BROWN</t>
  </si>
  <si>
    <t>Ms. Pham Thanh Giang</t>
  </si>
  <si>
    <t>0912637666</t>
  </si>
  <si>
    <t>RHN687</t>
  </si>
  <si>
    <t>Mrs. Pham Hai Van</t>
  </si>
  <si>
    <t>0944659999</t>
  </si>
  <si>
    <t>RHN701</t>
  </si>
  <si>
    <t>Trinh Thi Ha</t>
  </si>
  <si>
    <t>0982235678</t>
  </si>
  <si>
    <t>Ms. Ngo Thuy Ha</t>
  </si>
  <si>
    <t>0904150888</t>
  </si>
  <si>
    <t>Ms. Le Thi Thuy Hanh</t>
  </si>
  <si>
    <t>0903288262</t>
  </si>
  <si>
    <t>NGOC_NGUYEN</t>
  </si>
  <si>
    <t>EMERALD</t>
  </si>
  <si>
    <t>TRANG_PHAM</t>
  </si>
  <si>
    <t>Cong ty Globallink</t>
  </si>
  <si>
    <t>GIF14</t>
  </si>
  <si>
    <t>SPK Libra SG 3 linked rings in silver with yellow gold connectors and micro-pave grey diamonds</t>
  </si>
  <si>
    <t>SG12-R-G3MXMMXGC</t>
  </si>
  <si>
    <t>YELLOW GOLD</t>
  </si>
  <si>
    <t>Mrs. Dinh Thanh Huong</t>
  </si>
  <si>
    <t>0903256655</t>
  </si>
  <si>
    <t>ROSE GOLD</t>
  </si>
  <si>
    <t>PHUONG_BUI</t>
  </si>
  <si>
    <t>Tran Thi Minh Vy</t>
  </si>
  <si>
    <t>0904399159</t>
  </si>
  <si>
    <t>Ms. Do Thanh Hien</t>
  </si>
  <si>
    <t>0908329582</t>
  </si>
  <si>
    <t>MULTI</t>
  </si>
  <si>
    <t>HOAI_TRAN</t>
  </si>
  <si>
    <t>Ms. Truong An Phuong</t>
  </si>
  <si>
    <t>0968267157</t>
  </si>
  <si>
    <t>DUC_PHAN</t>
  </si>
  <si>
    <t>Ms. Pham Thi Anh Tuyet</t>
  </si>
  <si>
    <t>0904005226</t>
  </si>
  <si>
    <t>Mrs. Le Thu Hien</t>
  </si>
  <si>
    <t>0985728769</t>
  </si>
  <si>
    <t>SON_NGUYENVAN</t>
  </si>
  <si>
    <t>0903322222</t>
  </si>
  <si>
    <t>Ms. To Mai Lien</t>
  </si>
  <si>
    <t>0936462242</t>
  </si>
  <si>
    <t>Le Ngoc Lien</t>
  </si>
  <si>
    <t>0916596868</t>
  </si>
  <si>
    <t>Mrs. Lu Bich Van</t>
  </si>
  <si>
    <t>0903733111</t>
  </si>
  <si>
    <t>HA_NGUYEN</t>
  </si>
  <si>
    <t>RWR441</t>
  </si>
  <si>
    <t>RM SILVER TREATED CHAIN+SILVER MEDAL -TOP SILVER TREATED FRAME SET WITH COGNAC DIAMONDS-MIDDLE BROWN RUTILATED QUARTZ</t>
  </si>
  <si>
    <t>PE 102G S-ST DIA (CO (2R)-BRN R</t>
  </si>
  <si>
    <t>0937009009</t>
  </si>
  <si>
    <t>Khuat Thi kim Huong</t>
  </si>
  <si>
    <t>0909310931</t>
  </si>
  <si>
    <t>Mrs. Duong Quynh Huong</t>
  </si>
  <si>
    <t>0937369369</t>
  </si>
  <si>
    <t>Ms. Nguyen Thi Hong Van</t>
  </si>
  <si>
    <t>0903914688</t>
  </si>
  <si>
    <t>Ms. Tran Lam Thai</t>
  </si>
  <si>
    <t>0907502222</t>
  </si>
  <si>
    <t>LANHUONG_NGUYEN</t>
  </si>
  <si>
    <t>0912808373</t>
  </si>
  <si>
    <t>BROWN</t>
  </si>
  <si>
    <t>Ms. Tran Thi Le Hai</t>
  </si>
  <si>
    <t>0913329999</t>
  </si>
  <si>
    <t>Ms. Cao Thi Thanh Yen</t>
  </si>
  <si>
    <t>0903333829</t>
  </si>
  <si>
    <t>Mr. Nguyen Hoang Tu</t>
  </si>
  <si>
    <t>0849818415</t>
  </si>
  <si>
    <t>Ms. Huynh Phuong Lan</t>
  </si>
  <si>
    <t>0908819797</t>
  </si>
  <si>
    <t>Mrs. Huynh Thi My Linh</t>
  </si>
  <si>
    <t>0987369197</t>
  </si>
  <si>
    <t>Mrs. Ngo Phuong Ly</t>
  </si>
  <si>
    <t>0943448888</t>
  </si>
  <si>
    <t>Mrs. Nguyen Thi Huyen</t>
  </si>
  <si>
    <t>0903689100</t>
  </si>
  <si>
    <t>Ms. Nguyen Thi Xuan Hong</t>
  </si>
  <si>
    <t>0908140263</t>
  </si>
  <si>
    <t>Ms. Nguyen Thanh Mai</t>
  </si>
  <si>
    <t>RHN1156</t>
  </si>
  <si>
    <t>Ms. Le Tra My</t>
  </si>
  <si>
    <t>0936888888</t>
  </si>
  <si>
    <t>0905237568</t>
  </si>
  <si>
    <t>RHN1210</t>
  </si>
  <si>
    <t>KHANH_NGUYEN</t>
  </si>
  <si>
    <t>0902825362</t>
  </si>
  <si>
    <t>DUYEN_NGO</t>
  </si>
  <si>
    <t>RHN1316</t>
  </si>
  <si>
    <t>RHN1330</t>
  </si>
  <si>
    <t>Nguyen Thi Minh Hue</t>
  </si>
  <si>
    <t>Le Thi Thanh Mai</t>
  </si>
  <si>
    <t>0971841966</t>
  </si>
  <si>
    <t>Truong Ngoc Hien Khanh</t>
  </si>
  <si>
    <t>0986545678</t>
  </si>
  <si>
    <t>RHN1352</t>
  </si>
  <si>
    <t>RM SILVER TWISTED BELL FLOWER RING-TOP SILVER-MIDDLE silver</t>
  </si>
  <si>
    <t>SAXO (4) S-S-S</t>
  </si>
  <si>
    <t>0917781299</t>
  </si>
  <si>
    <t>RHN1449</t>
  </si>
  <si>
    <t>RM SILVER SNAKE RING(Mat)</t>
  </si>
  <si>
    <t>PENN</t>
  </si>
  <si>
    <t>PEARL</t>
  </si>
  <si>
    <t>RHN1515</t>
  </si>
  <si>
    <t>RHN1576</t>
  </si>
  <si>
    <t>RM SILVER RING INTO 2:(1)TOP SILVER FLOWER-MIDDLE SILVER TOP SILVER TREATED PETALS + SILVER TREATED PISTILS SET WITH RUBIS -(1)SILVER TREATED HEAD SET WITH (1)COGNAC DIAMOND</t>
  </si>
  <si>
    <t>BOANKA S S ST S ST DIX (RU)-ST</t>
  </si>
  <si>
    <t>SILVER/RUBIS</t>
  </si>
  <si>
    <t>0904861412</t>
  </si>
  <si>
    <t>0904285588</t>
  </si>
  <si>
    <t>Dang Thanh Huyen</t>
  </si>
  <si>
    <t>SON_NGUYEN_KHO</t>
  </si>
  <si>
    <t>0938760988</t>
  </si>
  <si>
    <t>NHAM_LE</t>
  </si>
  <si>
    <t>Mrs. Pham Thi Huong</t>
  </si>
  <si>
    <t>0906328888</t>
  </si>
  <si>
    <t>RHN1759</t>
  </si>
  <si>
    <t>HANG_NGUYEN</t>
  </si>
  <si>
    <t>Mrs. Tran Thi Viet Anh</t>
  </si>
  <si>
    <t>0903451968</t>
  </si>
  <si>
    <t>BLUE TOPAZ</t>
  </si>
  <si>
    <t>Ms. Nguyen Thi Phuc</t>
  </si>
  <si>
    <t>0947669966</t>
  </si>
  <si>
    <t>0908138363</t>
  </si>
  <si>
    <t>Mrs. Nguyen Thi Do Quyen</t>
  </si>
  <si>
    <t>0902367888</t>
  </si>
  <si>
    <t>Mrs. Le Thi Phuong Thuy</t>
  </si>
  <si>
    <t>0903717557</t>
  </si>
  <si>
    <t>Mrs. Nguyen Thi Thao Nhi</t>
  </si>
  <si>
    <t>0908297658</t>
  </si>
  <si>
    <t>WHITE/PINK</t>
  </si>
  <si>
    <t>RWR1037</t>
  </si>
  <si>
    <t>RM SILVER DROP EARRINGS -TOP SILVER FRAME SET WITH ICY GREY DIAMONDS-MIDDLE SMOKY QUARTZ</t>
  </si>
  <si>
    <t>BO 113 (V)DIA (ICY GRIS-S.QTZ)</t>
  </si>
  <si>
    <t>SILVER/ICY G</t>
  </si>
  <si>
    <t>RM SILVER ROUND SNAKE BRACELET-TOP MEDAL FRAMED WITH ICY GREY DIAMONDS-MIDDLE SMOKY QUARTZ (Transparent)-QUEUE END SET WITH (1)RUBIS</t>
  </si>
  <si>
    <t>BR/TOVE(1)(V)DIA (ICY GRIS-S.QT</t>
  </si>
  <si>
    <t>PURPLE</t>
  </si>
  <si>
    <t>0982246268</t>
  </si>
  <si>
    <t>Ms. Le Thi Thanh Hai</t>
  </si>
  <si>
    <t>HUYNH_NGUYEN</t>
  </si>
  <si>
    <t>Huynh_Nguyen</t>
  </si>
  <si>
    <t>Nguyen Thi Bich Lien</t>
  </si>
  <si>
    <t>0919306262</t>
  </si>
  <si>
    <t>Nguyen Thi Le Ha</t>
  </si>
  <si>
    <t>0918496084</t>
  </si>
  <si>
    <t>RHN1999</t>
  </si>
  <si>
    <t>RHN2048</t>
  </si>
  <si>
    <t>Ms. Nguyen Le Binh</t>
  </si>
  <si>
    <t>0985277989</t>
  </si>
  <si>
    <t>0903266674</t>
  </si>
  <si>
    <t>Mrs. Bui Lan</t>
  </si>
  <si>
    <t>0903751574</t>
  </si>
  <si>
    <t>0903932021</t>
  </si>
  <si>
    <t>RHN2154</t>
  </si>
  <si>
    <t>RHN2159</t>
  </si>
  <si>
    <t>RM Silver ring-top (1 1/2mm)silver treated frame set with rubis-middle topaz</t>
  </si>
  <si>
    <t>JUNYA(V) S-ST C1 1/2 DIA(RU-TOP</t>
  </si>
  <si>
    <t>RM Silver ring-top silver treated frame set with icy grey diamonds-middle topaz(transparent)</t>
  </si>
  <si>
    <t>SHINE(V)S-STDIA (ICY GRIS-TOPAZ</t>
  </si>
  <si>
    <t>Silver/grey/topa</t>
  </si>
  <si>
    <t>BO 114 (V)DIA (ICY GRIS(2R)-S.Q</t>
  </si>
  <si>
    <t>RHN2176</t>
  </si>
  <si>
    <t>RM SILVER RING-TOP SILVER TREATED FRAME SET WITH COGNAC DIAMONDS-MIDDLE BROWN RUTILATED((Transparent))</t>
  </si>
  <si>
    <t>ROBERTA(V)SP S-ST DIA(CO-BRN RU</t>
  </si>
  <si>
    <t>Ms. Nguyen Thi Ngoc Hang</t>
  </si>
  <si>
    <t>0928070707</t>
  </si>
  <si>
    <t>Ms. Hoang Phuong Loan</t>
  </si>
  <si>
    <t>0965562828</t>
  </si>
  <si>
    <t>RHN2220</t>
  </si>
  <si>
    <t>RM Silver ring-top silver treated frame set with icy grey diamonds-middle topaz</t>
  </si>
  <si>
    <t>BIKRAM (TH) S-ST DIA(ICY GRIS-T</t>
  </si>
  <si>
    <t>RM Silver treated ring-top framed with black diamonds-middle smoky quartz</t>
  </si>
  <si>
    <t>BEGUM R(TH)ST DIA(BLK.DIAM-QUAR</t>
  </si>
  <si>
    <t>RM Silver ring-top (4mm) silver</t>
  </si>
  <si>
    <t>CARRIE R (TH) S-ST C4 DIA(BLK D</t>
  </si>
  <si>
    <t>RWR1298</t>
  </si>
  <si>
    <t>RM SILVER RING INTO 2:(1) SILVER TREATED FRAME SET WITH ICY GREY DIAMONDS-MIDDLE SILVER (CONCAVE)-(1)(4mm) SILVER TREATED FRAME SET WITH ICY GREY DIAMONDS-MIDDLE BEER QUARTZ</t>
  </si>
  <si>
    <t>BELCAR  S-ST-S DIX (ICY GRIS)-S</t>
  </si>
  <si>
    <t>RWR1313</t>
  </si>
  <si>
    <t>RWR1311</t>
  </si>
  <si>
    <t>RWR1312</t>
  </si>
  <si>
    <t>RHN2299</t>
  </si>
  <si>
    <t>STERLING SILVER</t>
  </si>
  <si>
    <t>RHN2347</t>
  </si>
  <si>
    <t>EVE</t>
  </si>
  <si>
    <t>thu_trang</t>
  </si>
  <si>
    <t>THU_TRANG</t>
  </si>
  <si>
    <t>Nghia_Nguyen</t>
  </si>
  <si>
    <t>RHN2411</t>
  </si>
  <si>
    <t>Mrs. Nguyen Thi Thuc Anh</t>
  </si>
  <si>
    <t>Mrs. Trinh Vinh Trinh</t>
  </si>
  <si>
    <t>LAPIS</t>
  </si>
  <si>
    <t>Mrs. Truong Huynh Diem Chi</t>
  </si>
  <si>
    <t>0937394949</t>
  </si>
  <si>
    <t>0909558899</t>
  </si>
  <si>
    <t>RHN2494</t>
  </si>
  <si>
    <t>RHN2540</t>
  </si>
  <si>
    <t>RHN2632</t>
  </si>
  <si>
    <t>CREAM</t>
  </si>
  <si>
    <t>RHN2652</t>
  </si>
  <si>
    <t>RHN2612</t>
  </si>
  <si>
    <t>RHN2611</t>
  </si>
  <si>
    <t>RHN2615</t>
  </si>
  <si>
    <t>RHN2609</t>
  </si>
  <si>
    <t>RHN2695</t>
  </si>
  <si>
    <t>Ms. Nguyen Thu Huong</t>
  </si>
  <si>
    <t>0904252254</t>
  </si>
  <si>
    <t>0963578886</t>
  </si>
  <si>
    <t>0912068618</t>
  </si>
  <si>
    <t>RHN2776</t>
  </si>
  <si>
    <t>Mrs. Tran Hai Anh</t>
  </si>
  <si>
    <t>0912858889</t>
  </si>
  <si>
    <t>RHN2768</t>
  </si>
  <si>
    <t>RHN2832</t>
  </si>
  <si>
    <t>RHN2827</t>
  </si>
  <si>
    <t>RHN2785</t>
  </si>
  <si>
    <t>RHN2798</t>
  </si>
  <si>
    <t>RHN2844</t>
  </si>
  <si>
    <t>RHN2852</t>
  </si>
  <si>
    <t>RHN2847</t>
  </si>
  <si>
    <t>RHN2842</t>
  </si>
  <si>
    <t>RHN2886</t>
  </si>
  <si>
    <t>RHN2889</t>
  </si>
  <si>
    <t>0388883333</t>
  </si>
  <si>
    <t>0903618988</t>
  </si>
  <si>
    <t>RWR1534</t>
  </si>
  <si>
    <t>RWR1536</t>
  </si>
  <si>
    <t>RHN2930</t>
  </si>
  <si>
    <t>RHN2944</t>
  </si>
  <si>
    <t>RM SILVER STUDS FLOWERS EARRINGS SET PAVING WITH COGNAC DIAMONDS</t>
  </si>
  <si>
    <t>BO NILOUFAR (3)(D) DIA (CO)</t>
  </si>
  <si>
    <t>SILVER/COGNA</t>
  </si>
  <si>
    <t>RHN2980</t>
  </si>
  <si>
    <t>RHN2978</t>
  </si>
  <si>
    <t>Mrs. Nguyen Ngoc Phuong Anh</t>
  </si>
  <si>
    <t>0915227784</t>
  </si>
  <si>
    <t>RHN2987</t>
  </si>
  <si>
    <t>RHN3013</t>
  </si>
  <si>
    <t>RWR1587</t>
  </si>
  <si>
    <t>RHN3016</t>
  </si>
  <si>
    <t>RHN3022</t>
  </si>
  <si>
    <t>RHN3030</t>
  </si>
  <si>
    <t>RHN3050</t>
  </si>
  <si>
    <t>RHN3044</t>
  </si>
  <si>
    <t>Vuong_Vo</t>
  </si>
  <si>
    <t>RHN3056</t>
  </si>
  <si>
    <t>RHN3052</t>
  </si>
  <si>
    <t>RWR1628</t>
  </si>
  <si>
    <t>RM SILVER STUDS FLOWERS EARRINGS</t>
  </si>
  <si>
    <t>BO NILOUFAR (3)(D)</t>
  </si>
  <si>
    <t>RHN3077</t>
  </si>
  <si>
    <t>RWR1642</t>
  </si>
  <si>
    <t>RHN3079</t>
  </si>
  <si>
    <t>RM SILVER ROUND BRACELET-QUEUE END SET WITH (1)BLACK DIAMOND</t>
  </si>
  <si>
    <t>BR/PENNA(2) DIX (BLK (Q))</t>
  </si>
  <si>
    <t>Nguyen Thi My Dung</t>
  </si>
  <si>
    <t>0912281123</t>
  </si>
  <si>
    <t>RHN3092</t>
  </si>
  <si>
    <t>RHN3095</t>
  </si>
  <si>
    <t>RWR1659</t>
  </si>
  <si>
    <t>RWR1661</t>
  </si>
  <si>
    <t>RHN3117</t>
  </si>
  <si>
    <t>RHN3114</t>
  </si>
  <si>
    <t>RHN3121</t>
  </si>
  <si>
    <t>RHN3164</t>
  </si>
  <si>
    <t>Nguyen Thi Huynh Lien</t>
  </si>
  <si>
    <t>0903640498</t>
  </si>
  <si>
    <t>RHN3175</t>
  </si>
  <si>
    <t>RHN3189</t>
  </si>
  <si>
    <t>RHN3196</t>
  </si>
  <si>
    <t>RHN3219</t>
  </si>
  <si>
    <t>RHN3214</t>
  </si>
  <si>
    <t>Ms. Le Thu Ha</t>
  </si>
  <si>
    <t>0933669966</t>
  </si>
  <si>
    <t>RHN3285</t>
  </si>
  <si>
    <t>RM SILVER DROP EARRINGS SET WITH ROSECUT DIAMONDS</t>
  </si>
  <si>
    <t>BO TINA DIA (8X8)</t>
  </si>
  <si>
    <t>SILVER/ROSEC</t>
  </si>
  <si>
    <t>RWR1775</t>
  </si>
  <si>
    <t>RHN3291</t>
  </si>
  <si>
    <t>RHN3301</t>
  </si>
  <si>
    <t>RWR1779</t>
  </si>
  <si>
    <t>RHN3305</t>
  </si>
  <si>
    <t>RWR1784</t>
  </si>
  <si>
    <t>SPK Raneth 3 linked rings in sterling silver and 18k yellow and rose gold with mixed gold connectors and rose gold accents</t>
  </si>
  <si>
    <t>SG2-R-G3SRGYGRGAL</t>
  </si>
  <si>
    <t>Rose gold, Gold</t>
  </si>
  <si>
    <t>RWR1785</t>
  </si>
  <si>
    <t>RWR1783</t>
  </si>
  <si>
    <t>RHN3312</t>
  </si>
  <si>
    <t>RHN3320</t>
  </si>
  <si>
    <t>RHN3348</t>
  </si>
  <si>
    <t>COPPER</t>
  </si>
  <si>
    <t>RWR1829</t>
  </si>
  <si>
    <t>ANH_NGUYEN</t>
  </si>
  <si>
    <t>RWR1848</t>
  </si>
  <si>
    <t>Le Thi Hong Hong</t>
  </si>
  <si>
    <t>0982610062</t>
  </si>
  <si>
    <t>RWR1849</t>
  </si>
  <si>
    <t>RHN3426</t>
  </si>
  <si>
    <t>QUOCHUY_NGUYEN</t>
  </si>
  <si>
    <t>RHN3442</t>
  </si>
  <si>
    <t>RHN3460</t>
  </si>
  <si>
    <t>RHN3489</t>
  </si>
  <si>
    <t>RHN3501</t>
  </si>
  <si>
    <t>RHN3500</t>
  </si>
  <si>
    <t>RHN3521</t>
  </si>
  <si>
    <t>RHN3533</t>
  </si>
  <si>
    <t>RHN3537</t>
  </si>
  <si>
    <t>RWR1905</t>
  </si>
  <si>
    <t>RWR1904</t>
  </si>
  <si>
    <t>RHN3551</t>
  </si>
  <si>
    <t>RWR1911</t>
  </si>
  <si>
    <t>RHN3557</t>
  </si>
  <si>
    <t>RWR1919</t>
  </si>
  <si>
    <t>RHN3574</t>
  </si>
  <si>
    <t>RWR1935</t>
  </si>
  <si>
    <t>RWR1938</t>
  </si>
  <si>
    <t>RWR1956</t>
  </si>
  <si>
    <t>RHN3651</t>
  </si>
  <si>
    <t>RWT2296</t>
  </si>
  <si>
    <t>RWT2303</t>
  </si>
  <si>
    <t>RWR1985</t>
  </si>
  <si>
    <t>RWR1984</t>
  </si>
  <si>
    <t>RHN3709</t>
  </si>
  <si>
    <t>RHN3760</t>
  </si>
  <si>
    <t>RHN3767</t>
  </si>
  <si>
    <t>RHN3742</t>
  </si>
  <si>
    <t>RHN3730</t>
  </si>
  <si>
    <t>RWR2020</t>
  </si>
  <si>
    <t>RWR2015</t>
  </si>
  <si>
    <t>RHN3839</t>
  </si>
  <si>
    <t>RHN3802</t>
  </si>
  <si>
    <t>RHN3892</t>
  </si>
  <si>
    <t>RWR2058</t>
  </si>
  <si>
    <t>Mr. Le Thanh Hung</t>
  </si>
  <si>
    <t>0986166668</t>
  </si>
  <si>
    <t>RWR2065</t>
  </si>
  <si>
    <t>RHN3903</t>
  </si>
  <si>
    <t>RM Silver Ring - Top Silver treated Gages set w.icy Diamonds</t>
  </si>
  <si>
    <t>YESSIRA S-ST DIA ICY</t>
  </si>
  <si>
    <t>Silver/Icy</t>
  </si>
  <si>
    <t>RM Siver Ring - Top Line Set w.Rosecut Diamond</t>
  </si>
  <si>
    <t>LARA DIA 8x8</t>
  </si>
  <si>
    <t>Silver/Rose</t>
  </si>
  <si>
    <t>RM Silver Ring - Top Silver treated Gages set w.Rubis</t>
  </si>
  <si>
    <t>YESSIRA S-ST DIA RU</t>
  </si>
  <si>
    <t>Silver/Ruby</t>
  </si>
  <si>
    <t>RHN3935</t>
  </si>
  <si>
    <t>RHN3933</t>
  </si>
  <si>
    <t>RHN3936</t>
  </si>
  <si>
    <t>RHN3934</t>
  </si>
  <si>
    <t>RHN3944</t>
  </si>
  <si>
    <t>RHN3941</t>
  </si>
  <si>
    <t>Mrs. Nguyen Thi Linh San</t>
  </si>
  <si>
    <t>RHN3956</t>
  </si>
  <si>
    <t>RHN3957</t>
  </si>
  <si>
    <t>RWR2085</t>
  </si>
  <si>
    <t>RHN3961</t>
  </si>
  <si>
    <t>DFT</t>
  </si>
  <si>
    <t>GLOBAL LINK</t>
  </si>
  <si>
    <t>RHN3998</t>
  </si>
  <si>
    <t>RWR2114</t>
  </si>
  <si>
    <t>Mrs. Thi Tuyet Nhung Nguyen</t>
  </si>
  <si>
    <t>TU_NGO</t>
  </si>
  <si>
    <t>RWR2169</t>
  </si>
  <si>
    <t>RHN4099</t>
  </si>
  <si>
    <t>YELLOW</t>
  </si>
  <si>
    <t>RHN4108</t>
  </si>
  <si>
    <t>Mrs. Phuong Nguyen Thi Lien</t>
  </si>
  <si>
    <t>0908759007</t>
  </si>
  <si>
    <t>RWR2285</t>
  </si>
  <si>
    <t>RM Silver ring-top (1 1/2mm) silver treated frame set with rubis-middle concave set paving with icy grey diamonds</t>
  </si>
  <si>
    <t>BEENU(TB)S-ST C1 1/2 DIA (RU-IC</t>
  </si>
  <si>
    <t>Silver/rubis/gre</t>
  </si>
  <si>
    <t>RHN4224</t>
  </si>
  <si>
    <t>Mrs. Thai Cam Linh</t>
  </si>
  <si>
    <t>0917568851</t>
  </si>
  <si>
    <t>HUY_NGUYEN</t>
  </si>
  <si>
    <t>RHN4264</t>
  </si>
  <si>
    <t>RHN4274</t>
  </si>
  <si>
    <t>RHN4266</t>
  </si>
  <si>
    <t>RWR2316</t>
  </si>
  <si>
    <t>RHN4293</t>
  </si>
  <si>
    <t>RHN4281</t>
  </si>
  <si>
    <t>RHN4298</t>
  </si>
  <si>
    <t>RHN4384</t>
  </si>
  <si>
    <t>Ms. Phan Tra My</t>
  </si>
  <si>
    <t>0945101083</t>
  </si>
  <si>
    <t>RHN4416</t>
  </si>
  <si>
    <t>RHN4467</t>
  </si>
  <si>
    <t>RHN4432</t>
  </si>
  <si>
    <t>RHN4461</t>
  </si>
  <si>
    <t>RHN4442</t>
  </si>
  <si>
    <t>RHN4455</t>
  </si>
  <si>
    <t>Nguyen Thi Khanh Ha</t>
  </si>
  <si>
    <t>Nguyen Thi Nghia</t>
  </si>
  <si>
    <t>RHN4503</t>
  </si>
  <si>
    <t>RHN4501</t>
  </si>
  <si>
    <t>RHN4502</t>
  </si>
  <si>
    <t>RHN4535</t>
  </si>
  <si>
    <t>RHN4537</t>
  </si>
  <si>
    <t>RHN4532</t>
  </si>
  <si>
    <t>RHN4533</t>
  </si>
  <si>
    <t>RHN4534</t>
  </si>
  <si>
    <t>RHN4524</t>
  </si>
  <si>
    <t>RHN4549</t>
  </si>
  <si>
    <t>RHN4551</t>
  </si>
  <si>
    <t>RWT2837</t>
  </si>
  <si>
    <t>RHN4574</t>
  </si>
  <si>
    <t>RHN4620</t>
  </si>
  <si>
    <t>RHN4634</t>
  </si>
  <si>
    <t>RWR2454</t>
  </si>
  <si>
    <t>RHN4672</t>
  </si>
  <si>
    <t>RHN4673</t>
  </si>
  <si>
    <t>RHN4666</t>
  </si>
  <si>
    <t>RHN4665</t>
  </si>
  <si>
    <t>RM Silver treated ring-top framed with rubis-middle smoky quartz</t>
  </si>
  <si>
    <t>BEENU R (TB)ST DIA (RU-QUARTZ)</t>
  </si>
  <si>
    <t>RM Silver treated ring-top silver treated frame-middle curved silver polish</t>
  </si>
  <si>
    <t>BEGUM R (TB)ST-ST-S</t>
  </si>
  <si>
    <t>RHN4686</t>
  </si>
  <si>
    <t>RHN4690</t>
  </si>
  <si>
    <t>RHN4703</t>
  </si>
  <si>
    <t>RM SILVER ROUND BRACELET-TOP SILVER FRAME SET WITH ICY GREY DIAMONDS-QUEUE END SET WITH RUBIS</t>
  </si>
  <si>
    <t>BR/TOKO (1) (V) DIX (ICY GRIS T</t>
  </si>
  <si>
    <t>ICY GREY/RUB</t>
  </si>
  <si>
    <t>RHN4707</t>
  </si>
  <si>
    <t>NAK PENDANT: ONE-OF-A-KIND RUBY, PINK TOURMALINE, RECYCLED 18K ROSE GOLD, AND OXIDIZED STERLING SILVER; 18" IN LENGTH</t>
  </si>
  <si>
    <t>30013-OAK2-18SS</t>
  </si>
  <si>
    <t>RHN4719</t>
  </si>
  <si>
    <t>RHN4713</t>
  </si>
  <si>
    <t>RHN4740</t>
  </si>
  <si>
    <t>RWR2520</t>
  </si>
  <si>
    <t>RHN4768</t>
  </si>
  <si>
    <t>RHN4783</t>
  </si>
  <si>
    <t>RHN4786</t>
  </si>
  <si>
    <t>RHN4779</t>
  </si>
  <si>
    <t>RWR2527</t>
  </si>
  <si>
    <t>RWT3023</t>
  </si>
  <si>
    <t>Ms. Luu Thi Thuy Linh</t>
  </si>
  <si>
    <t>0938335357</t>
  </si>
  <si>
    <t>RHN4807</t>
  </si>
  <si>
    <t>RWR2545</t>
  </si>
  <si>
    <t>RWR2546</t>
  </si>
  <si>
    <t>RWR2580</t>
  </si>
  <si>
    <t>RWR2585</t>
  </si>
  <si>
    <t>RHN4930</t>
  </si>
  <si>
    <t>RHN4975</t>
  </si>
  <si>
    <t>RHN4980</t>
  </si>
  <si>
    <t>RHN4978</t>
  </si>
  <si>
    <t>RHN4979</t>
  </si>
  <si>
    <t>RHN4987</t>
  </si>
  <si>
    <t>RHN4986</t>
  </si>
  <si>
    <t>RHN4985</t>
  </si>
  <si>
    <t>RHN5004</t>
  </si>
  <si>
    <t>DUY_TRAN</t>
  </si>
  <si>
    <t>Mrs. Nguyen Thi Hang</t>
  </si>
  <si>
    <t>0983216688</t>
  </si>
  <si>
    <t>RWR2672</t>
  </si>
  <si>
    <t>NAK STUDS: 1.84CTS RECLAIMED MOGHUL-CUT BLACK DIAMOND, 0.48CTS PRINCESS-CUT WHITE DIAMOND AND RECYCLED 20K ROSE GOLD; 9.6MM IN DIAMETER; 7MM IN DIAMETER</t>
  </si>
  <si>
    <t>10290-BD-20R</t>
  </si>
  <si>
    <t>RWR2668</t>
  </si>
  <si>
    <t>RHN5102</t>
  </si>
  <si>
    <t>RHN5125</t>
  </si>
  <si>
    <t>RHN5128</t>
  </si>
  <si>
    <t>RHN5183</t>
  </si>
  <si>
    <t>RHN5190</t>
  </si>
  <si>
    <t>RHN5210</t>
  </si>
  <si>
    <t>RHN5214</t>
  </si>
  <si>
    <t>RHN5213</t>
  </si>
  <si>
    <t>RHN5206</t>
  </si>
  <si>
    <t>RHN5227</t>
  </si>
  <si>
    <t>RWT3185</t>
  </si>
  <si>
    <t>RHN5267</t>
  </si>
  <si>
    <t>RHN5278</t>
  </si>
  <si>
    <t>RHN5283</t>
  </si>
  <si>
    <t>RHN5293</t>
  </si>
  <si>
    <t>Ms. Nguyen Bao Chi</t>
  </si>
  <si>
    <t>0906686858</t>
  </si>
  <si>
    <t>RHN5336</t>
  </si>
  <si>
    <t>Ms. Pham Hoai Tram</t>
  </si>
  <si>
    <t>0913081188</t>
  </si>
  <si>
    <t>RHN5384</t>
  </si>
  <si>
    <t>RWT3271</t>
  </si>
  <si>
    <t>RWT3284</t>
  </si>
  <si>
    <t>Nguyen Minh Nguyet</t>
  </si>
  <si>
    <t>0915348935</t>
  </si>
  <si>
    <t>RHN5473</t>
  </si>
  <si>
    <t>RHN5477</t>
  </si>
  <si>
    <t>RHN5466</t>
  </si>
  <si>
    <t>RHN5481</t>
  </si>
  <si>
    <t>RHN5484</t>
  </si>
  <si>
    <t>RHN5483</t>
  </si>
  <si>
    <t>RHN5488</t>
  </si>
  <si>
    <t>RHN5500</t>
  </si>
  <si>
    <t>0915686788</t>
  </si>
  <si>
    <t>RHN5550</t>
  </si>
  <si>
    <t>0935197345</t>
  </si>
  <si>
    <t>RHN5586</t>
  </si>
  <si>
    <t>RHN5617</t>
  </si>
  <si>
    <t>RHN5614</t>
  </si>
  <si>
    <t>Mrs. Nguyen Thi Xuan</t>
  </si>
  <si>
    <t>0888329268</t>
  </si>
  <si>
    <t>RWT3414</t>
  </si>
  <si>
    <t>Mrs. Oh Hye Keum</t>
  </si>
  <si>
    <t>0946843101</t>
  </si>
  <si>
    <t>RWT3433</t>
  </si>
  <si>
    <t>RHN5665</t>
  </si>
  <si>
    <t>Jade</t>
  </si>
  <si>
    <t>RHN5793</t>
  </si>
  <si>
    <t>0974229989</t>
  </si>
  <si>
    <t>THUONG_CHAU</t>
  </si>
  <si>
    <t>RHN5800</t>
  </si>
  <si>
    <t>RHN5808</t>
  </si>
  <si>
    <t>RWT3833</t>
  </si>
  <si>
    <t>VINH_BUI</t>
  </si>
  <si>
    <t>RWT3992</t>
  </si>
  <si>
    <t>Tran Thuy Chi</t>
  </si>
  <si>
    <t>0982928535</t>
  </si>
  <si>
    <t>Mrs. Mary Yanson</t>
  </si>
  <si>
    <t>0368731523</t>
  </si>
  <si>
    <t>RHN6302</t>
  </si>
  <si>
    <t>0943060231</t>
  </si>
  <si>
    <t>GIF134</t>
  </si>
  <si>
    <t>GLOBAL LINK CORPORATION</t>
  </si>
  <si>
    <t>TM SNAIL CHOKER 14KY NECKLACE (GOLD)</t>
  </si>
  <si>
    <t>SNAIL CHOKER 14KY</t>
  </si>
  <si>
    <t>LOA135</t>
  </si>
  <si>
    <t>RWT4099</t>
  </si>
  <si>
    <t>LOA136</t>
  </si>
  <si>
    <t>RM SILVER RING INTO 2:(1)TOP 18KT PINK GOLD FLAT LEAF (1)SILVER FRAME-MIDDLE WHITE SAPPHIRE</t>
  </si>
  <si>
    <t>NOUFA (4)S-GP-S DIX (SA.BLANC)</t>
  </si>
  <si>
    <t>PINK GOLD/WH</t>
  </si>
  <si>
    <t>WHITE GOLD</t>
  </si>
  <si>
    <t>RG-071763</t>
  </si>
  <si>
    <t>RWT4137</t>
  </si>
  <si>
    <t>RWT4194</t>
  </si>
  <si>
    <t>Ms. Le Thi Thuan</t>
  </si>
  <si>
    <t>RWT4231</t>
  </si>
  <si>
    <t>RWT4233</t>
  </si>
  <si>
    <t>BLFD</t>
  </si>
  <si>
    <t>HUY_TRAN</t>
  </si>
  <si>
    <t>RWT4301</t>
  </si>
  <si>
    <t>RWT4305</t>
  </si>
  <si>
    <t>RWT4328</t>
  </si>
  <si>
    <t>RWT4316</t>
  </si>
  <si>
    <t>RWT4446</t>
  </si>
  <si>
    <t>ROSE</t>
  </si>
  <si>
    <t>PHAT_TRINH</t>
  </si>
  <si>
    <t>RWT4600</t>
  </si>
  <si>
    <t>RWT4599</t>
  </si>
  <si>
    <t>RWT4630</t>
  </si>
  <si>
    <t>RWR3812</t>
  </si>
  <si>
    <t>RWR3823</t>
  </si>
  <si>
    <t>0903017249</t>
  </si>
  <si>
    <t>RWT4790</t>
  </si>
  <si>
    <t>RWT4844</t>
  </si>
  <si>
    <t>RHN7226</t>
  </si>
  <si>
    <t>RM EARRINGS</t>
  </si>
  <si>
    <t>BO ATOLL(D) DIA ICY CRIS+ B(S)</t>
  </si>
  <si>
    <t>ICY GRIS</t>
  </si>
  <si>
    <t>CITRINE</t>
  </si>
  <si>
    <t>RWT4970</t>
  </si>
  <si>
    <t>RWT4959</t>
  </si>
  <si>
    <t>RWT4997</t>
  </si>
  <si>
    <t>RWT5026</t>
  </si>
  <si>
    <t>Mrs. Huynh Kim Quyen</t>
  </si>
  <si>
    <t>0934143333</t>
  </si>
  <si>
    <t>RWT5051</t>
  </si>
  <si>
    <t>0903977953</t>
  </si>
  <si>
    <t>RHN7386</t>
  </si>
  <si>
    <t>RM SILVER RING-TOP SILVER TREATED BANGLE FRAMED WITH ICY GREY DIAMONDS</t>
  </si>
  <si>
    <t>BIKRAM(V) S-ST DIX (ICY GRIS)</t>
  </si>
  <si>
    <t>Nguyen Thi Ngoc Diem</t>
  </si>
  <si>
    <t>Ms. Tran Nguyen Thien Huong</t>
  </si>
  <si>
    <t>0903331166</t>
  </si>
  <si>
    <t>RWR4019</t>
  </si>
  <si>
    <t>TM HEXAGONAL TRAPICHE TOURMALINE STUD EARRINGS 18K</t>
  </si>
  <si>
    <t>GK 478</t>
  </si>
  <si>
    <t>GREEN GOLD</t>
  </si>
  <si>
    <t>RWT5296</t>
  </si>
  <si>
    <t>Vu Thi Phuong</t>
  </si>
  <si>
    <t>0903485499</t>
  </si>
  <si>
    <t>RWT5492</t>
  </si>
  <si>
    <t>RWT5639</t>
  </si>
  <si>
    <t>Ms. Duong Thuy Linh</t>
  </si>
  <si>
    <t>ANH_HO</t>
  </si>
  <si>
    <t>Ms. Le Thi Thu Ngan</t>
  </si>
  <si>
    <t>0905932376</t>
  </si>
  <si>
    <t>RWR4269</t>
  </si>
  <si>
    <t>SPK Orion 3 linked rings in silver with 18k gold connectors and accents</t>
  </si>
  <si>
    <t>SG2-R-G3SRGGAL</t>
  </si>
  <si>
    <t>RWR4270</t>
  </si>
  <si>
    <t>SPK Raneth Silver 3 linked rings in sterlin silver with silver connectors and accents</t>
  </si>
  <si>
    <t>SG9-R-G3LSGA</t>
  </si>
  <si>
    <t>RHN8070</t>
  </si>
  <si>
    <t>RM SILVER RING-TOP SILVER HEAD SET WITH (1) RUBIS</t>
  </si>
  <si>
    <t>NEGIA DIX</t>
  </si>
  <si>
    <t>RUBIS</t>
  </si>
  <si>
    <t>RHN8071</t>
  </si>
  <si>
    <t>RM SILVER RING-TOP SILVER TREATED HEAD SET WITH BLACK DIAMONDS</t>
  </si>
  <si>
    <t>WOINA (R )S-ST DIX</t>
  </si>
  <si>
    <t>HQ184</t>
  </si>
  <si>
    <t>Mrs. Trinh Thi Duc Hien</t>
  </si>
  <si>
    <t>KIMNGOC_NGUYEN</t>
  </si>
  <si>
    <t>DUNG_TRAN</t>
  </si>
  <si>
    <t>RWT5985</t>
  </si>
  <si>
    <t>RWT5965</t>
  </si>
  <si>
    <t>UN</t>
  </si>
  <si>
    <t>D4</t>
  </si>
  <si>
    <t>Red/black</t>
  </si>
  <si>
    <t>LOA199</t>
  </si>
  <si>
    <t>RM TWISTED SILVER SNAKE RING-HEAD SILVER TREATED FRAME SET WITH ICY GREY DIAMONDS-MIDDLE SILVER</t>
  </si>
  <si>
    <t>TOKO (3)(VP)(TW)S-ST-S DIX</t>
  </si>
  <si>
    <t>ICY GRIS(2)</t>
  </si>
  <si>
    <t>RM TWISTED SILVER ROUND RING-TOP SILVER TREATED FRAME SET WITH ICY GREY DIAMONDS-MIDDLE SMOKY QUARTZ</t>
  </si>
  <si>
    <t>TOVE(5)(TW) S-ST DIA</t>
  </si>
  <si>
    <t>ICY GRIS(1)-S.QT</t>
  </si>
  <si>
    <t>RWR4724</t>
  </si>
  <si>
    <t>RWT6424</t>
  </si>
  <si>
    <t>ECOM</t>
  </si>
  <si>
    <t>RWT6483</t>
  </si>
  <si>
    <t>Nguyen Van Thai</t>
  </si>
  <si>
    <t>RWT6609</t>
  </si>
  <si>
    <t>Chau Hue Thuong</t>
  </si>
  <si>
    <t>RWR4911</t>
  </si>
  <si>
    <t>RM SILVER RING-TOP SILVER TREATED FRAME SET WITH  ICY GREY DIAMONDS-MIDDLE LEMON QUARTZ</t>
  </si>
  <si>
    <t>BEENU(TH)S-ST DIA (ICY GRIS-LEM</t>
  </si>
  <si>
    <t>ICY GREY/LEM</t>
  </si>
  <si>
    <t>RWT6647</t>
  </si>
  <si>
    <t>RHN9184</t>
  </si>
  <si>
    <t>RM 18KT YELLOW GOLD DROP EARRING-TOP 18KT YELLOW GOLD BANGLE SET WITH ICY GREY DIAMONDS- MIDDLE SMOKY QUARTZ(Transparent)</t>
  </si>
  <si>
    <t>BO 113 (V)GY DIA (ICY GRIS-S.QT</t>
  </si>
  <si>
    <t>YELLOW GOLD/</t>
  </si>
  <si>
    <t>RWT6690</t>
  </si>
  <si>
    <t>RWT6695</t>
  </si>
  <si>
    <t>Mrs. Tran Kieu Anh</t>
  </si>
  <si>
    <t>0862333555</t>
  </si>
  <si>
    <t>RWT6707</t>
  </si>
  <si>
    <t>Kiet_Le</t>
  </si>
  <si>
    <t>RWT6818</t>
  </si>
  <si>
    <t>RWT6833</t>
  </si>
  <si>
    <t>RWT6834</t>
  </si>
  <si>
    <t>RWT6910</t>
  </si>
  <si>
    <t>KIEUDIEM_NGUYENHN</t>
  </si>
  <si>
    <t>LIGHT YELLOW</t>
  </si>
  <si>
    <t>Nghia_NguyenHN</t>
  </si>
  <si>
    <t>CA0039</t>
  </si>
  <si>
    <t>GEO-MOSS AGATE HORN NECKLACE</t>
  </si>
  <si>
    <t>AA0072/V1</t>
  </si>
  <si>
    <t>CRYSTAL</t>
  </si>
  <si>
    <t>WHITE/GREEN</t>
  </si>
  <si>
    <t>O/S</t>
  </si>
  <si>
    <t>CA0214/V1</t>
  </si>
  <si>
    <t>CA0022NW</t>
  </si>
  <si>
    <t>CA0191/V1</t>
  </si>
  <si>
    <t>SAND</t>
  </si>
  <si>
    <t>KIM_NGOC</t>
  </si>
  <si>
    <t>OA0135/V1</t>
  </si>
  <si>
    <t>LOA290</t>
  </si>
  <si>
    <t>son_tran</t>
  </si>
  <si>
    <t>LOA289</t>
  </si>
  <si>
    <t>GEO-CORNELIAN NECKLACE</t>
  </si>
  <si>
    <t>GEO-WHITE AGATE NECKLACE</t>
  </si>
  <si>
    <t>Ms. Pham Thi Vuong</t>
  </si>
  <si>
    <t>0903805316</t>
  </si>
  <si>
    <t>RHN174</t>
  </si>
  <si>
    <t>RM Silver treated ring-top middle blue sapphire</t>
  </si>
  <si>
    <t>BELQUIS R (TH)ST DIX</t>
  </si>
  <si>
    <t>Silver/blue</t>
  </si>
  <si>
    <t>GEO-CORNELIAN HORN NECKLACE</t>
  </si>
  <si>
    <t>RED/GOLD</t>
  </si>
  <si>
    <t>Mrs. Do Thanh Hoa</t>
  </si>
  <si>
    <t>0904374728</t>
  </si>
  <si>
    <t>AA0093/V2</t>
  </si>
  <si>
    <t>GIF297</t>
  </si>
  <si>
    <t>Ms. Khuc Thi Dau</t>
  </si>
  <si>
    <t>0904577658</t>
  </si>
  <si>
    <t>Nguyen Thi Hao Hoa</t>
  </si>
  <si>
    <t>0913012512</t>
  </si>
  <si>
    <t>YEN_CHU</t>
  </si>
  <si>
    <t>Ms. Le Thi Thanh Mai</t>
  </si>
  <si>
    <t>0933530066</t>
  </si>
  <si>
    <t>OS</t>
  </si>
  <si>
    <t>NHUNG_NGUYEN</t>
  </si>
  <si>
    <t>RWR5495</t>
  </si>
  <si>
    <t>GEO - NECKLACE AMETHIST</t>
  </si>
  <si>
    <t>E4</t>
  </si>
  <si>
    <t>VIOLET</t>
  </si>
  <si>
    <t>Ms. Nguyen Hong Thuy</t>
  </si>
  <si>
    <t>0988660486</t>
  </si>
  <si>
    <t>GEO - NECKLACE PEARL</t>
  </si>
  <si>
    <t>D2</t>
  </si>
  <si>
    <t>GEO - NECKLACE AGATE</t>
  </si>
  <si>
    <t>E8</t>
  </si>
  <si>
    <t>I2</t>
  </si>
  <si>
    <t>GEO - NECKLACE BLACK AGATE</t>
  </si>
  <si>
    <t>GEO - NECKLACE AMBER</t>
  </si>
  <si>
    <t>G8</t>
  </si>
  <si>
    <t>GOLD/BROWN</t>
  </si>
  <si>
    <t>A60</t>
  </si>
  <si>
    <t>GEO - NECKLACE TOURMALINE</t>
  </si>
  <si>
    <t>H4</t>
  </si>
  <si>
    <t>MUTI</t>
  </si>
  <si>
    <t>OA0049</t>
  </si>
  <si>
    <t>CA0144/V3</t>
  </si>
  <si>
    <t>CA0192/V1</t>
  </si>
  <si>
    <t>GEO - NECKLACE LAPIS</t>
  </si>
  <si>
    <t>GEO - NECKLACE MOSS AGATE</t>
  </si>
  <si>
    <t>GEO - EARRING CORNELIAN</t>
  </si>
  <si>
    <t>B6</t>
  </si>
  <si>
    <t>GEO - NECKLACE CORNELIAN</t>
  </si>
  <si>
    <t>OA0177/S</t>
  </si>
  <si>
    <t>OA0052</t>
  </si>
  <si>
    <t>AA0093/V1</t>
  </si>
  <si>
    <t>OA0218/V1</t>
  </si>
  <si>
    <t>F8</t>
  </si>
  <si>
    <t>Mrs. Vu Thi Nga</t>
  </si>
  <si>
    <t>90080-BSL-20R</t>
  </si>
  <si>
    <t>RWR5691</t>
  </si>
  <si>
    <t>GEO - NECKLACE LAPIS FUME'</t>
  </si>
  <si>
    <t>E8,</t>
  </si>
  <si>
    <t>LAPIS.</t>
  </si>
  <si>
    <t>A8P,</t>
  </si>
  <si>
    <t>YELLOW.</t>
  </si>
  <si>
    <t>E2</t>
  </si>
  <si>
    <t>Mrs. Xuan</t>
  </si>
  <si>
    <t>Minh Anh</t>
  </si>
  <si>
    <t>0372224003</t>
  </si>
  <si>
    <t>RWR5761</t>
  </si>
  <si>
    <t>RM Silver ring-top silver treated frame set with icy grey diamonds-middle silver concave(mat)</t>
  </si>
  <si>
    <t>BEGUM(TB) S-ST-S DIX (ICY GRIS)</t>
  </si>
  <si>
    <t>RWR5778</t>
  </si>
  <si>
    <t>A40</t>
  </si>
  <si>
    <t>MIX ROSE</t>
  </si>
  <si>
    <t>Ms. Hong Pham</t>
  </si>
  <si>
    <t>0945555129</t>
  </si>
  <si>
    <t>RWR5837</t>
  </si>
  <si>
    <t>F8,</t>
  </si>
  <si>
    <t>WHITE.</t>
  </si>
  <si>
    <t>GEO - NECKLACE MOKAITE</t>
  </si>
  <si>
    <t>D8</t>
  </si>
  <si>
    <t>E8.</t>
  </si>
  <si>
    <t>Pham Thanh Huong</t>
  </si>
  <si>
    <t>0934449329</t>
  </si>
  <si>
    <t>RWR5883</t>
  </si>
  <si>
    <t>A70</t>
  </si>
  <si>
    <t>RWR5895</t>
  </si>
  <si>
    <t>B0</t>
  </si>
  <si>
    <t>PHIPHUNG</t>
  </si>
  <si>
    <t>30017-RBL-20R</t>
  </si>
  <si>
    <t>GEO - NECKLACE MADREPORE</t>
  </si>
  <si>
    <t>GEO - EARRING M.PEARL</t>
  </si>
  <si>
    <t>Linh Pham</t>
  </si>
  <si>
    <t>40076-16.5-20R</t>
  </si>
  <si>
    <t>Ms. Chi Dung</t>
  </si>
  <si>
    <t>SON_TRAN</t>
  </si>
  <si>
    <t>LINH_PHAM</t>
  </si>
  <si>
    <t>RWR6069</t>
  </si>
  <si>
    <t>A8P</t>
  </si>
  <si>
    <t>RM Silver ring-top oval</t>
  </si>
  <si>
    <t>BALSAM R (TB)</t>
  </si>
  <si>
    <t>RWR6209</t>
  </si>
  <si>
    <t>ATS - PG Pr. of Earrings: brown</t>
  </si>
  <si>
    <t>30/15127R/CH</t>
  </si>
  <si>
    <t>BROWN DIA</t>
  </si>
  <si>
    <t>GEO - NECKLACE TORMALINE</t>
  </si>
  <si>
    <t>GEO - NECKLACE CAT'S EYE</t>
  </si>
  <si>
    <t>D0</t>
  </si>
  <si>
    <t>C8</t>
  </si>
  <si>
    <t>RWR6222</t>
  </si>
  <si>
    <t>ATS - WG Ring: dia 0,33ct G/VS + green tourmaline 5,90ct
+ ruby 1,87ct</t>
  </si>
  <si>
    <t>93/14294W/TR</t>
  </si>
  <si>
    <t>DIA + GREEN + PI</t>
  </si>
  <si>
    <t>RWR6221</t>
  </si>
  <si>
    <t>ATS - PG Pr. of Earrings: pink tourmaline 11,95ct + green
tourmaline 16,15ct + green sapphire 1,08ct</t>
  </si>
  <si>
    <t>88/01660R/T</t>
  </si>
  <si>
    <t>PINK + GREEN</t>
  </si>
  <si>
    <t>RWR6230</t>
  </si>
  <si>
    <t>ATS - PG Pr. of Earrings: dia 0,57ct G/VS + amethyst 25,76ct</t>
  </si>
  <si>
    <t>93/14408R/AM</t>
  </si>
  <si>
    <t>DIA + AMETHYST +</t>
  </si>
  <si>
    <t>Nguyen Le Nhan Tam</t>
  </si>
  <si>
    <t>ATS - PG Ring: dia 1,42ct G/VS + rubiy 0,50ct + pink sapphire 2,07ct</t>
  </si>
  <si>
    <t>30/17372R/PS</t>
  </si>
  <si>
    <t>RUBY + PINK SAPP</t>
  </si>
  <si>
    <t>ATS - WG Pr. of Earrings: dia 0,13ct G/VS + brown dia 0,32ct 
+ tsavorite 0,44ct</t>
  </si>
  <si>
    <t>30/AW12442/TS</t>
  </si>
  <si>
    <t>BROWN DIA + TSAV</t>
  </si>
  <si>
    <t>ATS - PG Pr. of Earrings: amethyst 1,82ct + blue topaze 1,43ct
+ citrine 0,39ct + green amethyst 6,05ct</t>
  </si>
  <si>
    <t>93/14899R/GAM</t>
  </si>
  <si>
    <t>AMETHYST + BLUE</t>
  </si>
  <si>
    <t>RWR6254</t>
  </si>
  <si>
    <t>ATS - PG Ring: dia 0,14ct + tsavorite 0,15ct + amethyst 8,84ct</t>
  </si>
  <si>
    <t>93/14578R/TS</t>
  </si>
  <si>
    <t>DIA PURPLE + TSA</t>
  </si>
  <si>
    <t>RWR6255</t>
  </si>
  <si>
    <t>RWR6256</t>
  </si>
  <si>
    <t>RWR6273</t>
  </si>
  <si>
    <t>GVC - PINK GOLD 7.5g RING WITH DIAMOND 0.77CT</t>
  </si>
  <si>
    <t>AR16774</t>
  </si>
  <si>
    <t>Linh_Pham</t>
  </si>
  <si>
    <t>0935603555</t>
  </si>
  <si>
    <t>GEO - NECKLACE DIASPER</t>
  </si>
  <si>
    <t>RWR6392</t>
  </si>
  <si>
    <t>RWR6400</t>
  </si>
  <si>
    <t>Ms. TRAN PHU XUAN</t>
  </si>
  <si>
    <t>0937559797</t>
  </si>
  <si>
    <t>MAL - ENGRAVED SILVER RING WITH ONE LARGE NATURAL DROP AND ONE SMALL NATURAL DROP SIZE: 12  LARGE DROP: ROCK CRYSTAL   SMALL DROP: SKY TOPAZ</t>
  </si>
  <si>
    <t>AA0070/V1/12</t>
  </si>
  <si>
    <t>SKY TOPAZ</t>
  </si>
  <si>
    <t>MAL - ENGRAVED SILVER RING WITH NATURAL STONE, CABOCHON, OVAL CUT    AMETHIST   TG 12</t>
  </si>
  <si>
    <t>AA0103/V2/12</t>
  </si>
  <si>
    <t>AMETHIST</t>
  </si>
  <si>
    <t>RWR6412</t>
  </si>
  <si>
    <t>RM RING</t>
  </si>
  <si>
    <t>NOUFA(3)CU-S.S</t>
  </si>
  <si>
    <t>SILVER+GOLD</t>
  </si>
  <si>
    <t>RHN1719</t>
  </si>
  <si>
    <t>MAL - SILVER EARRINGS WITH ONE ENGRAVED SMALL SHPERE AND ONE WHITE PEARL, DIAMETER 9 MM  WHITE PEARL</t>
  </si>
  <si>
    <t>OA0034/P</t>
  </si>
  <si>
    <t>WHITE PEARL</t>
  </si>
  <si>
    <t>MAL - SILVER EARRINGS WITH ONE NATURAL STONE, OVAL CUT AND CASCATE OF  GROUMETTE CHAINS  ROCK CRYSTAL</t>
  </si>
  <si>
    <t>OA0005/V1</t>
  </si>
  <si>
    <t>ROCK CRYSTAL</t>
  </si>
  <si>
    <t>RHN1723</t>
  </si>
  <si>
    <t>MAL - SILVER 12.3G EARRINGS, 2 SMALL PEARLS AND 1 LARGE PEARL</t>
  </si>
  <si>
    <t>OA0177/M</t>
  </si>
  <si>
    <t>2 SMALL PEARLS A</t>
  </si>
  <si>
    <t>RWR6434</t>
  </si>
  <si>
    <t>MAL - SHRI CAPSULE NECKLACE IN SILVER WITH 15 NATURAL STONES (6 NATURAL STONES 10X5 - 9 STONES 8X4) AND CLOSURE AT 110CM   MULTICOLOR  
ATTENZIONE: FARE VENSIONE CON PIETRE NON TROPPO CHIARE</t>
  </si>
  <si>
    <t>15 NATURAL STONE</t>
  </si>
  <si>
    <t>MAL - ENGRAVED TENNIS BRACELET IN SILVER WITH 13 NATURAL STONES, DROP CUT (9X6)  PERIDOT</t>
  </si>
  <si>
    <t>BA0121/V2</t>
  </si>
  <si>
    <t>PERIDOT</t>
  </si>
  <si>
    <t>MAL - ENGRAVED SILVER EARRINGS WITH TWO NATURAL STONES (10X5) (8X4) AND ENGRAVED DROP IN SILVER   PERIDOT</t>
  </si>
  <si>
    <t>OA0224/V1</t>
  </si>
  <si>
    <t>NHI_LE</t>
  </si>
  <si>
    <t>0912099051</t>
  </si>
  <si>
    <t>RWR6440</t>
  </si>
  <si>
    <t>NAN - DIAMONDS 8pcs ct0.06</t>
  </si>
  <si>
    <t>CS14-569</t>
  </si>
  <si>
    <t>DIAMONDS 8pcs ct</t>
  </si>
  <si>
    <t>NAN - DIAMONDS 16pcs ct0.11</t>
  </si>
  <si>
    <t>OS9-569</t>
  </si>
  <si>
    <t>DIAMONDS 16pcs c</t>
  </si>
  <si>
    <t>MAL- SILVER NECKLACE, ENGRAVED CROSS WITH ONE CENTRAL SMALL ROUND STONE 6MM  SMALL ROUND STONE 6 MM: CRYSTAL</t>
  </si>
  <si>
    <t>CA0228</t>
  </si>
  <si>
    <t>RWR6476</t>
  </si>
  <si>
    <t>GEO - EARRING GREEN AGATE</t>
  </si>
  <si>
    <t>A6</t>
  </si>
  <si>
    <t>MAL - SILVER EARRINGS WITH NATURAL STONE EMERALD CUT  ONYX (OR BLACK SPINEL)</t>
  </si>
  <si>
    <t>ONYX (OR BLACK S</t>
  </si>
  <si>
    <t>GEO - NECKLACE  LONG AGATE</t>
  </si>
  <si>
    <t>C4</t>
  </si>
  <si>
    <t>Ms. Banh Yen Binh</t>
  </si>
  <si>
    <t>0918763959</t>
  </si>
  <si>
    <t>LY_NGUYEN</t>
  </si>
  <si>
    <t>MAL - SILVER EARRINGS WITH ONE NATURAL STONE, OVAL CUT AND CASCATE OF  GROUMETTE CHAINS  SKY TOPAZ</t>
  </si>
  <si>
    <t>OA0005/V3</t>
  </si>
  <si>
    <t>MAL -ENGRAVED SILVER RING WITH NATURAL STONE, EMERALD CUT ( 14 X 12,40 X H 8 MM )   COLOR  ROCK CRYSTAL  TG 13</t>
  </si>
  <si>
    <t>RWR6537</t>
  </si>
  <si>
    <t>MAL - SILVER EARRING WITH SMALL ENGRAVED HOOP AND MABE' PEARL  WHITE PEARL</t>
  </si>
  <si>
    <t>OA0109</t>
  </si>
  <si>
    <t>ENGRAVED HOOP AN</t>
  </si>
  <si>
    <t>MAL - SILVER NECKLACE 37.8G, TWO CHAINS WITH ELEMENTS (ENGRAVED LENTILS) AND SMALL FACETED STONES   RED GARNET</t>
  </si>
  <si>
    <t>CA0106/V3</t>
  </si>
  <si>
    <t>RED GARNET</t>
  </si>
  <si>
    <t>MAL - SILVER NECKLACE WITH 3 CHAINS, 1st CHAIN WITH WHITE PEARLS 6 MM, 2nd CHAIN WITH SHIVALINGAM AND 3 rd CHAIN WITH NATURAL DROP   ROCK CRYSTAL</t>
  </si>
  <si>
    <t>CA0069/V1/GOCCIA</t>
  </si>
  <si>
    <t>RWR6557</t>
  </si>
  <si>
    <t>NAN - DIAMONDS 76pcs ct0.98, BLACK DIAMOND 26pcs ct0.98, GREY DIAMOND 62pcs ct2.11,  ICE DIAMOND 38pcs ct0.8, RUBY 2pcs ct4.0</t>
  </si>
  <si>
    <t>OS30-584</t>
  </si>
  <si>
    <t>DIAMONDS 76pcs c</t>
  </si>
  <si>
    <t>RWR6556</t>
  </si>
  <si>
    <t>GVC - WHITE/PINK GOLD P.OF EARRINGS 4.3g WITH DIAMOND 0.77CT</t>
  </si>
  <si>
    <t>B39412C</t>
  </si>
  <si>
    <t>MAL - SHRI EARRINGS IN SILVER WITH SMALL NATURAL STONE, EMERALD CUT (8X6)   BLACK SPINEL</t>
  </si>
  <si>
    <t>BLACK SPINEL</t>
  </si>
  <si>
    <t>RWR6568</t>
  </si>
  <si>
    <t>MAL - ENGRAVED SMALL TENNIS BRACELET IN SILVER 18.4G WITH 17 NATURAL STONES, EMERALD CUT (6X4)  BLACK SPINEL</t>
  </si>
  <si>
    <t>BA0126/S/V1</t>
  </si>
  <si>
    <t>OS16-587</t>
  </si>
  <si>
    <t>CN4-575</t>
  </si>
  <si>
    <t>CS34-583</t>
  </si>
  <si>
    <t>GOLD/DIAMOND</t>
  </si>
  <si>
    <t>OS28-583</t>
  </si>
  <si>
    <t>CS29-583</t>
  </si>
  <si>
    <t>BLACK + WHITE +</t>
  </si>
  <si>
    <t>GEO - NECKLACEDUMORTIERITE</t>
  </si>
  <si>
    <t>Ms. Dinh Lan</t>
  </si>
  <si>
    <t>C2</t>
  </si>
  <si>
    <t>0978449355</t>
  </si>
  <si>
    <t>HQ329</t>
  </si>
  <si>
    <t>NAN - TRASFORMISTA EARRINGS GOLD 9.65</t>
  </si>
  <si>
    <t>OA3-316</t>
  </si>
  <si>
    <t>GOLD 9.65</t>
  </si>
  <si>
    <t>GEO - NECKLACE TURQUOISE</t>
  </si>
  <si>
    <t>I6</t>
  </si>
  <si>
    <t>RWR6601</t>
  </si>
  <si>
    <t>GEO - RING M.PEARL</t>
  </si>
  <si>
    <t>RHN2030</t>
  </si>
  <si>
    <t>Mrs. Tran Thanh My</t>
  </si>
  <si>
    <t>HIEU_HUYNH</t>
  </si>
  <si>
    <t>F6</t>
  </si>
  <si>
    <t>QUANG_VO</t>
  </si>
  <si>
    <t>TM SMALL SLUG POST EARRINGS 14K</t>
  </si>
  <si>
    <t>GK393</t>
  </si>
  <si>
    <t>RWR6719</t>
  </si>
  <si>
    <t>MAL - SILVER EARRINGS, 1 SMALL PEARL AND 1 LARGE PEARL</t>
  </si>
  <si>
    <t>1 SMALL PEARL AN</t>
  </si>
  <si>
    <t>NGOC_PHAN</t>
  </si>
  <si>
    <t>RWR6764</t>
  </si>
  <si>
    <t>NAN - DIAMONDS 30pcs ct, BLACK DIAMOND 13pcs ct0.49, GREY DIAMOND 28pcs ct0.23, ICE DIAMOND 18pcs ct0.43, RHODOLITE 2pcs ct0.18, RUBY 1pc ct2.0</t>
  </si>
  <si>
    <t>AS26-584</t>
  </si>
  <si>
    <t>DIAMONDS 30pcs c</t>
  </si>
  <si>
    <t>TRAM_LUONG</t>
  </si>
  <si>
    <t>RWR6785</t>
  </si>
  <si>
    <t>RM-PE OLYMPE S ST S DIA BLK 1G CO PE-C-OLYMPE-36 Necklaces - Chain - With Setting Sterling Silver - Black Diamond: 24p, 1.65ct - Cognac Diamonds:188p, 1.70ct</t>
  </si>
  <si>
    <t>PE-001767</t>
  </si>
  <si>
    <t>Black Diamond, C</t>
  </si>
  <si>
    <t>RWR6784</t>
  </si>
  <si>
    <t>RM-PE 102G A V S ST DIA IG CO SBL 3R PE-C-102GAV-7 Necklaces - Chain - With Setting Sterling Silver - Icy Grey Diamonds + Cognac Diamonds: 126p, 1.44ct - Blue Sapphires: 18p, 0.23ct</t>
  </si>
  <si>
    <t>PE-001805</t>
  </si>
  <si>
    <t>Blue Sapphires,</t>
  </si>
  <si>
    <t>RM-BO BELQUIS D ST DIA IG GRT BO-C-BELQUISD-22 Earrings - Setting Each Piece: Sterling Silver - Icy Grey Diamonds: 17p, 0.16ct - Garnet: 1p, 0.98ct</t>
  </si>
  <si>
    <t>BO-000097</t>
  </si>
  <si>
    <t>Garnet, Icy Grey</t>
  </si>
  <si>
    <t>RM-BO BIKRAM V ST DIA IY GRT IY BO-C-BIKRAMV-4 Earrings - Setting Each Piece: Sterling Silver - Icy Yellow Diamonds: 19p, 0.95ct - Garnet: 1p, 6.42ct - IY : 4p, 0.06ct</t>
  </si>
  <si>
    <t>BO-000142</t>
  </si>
  <si>
    <t>Garnet, Icy Yell</t>
  </si>
  <si>
    <t>RM-BO SONG 1 F DIA 8X8 BO-H-SONG1F-2 Earrings - Setting Each Piece: Sterling Silver - 8X8 Cut Diamonds: 43p, 0.34ct</t>
  </si>
  <si>
    <t>BO-000324</t>
  </si>
  <si>
    <t>8x8 Cut Diamonds</t>
  </si>
  <si>
    <t>RM-PE 128 G V ST DIA IG GRT PE-C-128GV-2 Necklaces - Chain - With Setting Sterling Silver - Icy Grey Diamonds: 43p, 0.50ct - Garnet: 1p, 4.61ct</t>
  </si>
  <si>
    <t>PE-001875</t>
  </si>
  <si>
    <t>RM-BO BEGUM S ST C1½ DIA IG SBL BO-C-BEGUM-18 Earrings - Setting Each Piece: Sterling Silver -  Icy Grey Diamonds: 32p, 0.32ct - Blue Sapphires: 50p, 0.7ct - Black</t>
  </si>
  <si>
    <t>BO-000385</t>
  </si>
  <si>
    <t>NAN - AMETHYST 12pcs ct0.82, DIAMONDS 10pcs ct0.05, LABRADORITE 2pcs ct1.9,TSAVORITE 30pcs ct0.71, GREEN SAPPHIRE 26pcs ct1.13, PINK SAPPHIRE 16pcs ct0.58</t>
  </si>
  <si>
    <t>OS26-584</t>
  </si>
  <si>
    <t>AMETHYST 12pcs c</t>
  </si>
  <si>
    <t>MAL - SILVER EARRINGS WITH NATURAL STONE, EMERALD CUT   CITRINE</t>
  </si>
  <si>
    <t>OA0135/V2</t>
  </si>
  <si>
    <t>EMERALD CUT CITR</t>
  </si>
  <si>
    <t>MAL - SILVER NECKLACE, SHIVA LINGAM, ROUND ENGRAVED LINKS AND BAROQUE PEARLS (WHITE/GRAY) CM 107</t>
  </si>
  <si>
    <t>PEARLS (WHITE/GR</t>
  </si>
  <si>
    <t>TU_LE</t>
  </si>
  <si>
    <t>GEO - NECKLACE SODALITE</t>
  </si>
  <si>
    <t>RWR6839</t>
  </si>
  <si>
    <t>GVC - PINK GOLD RING 4.3g WITH DIAMOND 1.73CT ( PRINCESS CUT CT 1.14)</t>
  </si>
  <si>
    <t>AR17049</t>
  </si>
  <si>
    <t>RWR6852</t>
  </si>
  <si>
    <t>RM-PE OLYMPE A V S ST DIA IG 3R RU PE-C-OLYMPEAV-33 Necklaces - Chain - With Setting Sterling Silver - Icy Grey Diamonds: 185p, 1.41ct - Ruby: 1p</t>
  </si>
  <si>
    <t>PE-001770</t>
  </si>
  <si>
    <t>Ruby, Icy Grey D</t>
  </si>
  <si>
    <t>RWR6857</t>
  </si>
  <si>
    <t>RWR6869</t>
  </si>
  <si>
    <t>LINH_DUONG</t>
  </si>
  <si>
    <t>MAL - SILVER ENGRAVED RING "SOLITAIRE" WITH FACETED STONE 8MM - BLACK SPINEL   TG 12</t>
  </si>
  <si>
    <t>AA0050</t>
  </si>
  <si>
    <t>DAO_BUI</t>
  </si>
  <si>
    <t>TRUNG_LY</t>
  </si>
  <si>
    <t>NHU_NGUYEN</t>
  </si>
  <si>
    <t>RWR6934</t>
  </si>
  <si>
    <t>MAL - ENGRAVED SILVER RING, SHRI CAPSULE, ONE NATURAL STONE EMERALD CUT (6X6)  SKY TOPAZ   TG 12</t>
  </si>
  <si>
    <t>AA0118/V1/12</t>
  </si>
  <si>
    <t>RWR6933</t>
  </si>
  <si>
    <t>RWR6935</t>
  </si>
  <si>
    <t>MAL - ENGRAVED SILVER 13G NECKLACE WITH SMALL CROSS, 5 STONES EMERALD CUT (4X6 MM) AND ONE ROUND CUT STONE (6 MM).   SKY TOPAZ</t>
  </si>
  <si>
    <t>Mrs. Jamie Lee</t>
  </si>
  <si>
    <t>CA0227/V1/SKY TOPAZ</t>
  </si>
  <si>
    <t>MAL - ENGRAVED SILVER BANGLE WITH 2 NATURAL STONES, DROP CUT (7X10)  ROCK CRYSTAL - SMOKEY QUARTZ</t>
  </si>
  <si>
    <t>BA0143/SMOKEY QUARTZ</t>
  </si>
  <si>
    <t>SMOKEY QUARTZ -</t>
  </si>
  <si>
    <t>MAL - SILVER ENGRAVED RING "SOLITAIRE" WITH FACETED STONE 8MM - SMOKEY QUARTZ  TG 12</t>
  </si>
  <si>
    <t>AA0050/12</t>
  </si>
  <si>
    <t>SMOKEY QUARTZ</t>
  </si>
  <si>
    <t>Dao_Bui</t>
  </si>
  <si>
    <t>Ms. EKATERINA FEDORCHENKO</t>
  </si>
  <si>
    <t>0902838314</t>
  </si>
  <si>
    <t>LE_NGUYEN</t>
  </si>
  <si>
    <t>MAL - SILVER EARRINGS WITH ROUND NATURAL STONE  LEMON</t>
  </si>
  <si>
    <t>OA0133/V2</t>
  </si>
  <si>
    <t>NATURAL STONE  L</t>
  </si>
  <si>
    <t>Diem_NguyenSM</t>
  </si>
  <si>
    <t>RWD7</t>
  </si>
  <si>
    <t>NAN - DIAMONDS 2pcs ct0.04, RUTILE QUARTZ 16pcs ct32.38</t>
  </si>
  <si>
    <t>BS7-515</t>
  </si>
  <si>
    <t>DIAMONDS 2pcs ct</t>
  </si>
  <si>
    <t>NAN - DIAMONDS 4pcs ct0.08, RUTILE QUARTZ 7pcs ct16.4</t>
  </si>
  <si>
    <t>CS34-515</t>
  </si>
  <si>
    <t>DIAMONDS 4pcs ct</t>
  </si>
  <si>
    <t>RWR7028</t>
  </si>
  <si>
    <t>MAL - ENGRAVED SILVER 7.9G EARRINGS WITH FACETED DROP (8X30 MM)  FACETED ONYX</t>
  </si>
  <si>
    <t>OA0042</t>
  </si>
  <si>
    <t>FACETED ONYX</t>
  </si>
  <si>
    <t>Tu_Le</t>
  </si>
  <si>
    <t>GEO - NECKLACE FIRE AGATE</t>
  </si>
  <si>
    <t>RWD107</t>
  </si>
  <si>
    <t>RWD141</t>
  </si>
  <si>
    <t>MAL - SILVER ENGRAVED RING "SOLITAIRE" WITH FACETED STONE 8MM -  SMOKEY QUARTZ   TG 13</t>
  </si>
  <si>
    <t>Nguyen Kim Chi</t>
  </si>
  <si>
    <t>AA0050/13</t>
  </si>
  <si>
    <t>0934383838</t>
  </si>
  <si>
    <t>MAL - SILVER ENGRAVED RING "SOLITAIRE" WITH FACETED STONE 8MM - LONDON  TG 13</t>
  </si>
  <si>
    <t>AA0050/LO/13</t>
  </si>
  <si>
    <t>LONDON</t>
  </si>
  <si>
    <t>RM-NASHKA B1 S PGY DIA BRN (53) R-H-NASHKAB1-7 Rings - With Setting Sterling Silver - Yellow Gold:18k -  Brown Diamond: 28p, 3.92ct</t>
  </si>
  <si>
    <t>RG-074593</t>
  </si>
  <si>
    <t>Brown Diamond, Y</t>
  </si>
  <si>
    <t>RM-TOURIA R TB S ST DIA CO (52) R-C-TOURIARTB-4 Rings - With Setting Sterling Silver - Cognac Diamonds: 83p, 0.72ct</t>
  </si>
  <si>
    <t>RG-024226</t>
  </si>
  <si>
    <t>Cognac Diamonds</t>
  </si>
  <si>
    <t>52/G4</t>
  </si>
  <si>
    <t>RWD133</t>
  </si>
  <si>
    <t>RM-LESLIE P VP S ST ST DIA IG RU (53) R-C-LESLIEPVP-7 Rings - With Setting Sterling Silver - Icy Grey Diamonds: 80p, 0.64ct - Rubies: 13p, 0.13ct</t>
  </si>
  <si>
    <t>RG-075398</t>
  </si>
  <si>
    <t>53/G7</t>
  </si>
  <si>
    <t>RWD169</t>
  </si>
  <si>
    <t>RM-BEGUM R TB S ST DIA SBL SRP (51) R-C-BEGUMRTB-75 Rings - With Setting Sterling Silver - Blue Sapphires: 29p, 0.34ct - Serpentine: 1p, 3.83ct</t>
  </si>
  <si>
    <t>RG-074935</t>
  </si>
  <si>
    <t>51/G1</t>
  </si>
  <si>
    <t>NAN - NATURAL STONES 8pcs ct3.2, RUTILE QUARTZ 6pcs ct 16.25</t>
  </si>
  <si>
    <t>AH23-515</t>
  </si>
  <si>
    <t>NATURAL STONES 8</t>
  </si>
  <si>
    <t>RWD168</t>
  </si>
  <si>
    <t>RWD176</t>
  </si>
  <si>
    <t>RWD177</t>
  </si>
  <si>
    <t>RWD175</t>
  </si>
  <si>
    <t>DUNG_NGUYEN</t>
  </si>
  <si>
    <t>Ngoc_Phan</t>
  </si>
  <si>
    <t>RHN2890</t>
  </si>
  <si>
    <t>RHN2895</t>
  </si>
  <si>
    <t>RWD273</t>
  </si>
  <si>
    <t>RWD289</t>
  </si>
  <si>
    <t>NAN - DIAMONDS 6pcs ct0.12, RUTILE QUARTZ 6pcs ct20.35</t>
  </si>
  <si>
    <t>OS36-515</t>
  </si>
  <si>
    <t>DIAMONDS 6pcs ct</t>
  </si>
  <si>
    <t>SPK - CUSTOMS TAURUS -Three linked rings comprised of 18K yellow gold and sterling silver with U-pave grey diamonds and yellow gold connectors (approx 1.2ct TW)</t>
  </si>
  <si>
    <t>G3-TAUSGGR</t>
  </si>
  <si>
    <t>SILVER + GOLD +</t>
  </si>
  <si>
    <t>RWD288</t>
  </si>
  <si>
    <t>RWD290</t>
  </si>
  <si>
    <t>RWR7293</t>
  </si>
  <si>
    <t>MAL - SILVER NECKLACE WITH ENGRAVED LILIUM AND WHITE PEARLS</t>
  </si>
  <si>
    <t>CA0039/PT</t>
  </si>
  <si>
    <t>LILIUM AND WHITE</t>
  </si>
  <si>
    <t>0909977953</t>
  </si>
  <si>
    <t>RWR7313</t>
  </si>
  <si>
    <t>MAL - SILVER NECKLACE, FORZATINA CHAIN, WITH 1 SHIVA LINGAM AND ONE ENGRAVED LARGE HEART (3X3CM)  NECKLACE LENGHT: 90 CM</t>
  </si>
  <si>
    <t>CA0176</t>
  </si>
  <si>
    <t>1 SHIVA LINGAM A</t>
  </si>
  <si>
    <t>RWD396</t>
  </si>
  <si>
    <t>SPK - CUSTOM TARYN - 18k gold, Theano YG Bottom hoops (2.8mm x 20mm), with channel set WD, YG Connector (2mm x 6mm), YG Micro Hoop (2mm x 9mm)</t>
  </si>
  <si>
    <t>E-TARYNYG</t>
  </si>
  <si>
    <t>Nguyen Xuan Hanh</t>
  </si>
  <si>
    <t>0904085048</t>
  </si>
  <si>
    <t>CS11-583</t>
  </si>
  <si>
    <t>RWD412</t>
  </si>
  <si>
    <t>SPK - CUSTOM JANSSEN - Four linked rings in sterling silver with U-pavé grey diamonds and yellow and rose gold connectors (approx. 1.2ct TW)</t>
  </si>
  <si>
    <t>G4-JANSGGR</t>
  </si>
  <si>
    <t>RWD410</t>
  </si>
  <si>
    <t>RM-BELQUIS TB S ST DIA CO GLD RQTZ (53) R-C-BELQUISTB-94 Rings - With Setting Sterling Silver - Cognac Diamonds: 17p, 0.2ct - Golden Rutilated Quartz: 1p, 0.81ct</t>
  </si>
  <si>
    <t>CHI QUYNH</t>
  </si>
  <si>
    <t>RG-070607</t>
  </si>
  <si>
    <t>Golden Rutilated</t>
  </si>
  <si>
    <t>53/G3</t>
  </si>
  <si>
    <t>RHN3089</t>
  </si>
  <si>
    <t>MAL - SHRI CAPSULE NECKLACE IN SILVER WITH 17 NATURAL STONES (4 NAVETTE STONES 10X5 - 6 NAVETTE STONES 8X4, 7 ROUND CUT 4 MM) AND CLOSURE AT 95 CM.  CITRINE</t>
  </si>
  <si>
    <t>RHN3128</t>
  </si>
  <si>
    <t>RWD457</t>
  </si>
  <si>
    <t>ATS - PG Pr. of Earrings: dia 0,92ct G/VS</t>
  </si>
  <si>
    <t>88/01387R/B</t>
  </si>
  <si>
    <t>DIA</t>
  </si>
  <si>
    <t>SPK - CUSTOM ENZO  -2.8mm silver, 3.6mm silver black diamonds, 3.8mm silver with burnished black diamonds, yellow gold connectors</t>
  </si>
  <si>
    <t>G2-ENZSGNOIRCUST</t>
  </si>
  <si>
    <t>BLACK + SILVER +</t>
  </si>
  <si>
    <t>RWD459</t>
  </si>
  <si>
    <t>RM-TZIGANE R S ST DIA CO (size 52) R-C-TZIGANER-8 Rings - With Setting Sterling Silver - Cognac Diamonds: 55p, 0.56ct</t>
  </si>
  <si>
    <t>RG-004782</t>
  </si>
  <si>
    <t>52/G2</t>
  </si>
  <si>
    <t>RM-MORGANE R (51) R-C-MORGANER-1 Rings - No Setting Sterling Silver</t>
  </si>
  <si>
    <t>RG-045542</t>
  </si>
  <si>
    <t>51/G5</t>
  </si>
  <si>
    <t>RM-BERIL TH S ST DIA 8X8 GRN RQTZ (51) R-C-BERILTH-7 Rings - With Setting Sterling Silver - 8X8 Cut Diamonds: 17p, 0.39ct - Green Rutilated Quartz: 1p, 1.52ct</t>
  </si>
  <si>
    <t>RG-046744</t>
  </si>
  <si>
    <t>Green Rutilated</t>
  </si>
  <si>
    <t>RWD462</t>
  </si>
  <si>
    <t>RM-BEENU TB S ST DIA IG SWQTZ (size 52) R-C-BEENUTB-39 Rings - With Setting Sterling Silver - Icy Grey Diamonds: 22p, 0.24ct - Strawberry Quartz: 1p, 1.70ct</t>
  </si>
  <si>
    <t>RG-001380</t>
  </si>
  <si>
    <t>Strawberry Quart</t>
  </si>
  <si>
    <t>RWD460</t>
  </si>
  <si>
    <t>RWD476</t>
  </si>
  <si>
    <t>MAL - SILVER 4.5G, LOBE EARRINGS WITH PEARLS</t>
  </si>
  <si>
    <t>PEARLS</t>
  </si>
  <si>
    <t>NAN - EARRINGS DIAMONDS pcs 10 ct 0.08 ACQUAMARINE pcs 2 ct 25</t>
  </si>
  <si>
    <t>GG</t>
  </si>
  <si>
    <t>HOA_NGUYEN</t>
  </si>
  <si>
    <t>RWR7428</t>
  </si>
  <si>
    <t>NAN - NECKLACE ACQUAMARINE pcs 21 ct 0.19</t>
  </si>
  <si>
    <t>RWR7434</t>
  </si>
  <si>
    <t>MAL - ENGRAVED SILVER BANGLE WITH 2 NATURAL STONES, DROP CUT (7X10)  ROCK CRYSTAL - CITRINE</t>
  </si>
  <si>
    <t>BA0143/CITRINE</t>
  </si>
  <si>
    <t>CITRINE - ROCK C</t>
  </si>
  <si>
    <t>RWD494</t>
  </si>
  <si>
    <t>NAK - Pagoda Earrings: 3 cts black spinel, 0.21 cts G-H VS white diamond pave and 20k rose gold; 7/8 inches in length</t>
  </si>
  <si>
    <t>10389-BSL-20R</t>
  </si>
  <si>
    <t>RHN3241</t>
  </si>
  <si>
    <t>NAN - EARRINGS DIAMONDS pcs 10 ct 0.09</t>
  </si>
  <si>
    <t>OS17-583</t>
  </si>
  <si>
    <t>0985895991</t>
  </si>
  <si>
    <t>RWR7486</t>
  </si>
  <si>
    <t>NAN - BRACELET DIMAONDS pcs 42 ct 0,39</t>
  </si>
  <si>
    <t>BS32-583</t>
  </si>
  <si>
    <t>RWD668</t>
  </si>
  <si>
    <t>RWD712</t>
  </si>
  <si>
    <t>Le Bao Ngoc</t>
  </si>
  <si>
    <t>Le Ha Thuy Linh</t>
  </si>
  <si>
    <t>Dang Thanh Thuy</t>
  </si>
  <si>
    <t>RWD745</t>
  </si>
  <si>
    <t>RM-PE SUMO 3 C ST S PE-H-SUMO3-2 Necklaces - Chain - No Setting Sterling Silver</t>
  </si>
  <si>
    <t>PE-001565</t>
  </si>
  <si>
    <t>RM-PE SEIKO 5 PE-H-SEIKO5-1 Necklaces - Chain - No Setting Sterling Silver Sterling Silver</t>
  </si>
  <si>
    <t>PE-000386</t>
  </si>
  <si>
    <t>MAL - SILVER NECKLACE, SHAKTI LOVE CAPSULE, WITH 10 SMALL NATURAL STONES ROUND CUT AND ONE ENGRAVED HEART IN SILVER. CLOSURE AT 37/40/42/44 CM  SMOKEY QUARTZ</t>
  </si>
  <si>
    <t>MOKEY QUARTZ</t>
  </si>
  <si>
    <t>Hoa_Nguyen</t>
  </si>
  <si>
    <t>RWD809</t>
  </si>
  <si>
    <t>RWR7630</t>
  </si>
  <si>
    <t>NAK - Large Raindrop Earrings: approx. 2.81 cts white diamonds and 20k  rose gold; 1 5/8" in length</t>
  </si>
  <si>
    <t>10465-D-20R</t>
  </si>
  <si>
    <t>WHITE + ROSE GOL</t>
  </si>
  <si>
    <t>Ms. Vu Thi Hoa</t>
  </si>
  <si>
    <t>0904911411</t>
  </si>
  <si>
    <t>NGOC_VO</t>
  </si>
  <si>
    <t>Mrs. Nguyen Khuong</t>
  </si>
  <si>
    <t>0909678388</t>
  </si>
  <si>
    <t>RWD900</t>
  </si>
  <si>
    <t>ATS - PG Pr. of Earrings: dia 0,61ct G/VS, rubellite 7,40ct
+ emerald 10,97ct</t>
  </si>
  <si>
    <t>88/01178R/SR</t>
  </si>
  <si>
    <t>DIA + RED + EMER</t>
  </si>
  <si>
    <t>RHA364</t>
  </si>
  <si>
    <t>ROM-MARILOO S CU DIX PRT (53) R-H-MARILOO-11 Rings - With Setting Silver - Copper - Peridot: 1p, 0.86ct</t>
  </si>
  <si>
    <t>RG-076026</t>
  </si>
  <si>
    <t>Peridot, Copper,</t>
  </si>
  <si>
    <t>ROM-RINY 1 DIA IB (52) R-H-RINY1-9 Rings - With Setting Silver - Icy Diamonds: 6p, 0.45ct</t>
  </si>
  <si>
    <t>RG-076243</t>
  </si>
  <si>
    <t>Icy Diamonds, Si</t>
  </si>
  <si>
    <t>ROM-RINY F1 S ST DIA EM (54) R-H-RINYF1-5 Rings - With Setting Sterling Silver - Emeralds: 13p, 0.12ct</t>
  </si>
  <si>
    <t>RG-074411</t>
  </si>
  <si>
    <t>Emeralds, Silver</t>
  </si>
  <si>
    <t>ROM-CHIKA 3 S CU (53) R-H-CHIKA3-2 Rings - No Setting Silver - Copper</t>
  </si>
  <si>
    <t>RG-077613</t>
  </si>
  <si>
    <t>ROM-YONCA 1 S S GY (53) R-H-YONCA1-5 Rings - No Setting Sterling Silver - Yellow Gold (18K)</t>
  </si>
  <si>
    <t>Yellow Gold, Sil</t>
  </si>
  <si>
    <t>ROM-BLISS DIA IG HUN QTZ (52) R-H-BLISS-4 Rings - With Setting Silver -Icy Grey Diamond: 21p, 0.17ct - Honey Quartz: 1p 1.52ct</t>
  </si>
  <si>
    <t>RG-077611</t>
  </si>
  <si>
    <t>IcyGrey, Honey</t>
  </si>
  <si>
    <t>Ngoc_Vo</t>
  </si>
  <si>
    <t>RWD1030</t>
  </si>
  <si>
    <t>NAK-DOUBLE RUCHED RIBBON RING: 4.5 CTS BLACK SPINEL, 0.21 G-H VS WHITE DIAMONDS AND 20K RECYCLED ROSE GOLD; SIZE 6</t>
  </si>
  <si>
    <t>90085-BSL-20R</t>
  </si>
  <si>
    <t>BLACK SPINEL, DI</t>
  </si>
  <si>
    <t>RWR7740</t>
  </si>
  <si>
    <t>ROM-PEW EYE DIA CO SBL PE-H-PEEYE-2 Necklaces - Wax - With Setting Silver - Blue Sapphire: 1p, 0.04ct - Cognac Diamonds: 12p, 0.12ct</t>
  </si>
  <si>
    <t>PEW-000337</t>
  </si>
  <si>
    <t>BLUE SAPPHIRE, C</t>
  </si>
  <si>
    <t>RWD1053</t>
  </si>
  <si>
    <t>NAN - DIAMONDS 15pcs ct0.29, RHODOLITE 1pc ct0.06, RUBY 6pcs ct 0.43, WHITE OPAL 1pc ct0.75, FUXIA SAPPHIRE 8pcs ct0.27, PINK SAPPHIRE 10pcs ct0.5</t>
  </si>
  <si>
    <t>AS24-584</t>
  </si>
  <si>
    <t>DIAMONDS 15pcs c</t>
  </si>
  <si>
    <t>RWR7756</t>
  </si>
  <si>
    <t>ROM-RINY 1 DIA RU (52) R-H-RINY1-4 Rings - With Setting Sterling Silver - Rubies: 6p, 0.45ct</t>
  </si>
  <si>
    <t>RG-073127</t>
  </si>
  <si>
    <t>Rubies, Silver</t>
  </si>
  <si>
    <t>ROM-PAVLA H S S DIA 8X8 (53) R-H-PAVLAH-5 Rings - With Setting Silver - 8x8 Cut Diamonds: 11p, 0.12ct</t>
  </si>
  <si>
    <t>RG-076485</t>
  </si>
  <si>
    <t>ROM-PAQUITA H S GY (53) R-H-PAQUITAH-4 Rings - No Setting Silver - Yellow Gold (18K)</t>
  </si>
  <si>
    <t>RG-077615</t>
  </si>
  <si>
    <t>ROM-RINY F1 S ST DIA EM (52) R-H-RINYF1-5 Rings - With Setting Sterling Silver - Emeralds: 13p, 0.12ct</t>
  </si>
  <si>
    <t>RG-074411-784815</t>
  </si>
  <si>
    <t>0792558688</t>
  </si>
  <si>
    <t>Ms. Nikita Chu</t>
  </si>
  <si>
    <t>0973749931</t>
  </si>
  <si>
    <t>RWR7816</t>
  </si>
  <si>
    <t>NAN - "ÉLITE" GOLD 2.22 AND DIAMONDS 0.19 LIGHT POINT NECKLACE</t>
  </si>
  <si>
    <t>GG LU</t>
  </si>
  <si>
    <t>RHN3702</t>
  </si>
  <si>
    <t>RWD1231</t>
  </si>
  <si>
    <t>RWR7866</t>
  </si>
  <si>
    <t>GEO - EARRING M. PEARL</t>
  </si>
  <si>
    <t>A8</t>
  </si>
  <si>
    <t>RWD1246</t>
  </si>
  <si>
    <t>ROM-BRENNY B DIA BRN (53) R-H-BRENNYB-2 Rings - With Setting Silver - Brown Diamonds: 30p, 2.66ct</t>
  </si>
  <si>
    <t>RG-077612</t>
  </si>
  <si>
    <t>BROWN DIAMONDS</t>
  </si>
  <si>
    <t>LINH_LESM</t>
  </si>
  <si>
    <t>RWR7877</t>
  </si>
  <si>
    <t>NAK-KYOTO EARRINGS: 2.4CTS FIRE OPAL, 0.53 CTS BLACK SPINEL, 0.41 CTS RUBELLITE AND 20K ROSE GOLD; 1 1/2 INCHES IN LENGTH</t>
  </si>
  <si>
    <t>10403-FOP-20R</t>
  </si>
  <si>
    <t>RED-PINK-BLACK</t>
  </si>
  <si>
    <t>RWD1262</t>
  </si>
  <si>
    <t>NAN - "AZURE" CILIEGINE GOLD 2.9 AND MILKY AQUAMARINE 25 CT BALL DROP EARRINGS WITH DIAMONDS 0.08 CT (LARGE)</t>
  </si>
  <si>
    <t>GG IN</t>
  </si>
  <si>
    <t>RWR7884</t>
  </si>
  <si>
    <t>NAN - "AZURE" GOLD 2.8 AND AQUAMARINE 1.50CT DIAMOND 0.10CT  EVERYDAY DROP EARRINGS</t>
  </si>
  <si>
    <t>OS26-587</t>
  </si>
  <si>
    <t>Thuan_Nguyen</t>
  </si>
  <si>
    <t>THUAN_NGUYEN</t>
  </si>
  <si>
    <t>RWR7904</t>
  </si>
  <si>
    <t>NAN - "SOFFIO" GOLD 5.0 , DIAMONDS 0.08CT AND AQUAMARINE 6.0CT Y NECKLACE</t>
  </si>
  <si>
    <t>CS22-587</t>
  </si>
  <si>
    <t>RWD1290</t>
  </si>
  <si>
    <t>ROM-PE SPYRO 2 S CRS ENG 2T PE-C-SPYRO2-6 Necklaces - Chain - No Setting Silver</t>
  </si>
  <si>
    <t>PE-001821</t>
  </si>
  <si>
    <t>NHI_BUI</t>
  </si>
  <si>
    <t>RWD1300</t>
  </si>
  <si>
    <t>ROM-PEW 18G PE-C-18G-1 Necklaces - Wax - No Setting Silver</t>
  </si>
  <si>
    <t>Mrs. Truong Thi Ngoc Tran</t>
  </si>
  <si>
    <t>PEW-000326</t>
  </si>
  <si>
    <t>0906343062</t>
  </si>
  <si>
    <t>RWR7926</t>
  </si>
  <si>
    <t>GEO - RING LAPIS</t>
  </si>
  <si>
    <t>B2</t>
  </si>
  <si>
    <t>RWR7943</t>
  </si>
  <si>
    <t>ROM-POLA 1 (50) R-H-POLA1-1 Rings - No Setting Silver</t>
  </si>
  <si>
    <t>RG-077616</t>
  </si>
  <si>
    <t>RWD1322</t>
  </si>
  <si>
    <t>ROM-PEW DOLPHIN PE-H-DOLPHIN-2 Necklaces - Wax - No Setting Silver</t>
  </si>
  <si>
    <t>PEW-000341</t>
  </si>
  <si>
    <t>Silver, DOLPHIN</t>
  </si>
  <si>
    <t>RWR7959</t>
  </si>
  <si>
    <t>ROM-YTO S ST DIA 8X8 EM (53) R-H-YTO-49 Rings - With Setting Sterling Silver - 8X8 Cut Diamonds: 12p, 0.11ct - Emerald: 1p, 0.02ct</t>
  </si>
  <si>
    <t>RG-072121</t>
  </si>
  <si>
    <t>Emerald, 8X8 Cut</t>
  </si>
  <si>
    <t>ROM-POPPY 1(1) S ST DIX BLK (53) R-H-POPPY1(1)-6 Rings - With Setting Silver - Black Diamond: 1p, 0.03ct</t>
  </si>
  <si>
    <t>RG-074755</t>
  </si>
  <si>
    <t>Black Diamond, S</t>
  </si>
  <si>
    <t>RWD1359</t>
  </si>
  <si>
    <t>LE THANH TAM</t>
  </si>
  <si>
    <t>0938685855</t>
  </si>
  <si>
    <t>GEO-SMOKY QUARZ CORNELIAN NECKLACE</t>
  </si>
  <si>
    <t>GEO-BAMBOO CORAL NECKLACE</t>
  </si>
  <si>
    <t>GEO-EARRING MOSS AGATE</t>
  </si>
  <si>
    <t>GEO-EARRING PEARL</t>
  </si>
  <si>
    <t>GEO-PEARL NECKLACE</t>
  </si>
  <si>
    <t>RHN3951</t>
  </si>
  <si>
    <t>BLFD654</t>
  </si>
  <si>
    <t>ROM-ROKY 1 (51) R-H-ROKY1-1 Rings - No Setting Sterling Silver</t>
  </si>
  <si>
    <t>RG-077619</t>
  </si>
  <si>
    <t>ROM-RINY 1 DIA RU (54) R-H-RINY1-4 Rings - With Setting Sterling Silver - Rubies: 6p, 0.45ct</t>
  </si>
  <si>
    <t>RG-073126</t>
  </si>
  <si>
    <t>ROM-RINY 1 DIA IB (54) R-H-RINY1-9 Rings - With Setting Silver - Icy Diamonds: 6p, 0.45ct</t>
  </si>
  <si>
    <t>RG-076244</t>
  </si>
  <si>
    <t>BLFD655</t>
  </si>
  <si>
    <t>NAN - "LIBERA"  CHAIN BRACELET GOLD 12.20 WITH DIAMOND 0.14CT LENGTH 210</t>
  </si>
  <si>
    <t>BS3-602</t>
  </si>
  <si>
    <t>RRLU</t>
  </si>
  <si>
    <t>BLFD657</t>
  </si>
  <si>
    <t>NAN - BLUE TOPAZ 2pcs ct0.44, BLUE DIAMOND 34pcs ct0.53, LONDON BLUE TOPAZ 1pc ct7.65, SWISS BLUE TOPAZ 50pcs ct2.92, GREEN SAPPHIRE 41pcs ct 1.57</t>
  </si>
  <si>
    <t>KIMBERLY A LITTLE</t>
  </si>
  <si>
    <t>AS6-584</t>
  </si>
  <si>
    <t>BLUE TOPAZ 2pcs</t>
  </si>
  <si>
    <t>NAN - DIAMONDS 14pcs ct0.08, BLUE DIAMOND 80pcs ct1.31, LONDON BLUE TOPAZ 2pcs ct15.3, SWISS BLUE TOPAZ 100pcs ct5.79, GREEN SAPPIRE 94pcs ct3.42</t>
  </si>
  <si>
    <t>OS33-584</t>
  </si>
  <si>
    <t>GEO-BLACK BRACELET</t>
  </si>
  <si>
    <t>GEO-GARNET NECKLACE</t>
  </si>
  <si>
    <t>GEO-CORNELIAN EARRING</t>
  </si>
  <si>
    <t>GEO-GREEN EARRING</t>
  </si>
  <si>
    <t>GEO-MOONSTONE EARRING</t>
  </si>
  <si>
    <t>Moon</t>
  </si>
  <si>
    <t>GEO-EARRING BLACK ROUND</t>
  </si>
  <si>
    <t>GEO-EARRING CORNELIAN</t>
  </si>
  <si>
    <t>GEO-GARNET HORN NECKLACE</t>
  </si>
  <si>
    <t>GEO-EMATOIDE NECKLACE</t>
  </si>
  <si>
    <t>GEO - NECKLACE GIADE</t>
  </si>
  <si>
    <t>GEO-SERPENTINE NECKLACE</t>
  </si>
  <si>
    <t>GEO - EARRING TURQUOISE</t>
  </si>
  <si>
    <t>RWD1420</t>
  </si>
  <si>
    <t>GEO - RING GARNET</t>
  </si>
  <si>
    <t>RWR8035</t>
  </si>
  <si>
    <t>ROM-POLA 1 (53) R-H-POLA1-1 Rings - No Setting Silver</t>
  </si>
  <si>
    <t>RG-077617</t>
  </si>
  <si>
    <t>RM-TOURIA R S ST C2 S DIX CO (52) R-C-TOURIAR-3 Rings - With Setting Sterling Silver - Cognac Diamonds: 22p, 0.46ct</t>
  </si>
  <si>
    <t>RG-024216</t>
  </si>
  <si>
    <t>RM-YOKO S GP DIX BLK SPL (size 52) R-C-YOKO-40 Rings - With Setting Sterling Silver - Pink Gold (12K): 3gr - Black Spinal: 1p, 5.82ct</t>
  </si>
  <si>
    <t>RG-075647</t>
  </si>
  <si>
    <t>Pink Gold, Black</t>
  </si>
  <si>
    <t>NAN - "AMAZONIA" CILIEGINE GOLD</t>
  </si>
  <si>
    <t>OS4-603</t>
  </si>
  <si>
    <t>GVC-PINK GOLD RING W GOLD 11.20GR DIAMOND 1.07CT</t>
  </si>
  <si>
    <t>AR16990</t>
  </si>
  <si>
    <t>GVC-PINK GOLD P.OF EARRINGS W GOLD 11.20GR DIAMOND 0.90CT</t>
  </si>
  <si>
    <t>B39166</t>
  </si>
  <si>
    <t>RWR8074</t>
  </si>
  <si>
    <t>RM-VIZA CU S (51) R-H-VIZA-2 Rings - No Setting Sterling Silver</t>
  </si>
  <si>
    <t>RG-005466</t>
  </si>
  <si>
    <t>GEO-LAPIS NECKLACE</t>
  </si>
  <si>
    <t>GEO-LAPIS EARRING</t>
  </si>
  <si>
    <t>HQ416</t>
  </si>
  <si>
    <t>ATS-WG Pr. of Earrings: diamond octagon 3,85ct G/VS + diamond baguette 1,62ct G/VS + diamond round 0,41ct G/VS / grm 13.52 / size U</t>
  </si>
  <si>
    <t>139/AW2024W</t>
  </si>
  <si>
    <t>diamond</t>
  </si>
  <si>
    <t>RWR8082</t>
  </si>
  <si>
    <t>ROM-PEW OJO MINUS DIA CO RU PE-H-PEOJOMINUS-3 Necklaces - Wax - With Setting Silver - Cognac Diamonds: 7p, 0.08ct - Ruby: 1p, 0.03ct</t>
  </si>
  <si>
    <t>PEW-000336</t>
  </si>
  <si>
    <t>Ruby, Cognac Dia</t>
  </si>
  <si>
    <t>THAO_VY</t>
  </si>
  <si>
    <t>GEO-EARRING AMBER</t>
  </si>
  <si>
    <t>RWD1507</t>
  </si>
  <si>
    <t>RWD1530</t>
  </si>
  <si>
    <t>NAN - EARRINGS DIAMONDS pcs 12 ct 0.1</t>
  </si>
  <si>
    <t>OS16-583</t>
  </si>
  <si>
    <t>RWR8100</t>
  </si>
  <si>
    <t>ROM-NINKA (53) R-C-NINKA-1 Rings - No Setting Silver</t>
  </si>
  <si>
    <t>RG-045570</t>
  </si>
  <si>
    <t>GEO-JADE NECKLACE</t>
  </si>
  <si>
    <t>GEO-MOSS AGATE NECKLACE</t>
  </si>
  <si>
    <t>GEO-MOONSTONE NECKLACE</t>
  </si>
  <si>
    <t>Ms. Hang Giang</t>
  </si>
  <si>
    <t>0912419090</t>
  </si>
  <si>
    <t>0901417968</t>
  </si>
  <si>
    <t>Nguyen Bich Ngoc</t>
  </si>
  <si>
    <t>GVC-PINK GOLD P.OF EARRINGS W GOLD 13.40GR DIAMOND 1.09CT</t>
  </si>
  <si>
    <t>B39513</t>
  </si>
  <si>
    <t>GVC-PINK GOLD NECKLACE W GOLD 13.30GR DIAMOND 1.14CT</t>
  </si>
  <si>
    <t>GR39515</t>
  </si>
  <si>
    <t>RWR8173</t>
  </si>
  <si>
    <t>ROM-DOLORES H 2 DIX CO (53) R-H-DOLORESH2-2 Rings - With Setting Silver - Cognac Diamonds: 2p, 0.04ct</t>
  </si>
  <si>
    <t>RG-076228</t>
  </si>
  <si>
    <t>GVC-PINK GOLD RING W GOLD 14.70GR DIAMOND 1.46CT</t>
  </si>
  <si>
    <t>AR16817</t>
  </si>
  <si>
    <t>ATS-WG Ring: diamond 0,83ct G/VS / grm gold 5.74 / size 12</t>
  </si>
  <si>
    <t>93/7207/W</t>
  </si>
  <si>
    <t>white diamond</t>
  </si>
  <si>
    <t>GVC-WHITE GOLD P.OF EARRINGS W GOLD 13.09GR DIAMOND 0.79CT</t>
  </si>
  <si>
    <t>BB39745</t>
  </si>
  <si>
    <t>WHITE/DIAMOND</t>
  </si>
  <si>
    <t>NAN - "LIBERA" SMALL GOLD 2.68 SQUARE HOOP EARRINGS WITH DIAMONDS 0.13CT</t>
  </si>
  <si>
    <t>OS1-602</t>
  </si>
  <si>
    <t>GEO-EARRING NEFRITE</t>
  </si>
  <si>
    <t>GEO-BLACK AGATE NECKLACE</t>
  </si>
  <si>
    <t>HQ428</t>
  </si>
  <si>
    <t>RWR8190</t>
  </si>
  <si>
    <t>RWD1633</t>
  </si>
  <si>
    <t>RM-ROBBIE 4 DIX GLD RQTZ (52) R-H-ROBBIE4-6 Rings - With Setting Sterling Silver - Golden Rutilated Quartz: 1p, 7.37ct</t>
  </si>
  <si>
    <t>RG-074656</t>
  </si>
  <si>
    <t>52/G8</t>
  </si>
  <si>
    <t>RWR8226</t>
  </si>
  <si>
    <t>NAN - "AZURE" GOLD 18K 3.60, AQUAMARINE 0.73CT AND DIAMONDS 0.12CT HOOP EARRINGS</t>
  </si>
  <si>
    <t>OS36-597</t>
  </si>
  <si>
    <t>YELLOW, AQUAMARI</t>
  </si>
  <si>
    <t>Ms. Sandy Tsai</t>
  </si>
  <si>
    <t>0918684553</t>
  </si>
  <si>
    <t>MAL - ENGRAVED SILVER BANGLE (NEW SMALL)   ATTENZIONE  TAGLIA COME CAMPIONE</t>
  </si>
  <si>
    <t>BA0079/SMALL</t>
  </si>
  <si>
    <t>ATTENZIONE  TAGL</t>
  </si>
  <si>
    <t>ATS-PG Ring: diamond 0,51ct G/VS + pink sapphire 3,03ct + yellow sapphire 1,05ct + amethyst 2,80ct + pink tourmaline 0,46ct / gmr gold 15.85 / size 13</t>
  </si>
  <si>
    <t>88/8821/Ri</t>
  </si>
  <si>
    <t>pink sapphire, y</t>
  </si>
  <si>
    <t>LUI - SILVER RING MEDIUM BAND WITH 9KT GOLD STUDS</t>
  </si>
  <si>
    <t>AA0033AUBO</t>
  </si>
  <si>
    <t>SILVER, GOLD</t>
  </si>
  <si>
    <t>LUI - SILVER EARRINGS, MEDIUM SIZE WITH PEARLS</t>
  </si>
  <si>
    <t>RWD1706</t>
  </si>
  <si>
    <t>LUI - SILVER NECKLACE GOLD PLATED, CARVED WITH NAVETTE STONES (8X4) SKY TOPAZ - LETTER N</t>
  </si>
  <si>
    <t>CA0276/POG</t>
  </si>
  <si>
    <t>RWD1708</t>
  </si>
  <si>
    <t>MAL - ENGRAVED SILVER EARRINGS WITH 3 NATURAL STONES, VARIOUS CUT (EMERALD, ROUND, DROP CUT)  PERIDOT</t>
  </si>
  <si>
    <t>OA0248/V1/PERIDOT</t>
  </si>
  <si>
    <t>RWR8266</t>
  </si>
  <si>
    <t>Mrs. Phan Thi Chau Loan</t>
  </si>
  <si>
    <t>0932140170</t>
  </si>
  <si>
    <t>GVC-PING GOLD P.OF EARRINGS W GOLD 15.05GR DIAMOND 0.79CT</t>
  </si>
  <si>
    <t>B39745</t>
  </si>
  <si>
    <t>GVC-WHITE GOLD RING W GOLD 18.10GR DIAMOND 1.85CT</t>
  </si>
  <si>
    <t>AB17191</t>
  </si>
  <si>
    <t>RWR8270</t>
  </si>
  <si>
    <t>VHN - EARCLIPS Calla The One Gold Gr 10,35  Acciaio Gr 0,10  14 Diamonds Ct 0,06</t>
  </si>
  <si>
    <t>0G1800B 310 A</t>
  </si>
  <si>
    <t>VHN - Ring Calla Media Gold Gr 11,50  Titanium Gr 0,45</t>
  </si>
  <si>
    <t>0N1652A 160</t>
  </si>
  <si>
    <t>VHN - Bracelet Calla Media Gold</t>
  </si>
  <si>
    <t>0G1652BR313</t>
  </si>
  <si>
    <t>VHN - EARCLIPS Pirouette Gold Gr 26,95  White gold Gr 0,80</t>
  </si>
  <si>
    <t>0N0623B 110 A</t>
  </si>
  <si>
    <t>VHN - EARCLIPS Tourbillon S Gold Gr 15,60  White gold Gr 3,80</t>
  </si>
  <si>
    <t>PN1527B 101</t>
  </si>
  <si>
    <t>VHN - EARCLIPS Calla The One Gold Gr 11,00  Acciaio Gr 0,10  14 Diamonds Ct 0,05</t>
  </si>
  <si>
    <t>0G1800B 310 B</t>
  </si>
  <si>
    <t>VHN - Ring Tourbillon S Gold Gr</t>
  </si>
  <si>
    <t>PN1527A 101</t>
  </si>
  <si>
    <t>VHN - EARCLIPS Abbraccio S Gold</t>
  </si>
  <si>
    <t>0N1511B 100 A</t>
  </si>
  <si>
    <t>NAK - Petite Rose Studs: 0.76 cts Ethiopian opal, 0.42 cts spinel, 0.28 cts rubellite, 0.26 cts ruby,  and 20k recycled rose gold; 13.8 mm in length</t>
  </si>
  <si>
    <t>10337-R/SPL/RBL-20R</t>
  </si>
  <si>
    <t>RUBY + OPAL + RO</t>
  </si>
  <si>
    <t>RM-PE ROBERTA 3 VP SP S ST S DIX CO 2R PE-C-ROBERTA3VP-2 Necklaces - Chain - With Setting Sterling Silver - Cognac Diamonds: 138p, 1.15ct</t>
  </si>
  <si>
    <t>PE-000962</t>
  </si>
  <si>
    <t>RM-BO 13 S ST C1½ S DIX IG  BO-C-13-2 Earrings - Setting Each Piece: Sterling Silver - Icy Grey Diamonds: 30p, 0.32ct</t>
  </si>
  <si>
    <t>BO-000223</t>
  </si>
  <si>
    <t>Icy Grey Diamond</t>
  </si>
  <si>
    <t>RM-MALLOW R S S GY S DIX IG  (53) R-C-MALLOWR-6 Rings - With Setting Sterling Silver - Yellow Gold (18K) - Icy Grey Diamonds: 7p, 0.06ct</t>
  </si>
  <si>
    <t>RG-023088</t>
  </si>
  <si>
    <t>Yellow Gold, Icy</t>
  </si>
  <si>
    <t>ROM-MARILOO DIX SWQTZ (53) R-H-MARILOO-2 Rings - With Setting Silver - Strawberry Quartz: 1p, 0.78ct</t>
  </si>
  <si>
    <t>RG-070798</t>
  </si>
  <si>
    <t>RM-NENA DIA 8X8 (51) R-C-NENA-4 Rings - With Setting Sterling Silver - 8X8 Cut Diamonds: 30p, 0.34ct</t>
  </si>
  <si>
    <t>RG-048689</t>
  </si>
  <si>
    <t>ROM-BO WIN 1 GY DIX CO 4P YELLOW GOLD 18K EARRRINGS - COGNAC DIAMONDS: 8P, 0.12CT</t>
  </si>
  <si>
    <t>BO-000365</t>
  </si>
  <si>
    <t>Gold, Cognac dia</t>
  </si>
  <si>
    <t>RWR8295</t>
  </si>
  <si>
    <t>VHN - Necklace Calla Gold Gr 33,25  Gold Gr 1,35  10 Ebony Gr 44,65</t>
  </si>
  <si>
    <t>000648CL264 A</t>
  </si>
  <si>
    <t>RWR8293</t>
  </si>
  <si>
    <t>VHN - Ring Calla The One Gold Gr 5,35  7 Diamonds Ct 0,02</t>
  </si>
  <si>
    <t>0G1800A 300</t>
  </si>
  <si>
    <t>RWR8298</t>
  </si>
  <si>
    <t>RWR8311</t>
  </si>
  <si>
    <t>VHN - EARCLIPS Calla The One Gold Gr 10,30  Acciaio Gr 0,10  14 Diamonds Ct 0,05</t>
  </si>
  <si>
    <t>0G1800B 310 C</t>
  </si>
  <si>
    <t>GVC-WHITE GOLD P.OF EARRINGS W GOLD 17.30GR DIAMOND 1.96CT</t>
  </si>
  <si>
    <t>BB39833</t>
  </si>
  <si>
    <t>MINH_DO</t>
  </si>
  <si>
    <t>GVC-WHITE GOLD P.OF EARRINGS W GOLD 10.40GR DIAMOND 0.90CT</t>
  </si>
  <si>
    <t>BB39166</t>
  </si>
  <si>
    <t>RM-JOANNE R S ST DIA IG (51) R-C-JOANNER-2 Rings - With Setting Sterling Silver - Icy Grey Diamonds: 52p, 0.5ct</t>
  </si>
  <si>
    <t>RG-047790</t>
  </si>
  <si>
    <t>0914587765</t>
  </si>
  <si>
    <t>LUI - NECKLACE IN MATTE ONYX 6 MM AND SILVER TASSEL</t>
  </si>
  <si>
    <t>CA0019</t>
  </si>
  <si>
    <t>RM-ROMY VP S ST GY DIA CO (51) R-C-ROMYVP-2 Rings - With Setting Sterling Silver - Cognac Diamonds: 53p, 0.54ct - Yellow Gold (18K)</t>
  </si>
  <si>
    <t>RG-075637</t>
  </si>
  <si>
    <t>Cognac Diamonds,</t>
  </si>
  <si>
    <t>51/G7</t>
  </si>
  <si>
    <t>NAK - Ruffled Ear Lasso Earrings: 7.96 cts black spinel  rose gold; 1 5/8 inches in length</t>
  </si>
  <si>
    <t>10355-BSL-20R</t>
  </si>
  <si>
    <t>BLACK SPINEL  RO</t>
  </si>
  <si>
    <t>RM Silver ring-top middle green</t>
  </si>
  <si>
    <t>BIKRAM (TH) DIX (TURM.)</t>
  </si>
  <si>
    <t>Silver/green</t>
  </si>
  <si>
    <t>ROM-ELVIA S GY (52) R-C-ELVIA-10 Rings - No Setting Silver - Yellow Gold (18K)</t>
  </si>
  <si>
    <t>RG-050131</t>
  </si>
  <si>
    <t>VHN - Chain Pop Gold Gr 35,20  10 Ebony Gr 21,65</t>
  </si>
  <si>
    <t>001266CL280 A</t>
  </si>
  <si>
    <t>RHN4555</t>
  </si>
  <si>
    <t>VHN - Ring Abbraccio S White gold Gr 18,20  75 Diamonds Ct 0,64</t>
  </si>
  <si>
    <t>PG1511A 365</t>
  </si>
  <si>
    <t>VHN - Necklace Calla Gold Gr 32,95  Gold Gr 1,35  10 Ebony Gr 44,80</t>
  </si>
  <si>
    <t>000648CL264 B</t>
  </si>
  <si>
    <t>RWR8350</t>
  </si>
  <si>
    <t>0N1511B 100 B</t>
  </si>
  <si>
    <t>RM-BO 13 S ST C1½ GY DIX CO BO-C-13-6 Earrings - Setting Each Piece: Sterling Silver - Yellow Gold (18K) - Cognac Diamonds: 30p, 0.32ct</t>
  </si>
  <si>
    <t>BO-000603</t>
  </si>
  <si>
    <t>Yellow Gold, Cog</t>
  </si>
  <si>
    <t>RWT7176</t>
  </si>
  <si>
    <t>RWR8380</t>
  </si>
  <si>
    <t>LUI - SILVER NECKLACE CARVED WITH NAVETTE STONES (8X4) SPINEL - LETTER T</t>
  </si>
  <si>
    <t>CA0276/AG T</t>
  </si>
  <si>
    <t>LUI - SILVER NECKLACE CARVED WITH NAVETTE STONES (8X4) LEMON QUARTZ - LETTER M</t>
  </si>
  <si>
    <t>CA0276/AG M</t>
  </si>
  <si>
    <t>RWT7185</t>
  </si>
  <si>
    <t>RWT7184</t>
  </si>
  <si>
    <t>RWT7179</t>
  </si>
  <si>
    <t>RWT7181</t>
  </si>
  <si>
    <t>RWT7182</t>
  </si>
  <si>
    <t>RWT7183</t>
  </si>
  <si>
    <t>RWT7180</t>
  </si>
  <si>
    <t>RM-BO BERIL S ST DIA BLK SPL 8X8 BO-C-BERIL-48 Earrings - Setting Each Piece: Sterling Silver - Black Spinal: 1p, 2.2ct -  8X8 Cut Diamonds: 4p, 0.06ct</t>
  </si>
  <si>
    <t>BO-000625</t>
  </si>
  <si>
    <t>Black Spinal, Di</t>
  </si>
  <si>
    <t>RWR8396</t>
  </si>
  <si>
    <t>VHN - Ring Abbraccio S Gold Gr 14,80</t>
  </si>
  <si>
    <t>0N1511A 100</t>
  </si>
  <si>
    <t>RWT7213</t>
  </si>
  <si>
    <t>LUI - SILVER NECKLACE WITH SMALL CROSS COLLANA SMALL WITH EMERALD CUT STONES  ( 4 X 6 ) RED RODOLITE</t>
  </si>
  <si>
    <t>CA0227/V2</t>
  </si>
  <si>
    <t>LUI - SILVER, ENGRAVES EARRINGS</t>
  </si>
  <si>
    <t>OA0117/POG</t>
  </si>
  <si>
    <t>GOLD, BLACK</t>
  </si>
  <si>
    <t>RWT7215</t>
  </si>
  <si>
    <t>LUI - SILVER NECKLACE CARVED WITH NAVETTE STONES (8X4) SPINEL 
LETTER D</t>
  </si>
  <si>
    <t>CA0276/AG D</t>
  </si>
  <si>
    <t>HQ456</t>
  </si>
  <si>
    <t>RWR8408</t>
  </si>
  <si>
    <t>LUI - SILVER NECKLACE SMALL INTAGLIATO A CROCE CON PIETRA NAVETTE (8X4) SPINELLO NERO</t>
  </si>
  <si>
    <t>CA0279</t>
  </si>
  <si>
    <t>NAN - "WHITE DESERT" CILIEGINE GOLD 2.90 AND WHITE MOONSTONE 25.0CT BALL DROP EARRINGS WITH DIAMONDS 0.08CT  (LARGE)</t>
  </si>
  <si>
    <t>OS1-603</t>
  </si>
  <si>
    <t>RWD1876</t>
  </si>
  <si>
    <t>ROM-PAQUITA H S GY (52) R-H-PAQUITAH-4 Rings - No Setting Silver - Yellow Gold (18K)</t>
  </si>
  <si>
    <t>RG-077354</t>
  </si>
  <si>
    <t>NAN - “DANCING ELITE” GOLD 3.98</t>
  </si>
  <si>
    <t>CS6-583</t>
  </si>
  <si>
    <t>RWD1892</t>
  </si>
  <si>
    <t>Mrs. Mai Ngoc Hiep</t>
  </si>
  <si>
    <t>0909089999</t>
  </si>
  <si>
    <t>LUI - GOLD PLATED EARRINGS WITH</t>
  </si>
  <si>
    <t>OA0282/AG/POG</t>
  </si>
  <si>
    <t>GOLD, WHITE</t>
  </si>
  <si>
    <t>LUI - SILVER NECKLACE, LENGTH 116 CM WITH 10 SMALL FLAT BUTTONS AND 3 BIG FLAT BUTTONS</t>
  </si>
  <si>
    <t>CA0063/POG</t>
  </si>
  <si>
    <t>LUI - SILVER NECKLACE GOLD-PLATED CARVED STONES NAVETTE (10X5PCS1) NAVETTE (8X4PCS2) AND PEARLS (5.5MMPCS21) SMOKY QUARTZ</t>
  </si>
  <si>
    <t>CA0257/V1/POG</t>
  </si>
  <si>
    <t>GOLD, SMOKY</t>
  </si>
  <si>
    <t>LUI - GOLD PLATED RING WITH  9 MM PEARL SIZE</t>
  </si>
  <si>
    <t>AA0119/PERLA/POG</t>
  </si>
  <si>
    <t>RWT7316</t>
  </si>
  <si>
    <t>LUI - SMALL SILVER CROSS PENDANT CARVED WITH NAVETTE STONE (8X4): GARNET STONE</t>
  </si>
  <si>
    <t>CA0278/V1</t>
  </si>
  <si>
    <t>NAM_PHAM</t>
  </si>
  <si>
    <t>NAN - "SOFFIO" GOLD 4.76 AND DIAMONDS 0.08CT Y NECKLACE</t>
  </si>
  <si>
    <t>CS10-583</t>
  </si>
  <si>
    <t>RWR8452</t>
  </si>
  <si>
    <t>VHN - Ring Calla Media Gold Gr 11,15  Titanium Gr 0,45</t>
  </si>
  <si>
    <t>VHN - EARCLIPS Calla The One Gold Gr 17,65  Acciaio Gr 0,10  14 Diamonds Ct 0,06</t>
  </si>
  <si>
    <t>0G1800B 300 B</t>
  </si>
  <si>
    <t>RWT7348</t>
  </si>
  <si>
    <t>LUI - SILVER RING CARVED WITH 10 EMERALD-CUT STONES (6 X 4) CITRINE</t>
  </si>
  <si>
    <t>AA0138/V1</t>
  </si>
  <si>
    <t>VHN-CALLA THE ONE RING SIZE 53</t>
  </si>
  <si>
    <t>MG1800A 301</t>
  </si>
  <si>
    <t>WHITE GOLD &amp; DIA</t>
  </si>
  <si>
    <t>MG1800A 010</t>
  </si>
  <si>
    <t>VHN-CALLA THE ONE EARRINGS</t>
  </si>
  <si>
    <t>MG1800B 301</t>
  </si>
  <si>
    <t>MG1800B 020</t>
  </si>
  <si>
    <t>VHN-MON JEU BRACELET</t>
  </si>
  <si>
    <t>T01332CO630 &amp; TG1332CO030</t>
  </si>
  <si>
    <t>BLACK TITANIUM &amp;</t>
  </si>
  <si>
    <t>P01332CO101 &amp; T013322CO630</t>
  </si>
  <si>
    <t>GOLD &amp; BLACK TIT</t>
  </si>
  <si>
    <t>TG1332CO061</t>
  </si>
  <si>
    <t>VHN-TROTTOLA RING SIZE 53</t>
  </si>
  <si>
    <t>T00749A 100</t>
  </si>
  <si>
    <t>RHN4714</t>
  </si>
  <si>
    <t>MAL - SILVER NECKLACE, SHRI CAPSULE, WITH ONE NATURAL STONE NAVETTE CUT (10X5) AND ONE STONE DROP CUT (9X6)   PERIDOT</t>
  </si>
  <si>
    <t>CA0186/V1</t>
  </si>
  <si>
    <t>ROM-PE POMEGRANATE H PE-H-POMEGRANATEH-3 Necklaces - Chain - No Setting Silver</t>
  </si>
  <si>
    <t>PE-002021</t>
  </si>
  <si>
    <t>Silver, POMEGRAN</t>
  </si>
  <si>
    <t>NAN - "AZURE" GOLD 3.40, AQUAMARINE 0.73CT AND DIAMONDS 0.08 CT HANDMADE BANGLE</t>
  </si>
  <si>
    <t>BS7-597</t>
  </si>
  <si>
    <t>NAN - “SPECIAL EDITION” NECKLACE GOLD 18K 3.40 DIAMONDS 0.03CT MOONSTONE 13.25CT</t>
  </si>
  <si>
    <t>CS6-603</t>
  </si>
  <si>
    <t>YELLOW, WHITE</t>
  </si>
  <si>
    <t>NAN - “DANCING ELITE” GOLD 7.84</t>
  </si>
  <si>
    <t>OS18-583</t>
  </si>
  <si>
    <t>NAN - "LIBERA" GOLD 18K 1.92 AND DIAMONDS 0.11CT HOOP EARRINGS (SMALL)</t>
  </si>
  <si>
    <t>OS10-602</t>
  </si>
  <si>
    <t>RWT7497</t>
  </si>
  <si>
    <t>MAL - ENGRAVED SILVER RING, SHRI CAPSULE, ONE NATURAL STONE EMERALD CUT (6X6)  SKY TOPAZ   TG 13</t>
  </si>
  <si>
    <t>AA0118/V1/13</t>
  </si>
  <si>
    <t>RM-PE OLYMPE A V S ST DIA BLK 1G PE-C-OLYMPEAV-23 Necklaces - Chain - With Setting Sterling Silver - Black Diamonds: 26p, 2.24ct</t>
  </si>
  <si>
    <t>PE-001772</t>
  </si>
  <si>
    <t>Black Diamonds</t>
  </si>
  <si>
    <t>ROM-BLUE C DIA IG SBL CO (52) R-H-BLUEC-2 Rings - With Setting Silver - Icy Grey Diamonds : 35p, 0.26ct - Blue Sapphires: 7p, 0.10ct - Cognac Diamond: 1p, 0.04ct</t>
  </si>
  <si>
    <t>RG-077400</t>
  </si>
  <si>
    <t>IcyGrey, Blue Sa</t>
  </si>
  <si>
    <t>NAN - “SPECIAL EDITION” BRACELET GOLD 18K 2.79 AND DIAMONDS 0.39CT</t>
  </si>
  <si>
    <t>VHN-CALLA MEDIA BRACELET</t>
  </si>
  <si>
    <t>GOLD &amp; TITANIUM</t>
  </si>
  <si>
    <t>RWT7601</t>
  </si>
  <si>
    <t>GEO-EARRING MOONSTONE</t>
  </si>
  <si>
    <t>RWD2066</t>
  </si>
  <si>
    <t>MAL - ENGRAVED SILVER 12.7G NECKLACE WITH SMALL CROSS, 5 STONES EMERALD CUT (4X6 MM) AND ONE ROUND CUT STONE (6 MM).   CITRINE</t>
  </si>
  <si>
    <t>CA0227/V1/CITRINE</t>
  </si>
  <si>
    <t>NAN - EARRINGS DIAMONDS pcs 14 ct 0.16</t>
  </si>
  <si>
    <t>OS21-583</t>
  </si>
  <si>
    <t>RWR8623</t>
  </si>
  <si>
    <t>NAN - RING DIAMONDS pcs 22 ct 0,17</t>
  </si>
  <si>
    <t>AS8-583</t>
  </si>
  <si>
    <t>RWT7790</t>
  </si>
  <si>
    <t>GEO-CITRIN NECKLACE</t>
  </si>
  <si>
    <t>Citrin</t>
  </si>
  <si>
    <t>NAN - "ÉLITE" GOLD 18K 3.68 AND</t>
  </si>
  <si>
    <t>NAN - NECKLACE ACQUAMARINE pcs 117 ct 1.04</t>
  </si>
  <si>
    <t>RWR8643</t>
  </si>
  <si>
    <t>RWT7800</t>
  </si>
  <si>
    <t>NAN - EARRINGS DIAMONDS pcs 62 ct 0.49</t>
  </si>
  <si>
    <t>GVC-PINK GOLD RING W GOLD 12.90GR DIAMOND 2.43CT</t>
  </si>
  <si>
    <t>AR17054</t>
  </si>
  <si>
    <t>VHN-CALLA MEDIA RING SIZE 60</t>
  </si>
  <si>
    <t>PG1652A 056</t>
  </si>
  <si>
    <t>WHITE GOLD &amp; BLA</t>
  </si>
  <si>
    <t>VHN-TROTTOLA EARSLIPS</t>
  </si>
  <si>
    <t>T00749B 100</t>
  </si>
  <si>
    <t>VHN-CALLA THE ONE RING SIZE 60</t>
  </si>
  <si>
    <t>MG1801A 301</t>
  </si>
  <si>
    <t>HOA_TRANTHI</t>
  </si>
  <si>
    <t>RWR8664</t>
  </si>
  <si>
    <t>VHN - EARCLIPS Pirouette White Gold Gr 0,80</t>
  </si>
  <si>
    <t>0N0623B 110 B</t>
  </si>
  <si>
    <t>RWR8695</t>
  </si>
  <si>
    <t>LUI - SHORT SILVER NECKLACE GOLD-PLATED WITH SHIVA LINGAM 40 CM WITH RINGS (5 CM) FINAL SHIVA LINGAM.</t>
  </si>
  <si>
    <t>CA0012/POG</t>
  </si>
  <si>
    <t>RWT7933</t>
  </si>
  <si>
    <t>RHN5103</t>
  </si>
  <si>
    <t>LUI - SILVER EARRINGS WITH 6 STONES (4MM) ROCK CRYSTAL</t>
  </si>
  <si>
    <t>OA0279/V/1</t>
  </si>
  <si>
    <t>MAL - ENGRAVED SILVER RING WITH NATURAL STONE, EMERALD CUT ( 14 X 12,40 X H 8 MM )   COLOR CITRINE   TG 11</t>
  </si>
  <si>
    <t>LUI - SILVER NECKLACE, ENGRAVED</t>
  </si>
  <si>
    <t>LUI - SILVER NECKLACE WITH STONES AND STONES AND PEARLS EMERALD CUT  ROCK CRYSTAL</t>
  </si>
  <si>
    <t>CA0256/V1</t>
  </si>
  <si>
    <t>SMOKY, WHITE</t>
  </si>
  <si>
    <t>MAL - SILVER NECKLESS WITH SHIVA LINGAM AND PEARLS</t>
  </si>
  <si>
    <t>CA0012/PERLE</t>
  </si>
  <si>
    <t>SHIVA LINGAM AND</t>
  </si>
  <si>
    <t>RG-075761</t>
  </si>
  <si>
    <t>MG1800B 050</t>
  </si>
  <si>
    <t>GOLD DIAMONDS</t>
  </si>
  <si>
    <t>RWR8736</t>
  </si>
  <si>
    <t>ROM-AYA DIX IG (52) R-C-AYA-6 Rings - With Setting Sterling Silver - Icy Grey Diamond: 1p, 0.2ct</t>
  </si>
  <si>
    <t>RG-077271</t>
  </si>
  <si>
    <t>IcyGrey Diamond</t>
  </si>
  <si>
    <t>RWR8735</t>
  </si>
  <si>
    <t>RM Silver ring-top silver treated head set with icy diamonds-middle rubis</t>
  </si>
  <si>
    <t>NINKA S-ST DIX (ICY-RU)</t>
  </si>
  <si>
    <t>RWR8737</t>
  </si>
  <si>
    <t>NAN - "ÉLITE" RING GOLD 18K 1.7</t>
  </si>
  <si>
    <t>AS25-583</t>
  </si>
  <si>
    <t>NAN - "ÉLITE" SMALL RING GOLD 18K 1.28 WITH DIAMOND 0.05CT</t>
  </si>
  <si>
    <t>AS26-583</t>
  </si>
  <si>
    <t>NAN - "AZURE" SMALL RING GOLD 2.20, DIAMONDS 0.04CT AND MILKY AQUAMARINE 4.75CT</t>
  </si>
  <si>
    <t>AS5-575</t>
  </si>
  <si>
    <t>RWD2288</t>
  </si>
  <si>
    <t>NAN - "LIBERA" BIG GOLD 5.92 SQUARE HOOP EARRINGS WITH DIAMONDS 0.29CT</t>
  </si>
  <si>
    <t>OS3-602</t>
  </si>
  <si>
    <t>RWR8739</t>
  </si>
  <si>
    <t>VHN - Ring Abbraccio S Gold Gr 15,00</t>
  </si>
  <si>
    <t>RWR8741</t>
  </si>
  <si>
    <t>RWR8740</t>
  </si>
  <si>
    <t>RWR8746</t>
  </si>
  <si>
    <t>SPK-G3 BANDS RING (LIBRA GRIS MAX) 3.8MM SS,  2.8MM SS/GREY DIAMOND, 3.8MM SS,  2X YG CONNECTORS (APPROX 1.2CT TW) sliver weight 25.3g / gold weight 2.2g</t>
  </si>
  <si>
    <t>G3-CUSTOM</t>
  </si>
  <si>
    <t>SLIVER, GOLD, GR</t>
  </si>
  <si>
    <t>0774219134</t>
  </si>
  <si>
    <t>RWT7991</t>
  </si>
  <si>
    <t>LUI - SOUL SILVER NECKLACE  WITH 6mm ROUND CUTTED STONE ROCK CRYSTAL  CRISTALLO DI ROCCA</t>
  </si>
  <si>
    <t>CA0261</t>
  </si>
  <si>
    <t>RWR8767</t>
  </si>
  <si>
    <t>VHN-TOURBILLON S EARRINGS</t>
  </si>
  <si>
    <t>PG1527B 336 3,85</t>
  </si>
  <si>
    <t>ROM-POPPY 1(1) S ST DIX RU (51)</t>
  </si>
  <si>
    <t>RG-077357</t>
  </si>
  <si>
    <t>Ruby, Silver</t>
  </si>
  <si>
    <t>ROM-YTO S ST DIA IG SBL (51) R-H-YTO-41 Rings - With Setting Sterling Silver - Icy Grey Diamonds: 12p, 0.11ct -Blue Sapphire: 1p, 0.02ct</t>
  </si>
  <si>
    <t>RG-075189</t>
  </si>
  <si>
    <t>Blue Sapphire, I</t>
  </si>
  <si>
    <t>ATS-WG Ring: diamond octagon 8,30ct G/VS / grm 7.65 / size U</t>
  </si>
  <si>
    <t>139/AW6059W</t>
  </si>
  <si>
    <t>diamond octagon</t>
  </si>
  <si>
    <t>RWT8038</t>
  </si>
  <si>
    <t>LUI - SILVER EARRINGS,LARGE SIZE WITH 7 EMERALD CUT STONES ORECCHINO (6X4) SMOKY QUARTZ  FUME'</t>
  </si>
  <si>
    <t>OA0271/L/V1</t>
  </si>
  <si>
    <t>SMOKY</t>
  </si>
  <si>
    <t>MAL - SILVER ENGRAVED RING "SOLITAIRE" WITH FACETED STONE 8MM - PERIDOT   TG 12</t>
  </si>
  <si>
    <t>VHN-ANNRACCIO EARRINGS</t>
  </si>
  <si>
    <t>PG1511B 365</t>
  </si>
  <si>
    <t>ROM-POLA 1 (60) R-H-POLA1-1 Rings - No Setting Silver</t>
  </si>
  <si>
    <t>RG-077618</t>
  </si>
  <si>
    <t>RM Silver Ring - Top Mat</t>
  </si>
  <si>
    <t>JAIME</t>
  </si>
  <si>
    <t>ROM-ROKY 1 (53) R-H-ROKY1-1 Rings - No Setting Sterling Silver</t>
  </si>
  <si>
    <t>RG-071451</t>
  </si>
  <si>
    <t>MAL - ENGRAVED SILVER RING WITH NATURAL STONE, CABOCHON, OVAL CUT    PRASIOLITE  TG 10</t>
  </si>
  <si>
    <t>AA0103/V2/10</t>
  </si>
  <si>
    <t>PRASIOLITE</t>
  </si>
  <si>
    <t>RHN5253</t>
  </si>
  <si>
    <t>VHN - EARCLIPS Vague Medio Gold</t>
  </si>
  <si>
    <t>0N0492B 100 A</t>
  </si>
  <si>
    <t>RWR8825</t>
  </si>
  <si>
    <t>VHN-CALLA THE ONE RING</t>
  </si>
  <si>
    <t>MG1801A 010</t>
  </si>
  <si>
    <t>VHN - EARCLIPS Verso Medio  Gold Gr 29,75</t>
  </si>
  <si>
    <t>0N0567B 100 A</t>
  </si>
  <si>
    <t>VHN - Ring Calla The One Gold Gr 9,30  11 Diamonds Ct 0,07</t>
  </si>
  <si>
    <t>0G1801A 300</t>
  </si>
  <si>
    <t>MG1800B 311</t>
  </si>
  <si>
    <t>VHN-CALLA NECKLACE</t>
  </si>
  <si>
    <t>000648CL264</t>
  </si>
  <si>
    <t>GOLD &amp; BLACK EBO</t>
  </si>
  <si>
    <t>VHN - Ring Eclisse Gold Gr 19,80</t>
  </si>
  <si>
    <t>0N1138A 100</t>
  </si>
  <si>
    <t>ROM-YTO S ST DIA CO BLK (51) R-H-YTO-38 Rings - With Setting Sterling Silver - Cognac Diamonds: 12p, 0.11ct - Black Diamond: 1p, 0.02ct</t>
  </si>
  <si>
    <t>RG-077361</t>
  </si>
  <si>
    <t>RWT8166</t>
  </si>
  <si>
    <t>LUI - SILVER EARRINGS,LARGE SIZE WITH 7 EMERALD CUT STONES (6X4) ONIX</t>
  </si>
  <si>
    <t>VHN-CALLA BRACELET</t>
  </si>
  <si>
    <t>TG1648BR011</t>
  </si>
  <si>
    <t>TITANIUM &amp; Diamo</t>
  </si>
  <si>
    <t>TG1652A 001</t>
  </si>
  <si>
    <t>VHN-MON JEU EARSLIPS</t>
  </si>
  <si>
    <t>001332MB103 - P01332MB111</t>
  </si>
  <si>
    <t>GOLD &amp; WHITE GOL</t>
  </si>
  <si>
    <t>Mr. Tran Huy</t>
  </si>
  <si>
    <t>0963450821</t>
  </si>
  <si>
    <t>RWT8222</t>
  </si>
  <si>
    <t>Doan Thi Thu Thuy</t>
  </si>
  <si>
    <t>T01652BR115</t>
  </si>
  <si>
    <t>PG1652BR336</t>
  </si>
  <si>
    <t>NGUYEN THI DUC MINH</t>
  </si>
  <si>
    <t>0912115380</t>
  </si>
  <si>
    <t>RM-BO 114 V DIA 8X8 2R GRT BO-H-114V-7 Earrings - Setting Each Piece: Sterling Silver - 8X8 Cut Diamonds: 25p, 0.29ct - Garnet: 1p, 1.01ct</t>
  </si>
  <si>
    <t>BO-000639</t>
  </si>
  <si>
    <t>Garnet, 8X8 Cut</t>
  </si>
  <si>
    <t>ROM-SEI 1 DIA 8X8 (53) R-H-SEI1-3 Rings - With Setting Sterling Silver - 8X8 Cut Diamonds: 25p, 0.15ct</t>
  </si>
  <si>
    <t>RG-016447</t>
  </si>
  <si>
    <t>RWR8927</t>
  </si>
  <si>
    <t>SLIVER</t>
  </si>
  <si>
    <t>Mrs. Nguyen CiCi</t>
  </si>
  <si>
    <t>AMETHYST</t>
  </si>
  <si>
    <t>RWR8961</t>
  </si>
  <si>
    <t>NAN-DANCING IN THE RAIN NEACKLACE CHAIN B ct 0,08</t>
  </si>
  <si>
    <t>ROM-SEI 2 DIA RU (51) R-H-SEI2-6 Rings - With Setting Sterling Silver - Rubies: 16p, 0.5ct</t>
  </si>
  <si>
    <t>RG-016545</t>
  </si>
  <si>
    <t>VHN-ECLISSE MEDIO MP EARCLIPS WHITE GOLD WHITE DIAMONDS</t>
  </si>
  <si>
    <t>PG1138B 010</t>
  </si>
  <si>
    <t>MAL - ENGRAVED SILVER MONACHELLA EARRINGS WITH ONE NATURAL STONE, ROUND CUT (6 MM)  PERIDOT</t>
  </si>
  <si>
    <t>OA0258/V1/PERIDOT</t>
  </si>
  <si>
    <t>VHN-CALLA THE ONE EARSLIPS</t>
  </si>
  <si>
    <t>0G1800B 310</t>
  </si>
  <si>
    <t>GOLD &amp; ACCIAO &amp;</t>
  </si>
  <si>
    <t>VHN-CALLA MEDIA...W BRACELET BLACK TITANIUM  PINK GOLD 26 EL 4 GOLD 22 BLACK TIT</t>
  </si>
  <si>
    <t>T01652BR161</t>
  </si>
  <si>
    <t>RWD2734</t>
  </si>
  <si>
    <t>RWR8999</t>
  </si>
  <si>
    <t>os</t>
  </si>
  <si>
    <t>NGHIA_NGUYEN_HNSM</t>
  </si>
  <si>
    <t>NGOC_LE</t>
  </si>
  <si>
    <t>0N0567B 100 B</t>
  </si>
  <si>
    <t>TRUNG_HIEU</t>
  </si>
  <si>
    <t>RWR9013</t>
  </si>
  <si>
    <t>NAN - "ÉLITE" RING GOLD 18K 1.64 WITH DIAMOND 0.05CT</t>
  </si>
  <si>
    <t>NAN - "SOFFIO" GOLD 3.56 BOULES</t>
  </si>
  <si>
    <t>CN6-583</t>
  </si>
  <si>
    <t>MINH_TAM</t>
  </si>
  <si>
    <t>RWD2785</t>
  </si>
  <si>
    <t>NAN - “SPECIAL EDITION” RING ROSE GOLD 6.30 WITH TANZANITE 2.75CT AND DIAMONDS 0.60CT</t>
  </si>
  <si>
    <t>SPC138</t>
  </si>
  <si>
    <t>NAN - “SPECIAL EDITION” EARRINGS ROSE GOLD 9.90 WITH TANZANITE 5.50CT AND DIAMONDS 1.05CT</t>
  </si>
  <si>
    <t>SPC148</t>
  </si>
  <si>
    <t>Green</t>
  </si>
  <si>
    <t>RWR9027</t>
  </si>
  <si>
    <t>ROM-PEW SUNNY 2 S ST PE-C-SUNNY2-2 Necklaces - Wax - No Setting Silver</t>
  </si>
  <si>
    <t>PEW-000324</t>
  </si>
  <si>
    <t>RWT9028</t>
  </si>
  <si>
    <t>0911270687</t>
  </si>
  <si>
    <t>GEO-PEARL EARRING</t>
  </si>
  <si>
    <t>RWD2811</t>
  </si>
  <si>
    <t>RWR9035</t>
  </si>
  <si>
    <t>VHN-GOCCE EARCLIPS GOLD CRYSTAL</t>
  </si>
  <si>
    <t>000519B 206</t>
  </si>
  <si>
    <t>RWR9042</t>
  </si>
  <si>
    <t>ATS-PG Pr. of Earrings: brown diamond 3,71ct / grm gold 16.1 / size U</t>
  </si>
  <si>
    <t>30/AW25135R/CH</t>
  </si>
  <si>
    <t>brown diamond</t>
  </si>
  <si>
    <t>RWD2839</t>
  </si>
  <si>
    <t>GEO-MOSS AGATE</t>
  </si>
  <si>
    <t>ROM- POPPY 1(1) S ST DIX CO (53) R-H-POPPY1(1)-2 Rings - With Setting Sterling Silver - Cognac Diamond: 1p, 0.03ct</t>
  </si>
  <si>
    <t>RG-072942</t>
  </si>
  <si>
    <t>Cognac Diamond,</t>
  </si>
  <si>
    <t>DIEU_NGUYEN</t>
  </si>
  <si>
    <t>RWD2865</t>
  </si>
  <si>
    <t>LUI - SILVER BRACELET WITH 5 NAVETTE STONES SMOKY QUARTZ</t>
  </si>
  <si>
    <t>BA0122/V1</t>
  </si>
  <si>
    <t>HQ534</t>
  </si>
  <si>
    <t>MAL - ENGRAVED SILVER RING, SHRI CAPSULE, ONE NATURAL STONE DROP CUT ( 9X6)  LONDON   TG 12</t>
  </si>
  <si>
    <t>AA0117/V2/12</t>
  </si>
  <si>
    <t>MAL - ENGRAVED SILVER EARRINGS, SHRI CAPSULE, WITH 6 NATURAL STONES DROP CUT (ONE 9X6MM AND 6 7X5 MM)  LONDON</t>
  </si>
  <si>
    <t>OA0225/V2</t>
  </si>
  <si>
    <t>RWT9123</t>
  </si>
  <si>
    <t>GEO-DENTRITIC NECKLACE</t>
  </si>
  <si>
    <t>NAN-DANCING IN THE RAIN EARRINGS AQ ct 25,00 MO ct 0,08</t>
  </si>
  <si>
    <t>NAN - “SPECIAL EDITION” NECKLACE GOLD 18K 3.40 DIAMONDS 0.03CT AQUAMARINE 13.25CT</t>
  </si>
  <si>
    <t>CS7-603</t>
  </si>
  <si>
    <t>RWD2916</t>
  </si>
  <si>
    <t>Blue Sapphire, C</t>
  </si>
  <si>
    <t>0902899414</t>
  </si>
  <si>
    <t>RWT9155</t>
  </si>
  <si>
    <t>HQ535</t>
  </si>
  <si>
    <t>TM GOLD OVAL PENDANT</t>
  </si>
  <si>
    <t>OVAL-GOLD</t>
  </si>
  <si>
    <t>RWR9099</t>
  </si>
  <si>
    <t>VHN - Ring Freccia Gold Gr 13,05  2 Rock crystal Jade Gr 5,10</t>
  </si>
  <si>
    <t>0N1401A 201</t>
  </si>
  <si>
    <t>RWR9098</t>
  </si>
  <si>
    <t>NAK - Large Raindrop Earrings: 3.04 cts emerald and 20k rose gold; 1 5/8" in length</t>
  </si>
  <si>
    <t>10465-EM-20R</t>
  </si>
  <si>
    <t>EMERALD + ROSE G</t>
  </si>
  <si>
    <t>LUI - CARVED SILVER NUN EARRINGS WITH DROP STONE (7 X 10 ) PERIDOT</t>
  </si>
  <si>
    <t>OA0131/PE/POG</t>
  </si>
  <si>
    <t>GOLD, GREEN</t>
  </si>
  <si>
    <t>RWR9109</t>
  </si>
  <si>
    <t>VHN-CALLA MEDIA NECKLACE</t>
  </si>
  <si>
    <t>001652CL160</t>
  </si>
  <si>
    <t>RWR9105</t>
  </si>
  <si>
    <t>MAL - SILVER NECKLACE 27.1G, LONG CHAIN WITH NATURAL FACETED DROP (20X13,5)   CITRINE</t>
  </si>
  <si>
    <t>MAL - ENGRAVED SILVER NECKLACE, SHRI CAPSULE, WITH 6 SMALL NATURAL STONES EMERALD CUT (10X8XH5,5 MM) AND ONE LARGE NATURAL STONE EMERALD CUT (14X12,4XH8 MM)  _x000D_
CITRINE</t>
  </si>
  <si>
    <t>CA0208/V2</t>
  </si>
  <si>
    <t>RWT9208</t>
  </si>
  <si>
    <t>MAL - SILVER ENGRAVED RING "SOLITAIRE" WITH FACETED STONE 8MM -  ROCK CRYSTAL   TG 11</t>
  </si>
  <si>
    <t>RWD2973</t>
  </si>
  <si>
    <t>RWD2991</t>
  </si>
  <si>
    <t>MAL - ENGREAVED SILVER RING WITH TWO SILVER HEARTS, ONE ENGREAVED AND ONE POLISHED   TG 12</t>
  </si>
  <si>
    <t>AA0081/12</t>
  </si>
  <si>
    <t>TWO SILVER HEART</t>
  </si>
  <si>
    <t>RWD2997</t>
  </si>
  <si>
    <t>RWR9143</t>
  </si>
  <si>
    <t>NAK - Triple Twisted Hook Hoops - 15mm: 20k rose gold; 1/2" in diameter</t>
  </si>
  <si>
    <t>H10085-20R</t>
  </si>
  <si>
    <t>TUYEN_LE</t>
  </si>
  <si>
    <t>RWR9163</t>
  </si>
  <si>
    <t>VHN-TOURBILLON S RING</t>
  </si>
  <si>
    <t>PG1527A 336</t>
  </si>
  <si>
    <t>RWD3030</t>
  </si>
  <si>
    <t>ROM-PESTA DIX RU (52) R-C-PESTA-4 Rings - With Setting Silver - Ruby: 1p, 0.35ct</t>
  </si>
  <si>
    <t>RG-053892</t>
  </si>
  <si>
    <t>RWR9172</t>
  </si>
  <si>
    <t>0N1648BR100</t>
  </si>
  <si>
    <t>GOLD TITANIUM</t>
  </si>
  <si>
    <t>RWR9170</t>
  </si>
  <si>
    <t>000648CL100</t>
  </si>
  <si>
    <t>TRANG_LE</t>
  </si>
  <si>
    <t>NAK - Wrap Ring:  emerald and 20k rose gold; size TBD</t>
  </si>
  <si>
    <t>90095-EM-20R</t>
  </si>
  <si>
    <t>NAK -  Wrap Ring: 0.5 cts G-H VS white diamonds and 20k rose gold; size TBD</t>
  </si>
  <si>
    <t>90095-D-20R</t>
  </si>
  <si>
    <t>NAN - "AZURE" GOLD 18K 2.8 AND AQUAMARINE 1.50CT DIAMONDS 0.10CT EVERYDAY DROP EARRINGS</t>
  </si>
  <si>
    <t>RWT9355</t>
  </si>
  <si>
    <t>NAN-DANCING IN THE RAIN EARRINGS AV ct 25,00 B ct 0,08</t>
  </si>
  <si>
    <t>RWR9185</t>
  </si>
  <si>
    <t>LUI - SILVER NECKLACE CARVED GOLD-PLATED - 70 CM WITH MIXED STONES AND SMALL PEARLS WITH RECTANGLE (11X9X5.5) MULTICOLOR V1</t>
  </si>
  <si>
    <t>CA0254/V1/SMALL/POG</t>
  </si>
  <si>
    <t>GOLD, BLUE, WHIT</t>
  </si>
  <si>
    <t>RWT9378</t>
  </si>
  <si>
    <t>GEO-PERIDOTE NECKLACE</t>
  </si>
  <si>
    <t>RWD3097</t>
  </si>
  <si>
    <t>0903146778</t>
  </si>
  <si>
    <t>RWR9195</t>
  </si>
  <si>
    <t>THUY_DANG</t>
  </si>
  <si>
    <t>RWT9409</t>
  </si>
  <si>
    <t>GEO-SERPENTINE HORN NECKLACE</t>
  </si>
  <si>
    <t>Sand</t>
  </si>
  <si>
    <t>RWT9412</t>
  </si>
  <si>
    <t>RWT9410</t>
  </si>
  <si>
    <t>Bank Transfer</t>
  </si>
  <si>
    <t>NGHIA_NGUYENSM</t>
  </si>
  <si>
    <t>Vo Thi Kim Phuong</t>
  </si>
  <si>
    <t>02</t>
  </si>
  <si>
    <t>03</t>
  </si>
  <si>
    <t>38</t>
  </si>
  <si>
    <t>Payment on Account</t>
  </si>
  <si>
    <t>25</t>
  </si>
  <si>
    <t>34</t>
  </si>
  <si>
    <t>u</t>
  </si>
  <si>
    <t>Visa</t>
  </si>
  <si>
    <t>12</t>
  </si>
  <si>
    <t>11</t>
  </si>
  <si>
    <t>06</t>
  </si>
  <si>
    <t>MC</t>
  </si>
  <si>
    <t>Phan Lan Phuong</t>
  </si>
  <si>
    <t>Pham Thi Nhat</t>
  </si>
  <si>
    <t>Duong Thi Hong Hanh</t>
  </si>
  <si>
    <t>ROM-SUKA R S C2 S ST DIA CO (53) R-C-SUKAR-9 Rings - With Setting Sterling Silver - Cognac Diamonds:</t>
  </si>
  <si>
    <t>Truong Thi Ngoc Tran</t>
  </si>
  <si>
    <t>RG-049311</t>
  </si>
  <si>
    <t>Cognac D</t>
  </si>
  <si>
    <t>53</t>
  </si>
  <si>
    <t>RM-EMICA S ST C3 GW DIX 8X8 M+ (53) R-C-EMICA-22 Rings - With Setting Sterling Silver - white Gold (18K) - 8X8 Cut Diamonds: 21p, 0.48ct</t>
  </si>
  <si>
    <t>white Go</t>
  </si>
  <si>
    <t>NHAN_TAM</t>
  </si>
  <si>
    <t>35</t>
  </si>
  <si>
    <t>01</t>
  </si>
  <si>
    <t>NAN - "DANCING ÉLITE" GOLD 5.38 BOULES CONNECTED WITH A DIAMONDS 0.15CT BAR EARRINGS</t>
  </si>
  <si>
    <t>OS4-583</t>
  </si>
  <si>
    <t>NAN-BOULES LARGE PENDANT CHARM B ct 0,04</t>
  </si>
  <si>
    <t>PS17-609</t>
  </si>
  <si>
    <t>NAN-BOULES CHAIN</t>
  </si>
  <si>
    <t>CN1-609</t>
  </si>
  <si>
    <t>Tran Thi Le Hai</t>
  </si>
  <si>
    <t xml:space="preserve">EMERALD </t>
  </si>
  <si>
    <t>30</t>
  </si>
  <si>
    <t>Dinh Thanh Huong</t>
  </si>
  <si>
    <t>Bui Lan</t>
  </si>
  <si>
    <t>Do Thanh Hoa</t>
  </si>
  <si>
    <t>Nguyen Kim Thuy Thuy</t>
  </si>
  <si>
    <t>58</t>
  </si>
  <si>
    <t>ATS-PG Pr. of Earrings: diamond 0,45ct G/VS + amethyst 10,21ct / grm 6.99 / size U</t>
  </si>
  <si>
    <t>93/14084R/AM</t>
  </si>
  <si>
    <t>amethyst</t>
  </si>
  <si>
    <t>LUI - CARVED/ POLISHED SILVER RING GOLD-PLATED WITH FIVE MULTICOLOR STONES</t>
  </si>
  <si>
    <t>Hoang Viet Ha</t>
  </si>
  <si>
    <t>AA0125/V1/POG</t>
  </si>
  <si>
    <t>GOLD,YEL</t>
  </si>
  <si>
    <t>Pham Thi Anh Tuyet</t>
  </si>
  <si>
    <t>Nguyen Thi Phuc</t>
  </si>
  <si>
    <t>Pearl</t>
  </si>
  <si>
    <t>39</t>
  </si>
  <si>
    <t>52</t>
  </si>
  <si>
    <t>Le Thu Ngan</t>
  </si>
  <si>
    <t>GVC-PINK GOLD RING ( CENTER DIA 0.18)  W GOLD 9.30GR DIAMOND 1.33CT</t>
  </si>
  <si>
    <t>AR17119</t>
  </si>
  <si>
    <t>GOLD/DIA</t>
  </si>
  <si>
    <t>NAK-LARGE STRAPPED HEART PENDANT: 3.6 CTS RUBELLITE, 0.14 CTS FIRE OPAL, 0.08 CTS IMPERIAL ROSE ZIRC</t>
  </si>
  <si>
    <t>Tran Thi Hoai Anh</t>
  </si>
  <si>
    <t>8</t>
  </si>
  <si>
    <t>14</t>
  </si>
  <si>
    <t>Charge</t>
  </si>
  <si>
    <t>24</t>
  </si>
  <si>
    <t>Nguyen Thanh Huong</t>
  </si>
  <si>
    <t>29</t>
  </si>
  <si>
    <t>Hoang Lan</t>
  </si>
  <si>
    <t>51</t>
  </si>
  <si>
    <t>JCB</t>
  </si>
  <si>
    <t>Nguyen Kim Huong</t>
  </si>
  <si>
    <t>Phan Thi Bao Ngoc</t>
  </si>
  <si>
    <t>Nguyen Quoc Huy</t>
  </si>
  <si>
    <t>Nguyen Nhat Thao Vy</t>
  </si>
  <si>
    <t>Nguyen Thi Kieu Diem</t>
  </si>
  <si>
    <t>Luong Le Ngoc Tram</t>
  </si>
  <si>
    <t>Vuong Que Chau</t>
  </si>
  <si>
    <t>Le Phuong Tu</t>
  </si>
  <si>
    <t>Thai Hoang Trang</t>
  </si>
  <si>
    <t>Le Ngoc Kim Tuyen</t>
  </si>
  <si>
    <t>Vo Kim Ngoc</t>
  </si>
  <si>
    <t>Nguyen Minh Tam</t>
  </si>
  <si>
    <t>Nguyen Vy Dan</t>
  </si>
  <si>
    <t>Nguyen Thi Duc Minh</t>
  </si>
  <si>
    <t>Nguyen Thuy Chinh</t>
  </si>
  <si>
    <t xml:space="preserve">Pham Thi Diem Trang </t>
  </si>
  <si>
    <t>Nguyen Trung Hieu</t>
  </si>
  <si>
    <t>Nguyen Ngoc Hieu Nghia</t>
  </si>
  <si>
    <t>VHN - Ring Calla The One Gold Gr 8,45  11 Diamonds Ct 0,07</t>
  </si>
  <si>
    <t>Chloe Nguyen</t>
  </si>
  <si>
    <t>Nguyen Anh Tuyet</t>
  </si>
  <si>
    <t>15</t>
  </si>
  <si>
    <t>Le Thi Thuy Hanh</t>
  </si>
  <si>
    <t>Huynh Trong Hieu</t>
  </si>
  <si>
    <t>NAN-DANCING IN THE RAIN EARRINGS</t>
  </si>
  <si>
    <t>OS5-603</t>
  </si>
  <si>
    <t xml:space="preserve">Nguyen Van Son </t>
  </si>
  <si>
    <t>NAN-BOULES SMALL PENDANT CHARM B ct 0,02 GI ct 1,75</t>
  </si>
  <si>
    <t>PS4-609</t>
  </si>
  <si>
    <t>NAN-NECKLACE WHITE MOONSTONE CHAIN MO ct 0,75</t>
  </si>
  <si>
    <t>CN13-603</t>
  </si>
  <si>
    <t>NAN-BOULES SMALL PENDANT CHARM B ct 0,02 TQ ct 1,75</t>
  </si>
  <si>
    <t>PS3-609</t>
  </si>
  <si>
    <t>NAN-BOULES SMALL PENDANT CHARM B ct 0,26</t>
  </si>
  <si>
    <t>PS14-609</t>
  </si>
  <si>
    <t>Nguyen Thi Phuong Hoa</t>
  </si>
  <si>
    <t>NAN - AMTHYST 6pcs ct0.41, LABRADORITE 1pcs  ct0.95, RHODOLITE 1pc ct0.95, TSAVORITE 2pcs ct0.13, TSAVORITE 15pcs ct0.34, GREEN SAPPHIRE 10pcs ct0.5, PINK SAPPHIRE 8pcs ct0.27</t>
  </si>
  <si>
    <t>Huynh Phuong Lan</t>
  </si>
  <si>
    <t>AS17-584</t>
  </si>
  <si>
    <t xml:space="preserve">AMTHYST </t>
  </si>
  <si>
    <t>NAN - DIAMONDS  15pcs ct0.29, BLACK DIAMOND 6pcs ct0.35, GREY DIAMOND 8pcs ct0.23, ICE DIAMOND 10pcs ct0.42, RHODOLITE 2pcs ct0.13, RUBY 1pc ct1.0</t>
  </si>
  <si>
    <t>AS23-584</t>
  </si>
  <si>
    <t>DIAMONDS</t>
  </si>
  <si>
    <t>NAN - BLUE DIAMOND 17pcs ct0.36, IOLITE 2pcs ct0.13, LONDON BLUE TOPAZ 1pc ct1.25,SWISS BLUE TOPAZ 12pcs ct.0.59, GREEN SAPPHIRE 10pcs ct0.46</t>
  </si>
  <si>
    <t>AS22-584</t>
  </si>
  <si>
    <t>BLUE DIA</t>
  </si>
  <si>
    <t>LUI-SMALL SILVER NECKLACE CARVED CROSS WITH FIVE NAVETTE STONES (8x4) AMETHYST</t>
  </si>
  <si>
    <t xml:space="preserve">CA0277/V1
</t>
  </si>
  <si>
    <t>VHN-EARLIPS PINK WHITE GOLD WITH 2  DIAMONDS DIAL SIZE U</t>
  </si>
  <si>
    <t>LUI-CARVED SILVER EAR CUFF WITH 4 EMERALD CUT STONES (6x4) LONDON</t>
  </si>
  <si>
    <t xml:space="preserve">OA0281/V2
</t>
  </si>
  <si>
    <t>Do Thanh Hien</t>
  </si>
  <si>
    <t>NAN - NECKLACE ACQUAMARINE pcs 35 ct 96.25</t>
  </si>
  <si>
    <t>450</t>
  </si>
  <si>
    <t>To Mai Lien</t>
  </si>
  <si>
    <t>45</t>
  </si>
  <si>
    <t>Blue</t>
  </si>
  <si>
    <t>LUI - SILVER BRACELET CARVED WITH TEARDROP STONES (9X6PCS1), DROPS (7X5PCS2), AND PEARLS (4MMPCS12) (ALL ONYX)</t>
  </si>
  <si>
    <t>Nguyen Thi Lien Phuong</t>
  </si>
  <si>
    <t>BA0158/V1</t>
  </si>
  <si>
    <t>LUI - SILVER NECKLACE WITH ONIX</t>
  </si>
  <si>
    <t>0</t>
  </si>
  <si>
    <t>VHN-ENDLESS. NECKLACE WHITE GOLD WHITE DIAMONDS DIAMONDS 54 EL</t>
  </si>
  <si>
    <t>MG0979CL011</t>
  </si>
  <si>
    <t>GOLD, BL</t>
  </si>
  <si>
    <t>Nguyen Minh Thuan</t>
  </si>
  <si>
    <t>Multi</t>
  </si>
  <si>
    <t>LUI-SILVER NECKLACE CARVED WITH NAVETTE STONES (8x4) RHODOLITE LETTER. (LETTERS M, N, T, H)</t>
  </si>
  <si>
    <t xml:space="preserve">CA0276/AG
</t>
  </si>
  <si>
    <t>MAL - ENGRAVED SILVER RING, SHRI CAPSULE, WITH NATURAL STONE ROUND CUT (6 MM)  RODOLITE   TG. 13</t>
  </si>
  <si>
    <t>Duong Thi Minh Chau</t>
  </si>
  <si>
    <t>AA0114/V2/13</t>
  </si>
  <si>
    <t>RODOLITE</t>
  </si>
  <si>
    <t>13</t>
  </si>
  <si>
    <t>Pham To Kieu Phuong</t>
  </si>
  <si>
    <t xml:space="preserve">VHN-CALLA MEDIA BRACELET </t>
  </si>
  <si>
    <t>GOLD &amp; T</t>
  </si>
  <si>
    <t>NAN-DANCING IN THE RAIN RING SIZE 13</t>
  </si>
  <si>
    <t>Nguyen Thi Linh Chi</t>
  </si>
  <si>
    <t>AS27-583</t>
  </si>
  <si>
    <t>0903674774</t>
  </si>
  <si>
    <t>NAN-BOULES RING SIZE 13</t>
  </si>
  <si>
    <t>AS8-609</t>
  </si>
  <si>
    <t>NAN-BOULES EARRINGS</t>
  </si>
  <si>
    <t>OA4-609</t>
  </si>
  <si>
    <t>AS2-603</t>
  </si>
  <si>
    <t>LUAN_NGO</t>
  </si>
  <si>
    <t>Silver</t>
  </si>
  <si>
    <t>Dinh Thuy Quynh</t>
  </si>
  <si>
    <t>Ngo Phuong Ly</t>
  </si>
  <si>
    <t>NAN-EARRING WHITE MOONSTONE B ct 0,08 MO ct 25,00</t>
  </si>
  <si>
    <t>NAN-DANCING IN THE RAIN BABY EARRINGS B ct 0,04</t>
  </si>
  <si>
    <t>OS41-583</t>
  </si>
  <si>
    <t>LUI - ENGRAVED SILVER NECKLACE WITH 19 NATURAL STONES, VARIOUS CUTS.   AMETHYST</t>
  </si>
  <si>
    <t>CA0232/V1</t>
  </si>
  <si>
    <t>LUI - HAND-CARVED TENNIS IN SILVER NECKLACE WITH 33 NATURAL GEMSTONES, OVAL CUT (6X4 MM) AMETHYST COME CAMPIONE</t>
  </si>
  <si>
    <t>CA0230/V1</t>
  </si>
  <si>
    <t>Duong Ngoc Bich</t>
  </si>
  <si>
    <t>NAK-PETITE RUCHED HOOPS: 1.26 CTS BLUE PERUVIAN OPAL, 0.7 CTS AQUAMARINE, 0.32 CTS G-H VS WHITE DIAM</t>
  </si>
  <si>
    <t>H10061-BPO/AQ-20R</t>
  </si>
  <si>
    <t>AQUAMA</t>
  </si>
  <si>
    <t>ATS-PG NECKLACE: DIAMONDS 1,11CT G/VS-CRM GOLD 6.72</t>
  </si>
  <si>
    <t xml:space="preserve">88/01889R </t>
  </si>
  <si>
    <t>DIAMOND,</t>
  </si>
  <si>
    <t>NAN - LABRADORRITE 1pcs ct0.95, RHODOLITE 2pcs ct0.18, RUBY 1pcs ct1</t>
  </si>
  <si>
    <t>AS16-584</t>
  </si>
  <si>
    <t>LABRADOR</t>
  </si>
  <si>
    <t>ATS-PG PR. OF EARRINGS: ORANGE CHALCEDONY 18,02GR + CITRINE 4,26CT + TSAVORITE 0,165CT - CRM GOLD 4.64</t>
  </si>
  <si>
    <t xml:space="preserve">88/01946G/OC </t>
  </si>
  <si>
    <t>ORANGE+G</t>
  </si>
  <si>
    <t>NAN - NECKLACE ACQUAMARINE pcs 14 ct 38.5</t>
  </si>
  <si>
    <t>LE THI HAI ANH</t>
  </si>
  <si>
    <t>CN31-575</t>
  </si>
  <si>
    <t>400</t>
  </si>
  <si>
    <t>0916693668</t>
  </si>
  <si>
    <t>0G1800B 300</t>
  </si>
  <si>
    <t>VHN-FRECCIA NECKLACE</t>
  </si>
  <si>
    <t>0N1601C 351</t>
  </si>
  <si>
    <t>PINKGOLD</t>
  </si>
  <si>
    <t>VHN-FRECCIA RING SIZE 52</t>
  </si>
  <si>
    <t>0N1601A 351</t>
  </si>
  <si>
    <t>NAN - "SOFFIO" GOLD 18K 0.44 AND DIAMONDS 0.10CT LONG EARRINGS</t>
  </si>
  <si>
    <t>OS23-583</t>
  </si>
  <si>
    <t xml:space="preserve">GVC-PINK GOLD RING ( CENTER DIA 0.18)  W GOLD 9.30GR DIAMOND 1.33CT </t>
  </si>
  <si>
    <t>LAN_ANH</t>
  </si>
  <si>
    <t>Dang Hong Le</t>
  </si>
  <si>
    <t>NAN - “SPECIAL EDITION” NECKLACE GOLD 18K 3.40 DIAMONDS 0.03CT AVENTURINE 13.25CT</t>
  </si>
  <si>
    <t>CS8-603</t>
  </si>
  <si>
    <t>NAN-PENDANT WHITE MOONSTONE B ct 0,03 MO ct 12,5</t>
  </si>
  <si>
    <t>PS7-603</t>
  </si>
  <si>
    <t>NAN-BOULES EARRINGS B ct 0,07 TQ ct 8,00</t>
  </si>
  <si>
    <t>OS8-609</t>
  </si>
  <si>
    <t>MAL - ENGRAVED SILVER RING, SHRI CAPSULE, ONE NATURAL STONE DROP CUT ( 9X6)  LONDON   TG 13</t>
  </si>
  <si>
    <t>AA0117/V2/13</t>
  </si>
  <si>
    <t>MAL - SILVER EARRINGS WITH ENGRAVED SHPERE, SMALL NATURAL STONES AND ONE LARGE MABE' PEARL  LONDON - WHITE PEARL</t>
  </si>
  <si>
    <t>OA0178/LO</t>
  </si>
  <si>
    <t>LONDON -</t>
  </si>
  <si>
    <t>HUYNH TRAN THANH</t>
  </si>
  <si>
    <t>0708202855</t>
  </si>
  <si>
    <t>LUI-CARVED SILVER EAR CUFF WITH 4 EMERALD CUT STONES (6x4) BLACK SPINEL</t>
  </si>
  <si>
    <t>OA0281/V1</t>
  </si>
  <si>
    <t>LUI-SILVER EARRINGS</t>
  </si>
  <si>
    <t xml:space="preserve">OA0013
</t>
  </si>
  <si>
    <t>LUI-SHRI EARRINGS IN SILVER WITH SMALL NATURAL STONE, EMERALD CUT (8X6) COLORS: BLACK SPINEL</t>
  </si>
  <si>
    <t xml:space="preserve">OA0218/V1
</t>
  </si>
  <si>
    <t>SPK-ZAHRA MAX HOOP SILVER EARRINGS NOIR</t>
  </si>
  <si>
    <t>E-ZAMAXSSNO</t>
  </si>
  <si>
    <t>NAN-LIBERA EARRINGS</t>
  </si>
  <si>
    <t>OS3-602-RRLU</t>
  </si>
  <si>
    <t>RR</t>
  </si>
  <si>
    <t>ATS-PG Ring: diamond 0,58ct G/VS + pink sapphire 0,18ct / gmr gold 4.16 / size 12</t>
  </si>
  <si>
    <t>88/01711R/PS</t>
  </si>
  <si>
    <t>pink sap</t>
  </si>
  <si>
    <t>NAN-DANCING IN THE RAIN NECKLACE</t>
  </si>
  <si>
    <t>CN10-603</t>
  </si>
  <si>
    <t>NAN - "SOFFIO" ROSE GOLD 2.36 AND DIAMONDS 0.10CT LONG EARRINGS</t>
  </si>
  <si>
    <t>OS23-583.</t>
  </si>
  <si>
    <t>NAN - AMETHYST 13pcs ct0.57, LABRADORITE 1pc ct2.0, TSAVORITE 32pcs ct0.61, GREEN SAPPHIRE 21pcs ct0.52, PINK SAPPHIRE 31pcs ct1.38</t>
  </si>
  <si>
    <t>CS26-584</t>
  </si>
  <si>
    <t>RWR1859</t>
  </si>
  <si>
    <t>MAL - ENGRAVED BRACELET IN SILVER 39.2G WITH NATURAL STONES, VARIOUS CUTS: 1 LARGE DROP CUT ( 11X15), 2 SMALL DROP CUTS (7X10), 4 EMERALD CUTS (8X10), 
2 OVAL FACETED CUTS, 4 ROUND CUTS  SMOKEY QUATZ</t>
  </si>
  <si>
    <t>BA0114/SMOKEY QUATZ</t>
  </si>
  <si>
    <t>SMOKEY Q</t>
  </si>
  <si>
    <t>RWR1860</t>
  </si>
  <si>
    <t>ATTENZIO</t>
  </si>
  <si>
    <t>ATS - WG Pr. of Earrings: dia (rd) 0,71ct G/VS + dia (ov) 2,73ct G/VS</t>
  </si>
  <si>
    <t>88/01614W</t>
  </si>
  <si>
    <t>0000000000</t>
  </si>
  <si>
    <t>NAN - “SPECIAL EDITION” NECKLACE GOLD 18K 8.60</t>
  </si>
  <si>
    <t>CN3-583</t>
  </si>
  <si>
    <t>950</t>
  </si>
  <si>
    <t>TRANG_THANH</t>
  </si>
  <si>
    <t>LUI - TRILOGY RING WITH LARGE CITRINE, SMALL WHITE MABE PEARL, AND SMALL SILVER BUTTON</t>
  </si>
  <si>
    <t>PHAM HONG NHUNG</t>
  </si>
  <si>
    <t>AA0036T/CITRINO</t>
  </si>
  <si>
    <t xml:space="preserve">YELLOW, </t>
  </si>
  <si>
    <t>NAK-DRAPED FRINGE EARRINGS: APPROX. 1.06CTS GH, VS WHITE DIAMONDS, 1.52 CTS ETHIOPIAN OPAL, 1.4CTS A</t>
  </si>
  <si>
    <t>10498-EOP/BPO/AQ-20R</t>
  </si>
  <si>
    <t>NAK-TRIPLE RUCHED RIBBON RING: 2.98 CTS AQUAMARINE, 1.01 CTS BLUE MOONSTONE, 0.66 CTS BLUE PERUVIAN</t>
  </si>
  <si>
    <t>90080-AQ/BPO-20R</t>
  </si>
  <si>
    <t>6.5</t>
  </si>
  <si>
    <t>PG1527B 336</t>
  </si>
  <si>
    <t>GOLDDIAM</t>
  </si>
  <si>
    <t>NGOC_DUONG</t>
  </si>
  <si>
    <t>RM TWISTED SILVER SNAKE RING-HEAD SILVER TREATED SET PAVING WITH ROSECUT DIAMONDS &amp; (1)BLUE SAPPHIRE CENTER</t>
  </si>
  <si>
    <t>YENKO(1)(TW)S-ST DIA 8X8</t>
  </si>
  <si>
    <t>BLUE SAP</t>
  </si>
  <si>
    <t>Black</t>
  </si>
  <si>
    <t>RM Silver treated ring-top middle pink turmaline</t>
  </si>
  <si>
    <t>BALSAM R (TH) ST DIX(TURM.)</t>
  </si>
  <si>
    <t>Silver/p</t>
  </si>
  <si>
    <t>LUI - GOLD PLATED RIGID NECKLACE WITH NATURAL STONE, EMERALD CUT SMOKY QUARTZ</t>
  </si>
  <si>
    <t>CA0240/V1/POG</t>
  </si>
  <si>
    <t>GOLD, SM</t>
  </si>
  <si>
    <t>ROM-SUKA R S C2 S ST DIA CO (52) R-C-SUKAR-9 Rings - With Setting Sterling Silver - Cognac Diamonds:</t>
  </si>
  <si>
    <t>RG-054365</t>
  </si>
  <si>
    <t>ROM-BLUE B DIA IG SBL CO (52) R-H-BLUEB-6 Rings - With Setting Silver - Icy Grey Diamonds : 30p, 0.2</t>
  </si>
  <si>
    <t>RG-077399</t>
  </si>
  <si>
    <t>IcyGrey,</t>
  </si>
  <si>
    <t>RM-BEENU TH S ST DIA IG LQTZ (51) R-C-BEENUTH-34 Rings - With Setting Sterling Silver - Icy Grey Diamonds: 22p, 0.24ct - Lemon Quartz: 1p, 1.66ct</t>
  </si>
  <si>
    <t>RG-046287</t>
  </si>
  <si>
    <t>Lemon Qu</t>
  </si>
  <si>
    <t>RM SILVER RING-TOP SILVER TREATED CONVEX SET PAVING WITH ICY GREY DIAMONDS-MIDDLE SET PAVING WITH RUBIS &amp;(1)COGNAC DIAMOND CENTER</t>
  </si>
  <si>
    <t>YIKI S-ST DIA</t>
  </si>
  <si>
    <t>RM-BEGUM R TB S ST DIA IG BLK SPL (52) R-C-BEGUMRTB-78 Rings - With Setting Sterling Silver - Icy Grey Diamonds: 29p, 0.32ct - Black Spinla: 1p, 5.11ct</t>
  </si>
  <si>
    <t>Nguyen Thi Kim Ngoc</t>
  </si>
  <si>
    <t>RG-075511</t>
  </si>
  <si>
    <t>Black Sp</t>
  </si>
  <si>
    <t>ROM-ELVIA S GY (53) R-C-ELVIA-10 Rings - No Setting Silver - Yellow Gold (18K)</t>
  </si>
  <si>
    <t>RG-045077</t>
  </si>
  <si>
    <t>Yellow G</t>
  </si>
  <si>
    <t>Nguyen Xuan</t>
  </si>
  <si>
    <t>BRT-BRACELET LINEA DIAMONDS W Serial n AAB18379 Gold Net Weight 4,1 gr</t>
  </si>
  <si>
    <t>CP735</t>
  </si>
  <si>
    <t>WHITE GO</t>
  </si>
  <si>
    <t>BRT-RING LINEA BOLD FULL DIAMOND WHITE Serial n. AAB34764 Gold Net Weight 3,8 g</t>
  </si>
  <si>
    <t>CT490</t>
  </si>
  <si>
    <t>BRT-RING TRILOGY SOLITAIRE WHITE Serial n. AAB53987 Gold Net Weight 0,8 g</t>
  </si>
  <si>
    <t>CV173</t>
  </si>
  <si>
    <t>BRT-RING WHITE LONG SOLITAIRE WHITE Serial n. AAB50524  Gold Net Weight 0,92 g</t>
  </si>
  <si>
    <t>CT483</t>
  </si>
  <si>
    <t>NAN - EARRINGS GOLD 9.95</t>
  </si>
  <si>
    <t>OA8-569</t>
  </si>
  <si>
    <t>GOLD 9.9</t>
  </si>
  <si>
    <t>Nguyen Huynh Son</t>
  </si>
  <si>
    <t>0976665300</t>
  </si>
  <si>
    <t>18</t>
  </si>
  <si>
    <t>LUI - GOLD PLATED RIGID NECKLACE WITH NATURAL STONE, EMERALD CUT ROCK CRYSTA</t>
  </si>
  <si>
    <t>GOLD, WH</t>
  </si>
  <si>
    <t>LUI - GOLD PLATED RING WITH  10  MM PEARL SIZE</t>
  </si>
  <si>
    <t>AA0120/PERLA /POG</t>
  </si>
  <si>
    <t>MAL - SILVER ENGRAVED RING "SOLITAIRE" WITH FACETED STONE 8MM - LONDON  TG 11</t>
  </si>
  <si>
    <t>Nguyen Thi Thuy Mai</t>
  </si>
  <si>
    <t>AA0050/LO/11</t>
  </si>
  <si>
    <t>LUI - SILVER NECKLACE CARVED WITH TEARDROP STONES (9X6PCS1), DROPS (7X5PCS2), AND PEARLS (5.5MMPCS21) ALL ONYX, SPHERES AND PENDANT DROPS</t>
  </si>
  <si>
    <t>CA0258/V1</t>
  </si>
  <si>
    <t>BLACK, S</t>
  </si>
  <si>
    <t>LUI - SILVER EARRINGS,SMALL SIZE WITH 4 EMERALD CUT STONES ORECCHINO (6X4) ONIX  SPINELLO NERO</t>
  </si>
  <si>
    <t>OA0271/S/V1</t>
  </si>
  <si>
    <t>LUI - ENGRAVED SILVE RING WITH ROUND FACETED CUT STONE 6 MM RED RHODOLITE</t>
  </si>
  <si>
    <t>AA0144/V2</t>
  </si>
  <si>
    <t>15 NATUR</t>
  </si>
  <si>
    <t>MAL - ENGRAVED SILVER RING, SHRI CAPSULE, WITH ONE NATURAL STONE NAVETTE CUT ( 10 X 5 )  RED GARNET (GRANATO ROSSO)  TG 11</t>
  </si>
  <si>
    <t>AA0115/V2/11</t>
  </si>
  <si>
    <t>RED GARN</t>
  </si>
  <si>
    <t>MAL - ENGREAVED SILVER RING WITH TWO SILVER HEARTS, ONE ENGREAVED AND ONE POLISHED   TG 11</t>
  </si>
  <si>
    <t>AA0081/11</t>
  </si>
  <si>
    <t>TWO SILV</t>
  </si>
  <si>
    <t>BRT-BRACELET CHAIN AMULETO Y Serial n. AAB52860 Gold Net Weight 3,4 g</t>
  </si>
  <si>
    <t>CX273</t>
  </si>
  <si>
    <t>YELLOW G</t>
  </si>
  <si>
    <t>LUI - SILVER NECKLACE GOLD-PLATED CARVED OCTAGONAL STONES (6X4PZ2 E 8X6PZ1) AND PEARLS (5,5MMPZ. 21) WHISKY - PRASIOLITE - CITRINO - PERIDOT</t>
  </si>
  <si>
    <t>CA0256/V1/POG</t>
  </si>
  <si>
    <t>GOLD, YE</t>
  </si>
  <si>
    <t>ROM-PEW OJO MINUS DIA CO RU PE-H-PEOJOMINUS-3 Necklaces - Wax - With Setting Silver - Cognac Diamond</t>
  </si>
  <si>
    <t>Ruby, Co</t>
  </si>
  <si>
    <t>BRT-BRACELET WHITE SOLITAIRE YELLOW Serial n. AAB54642 Gold Net Weight 1,0 g</t>
  </si>
  <si>
    <t>CT398</t>
  </si>
  <si>
    <t>BRT-RING WHITE LONG SOLITAIRE YELLOW Serial n. AAB34571 Gold Net Weight 0,9 g</t>
  </si>
  <si>
    <t>CT484</t>
  </si>
  <si>
    <t>NAN - "CANDLE" CHARMING PENDANT NECKLANCE GOLD 18K 3.38 AND DIAMONDS 0.08CT</t>
  </si>
  <si>
    <t>440</t>
  </si>
  <si>
    <t>NAN - "CANLDE" GOLD 18K 4.11 AND DIAMONDS 0.16CT EARRINGS</t>
  </si>
  <si>
    <t>OS24-583</t>
  </si>
  <si>
    <t>CN6-583-RRLU</t>
  </si>
  <si>
    <t>BRT-EARRING DIAMONDS ARCH YELLOW Serial n AAB59468 Gold Net Weight 1,0 g</t>
  </si>
  <si>
    <t>CL468 + CL469</t>
  </si>
  <si>
    <t>NAK-TRIPLE RUCHED RIBBON BLACK SPINEL, WHITE DIAMONDS, 20K GOLD RING SIZE 9.5</t>
  </si>
  <si>
    <t>9.5</t>
  </si>
  <si>
    <t>ATS-WG NECKLACE: DIAMONDS 1,04CT G/VS-CRM GOLD 7.35</t>
  </si>
  <si>
    <t xml:space="preserve">88/01889W </t>
  </si>
  <si>
    <t>NAK-PETITE RUCHED HOOPS, EMARALS, WHITE DIAMONDS, TOUMALINE, 20K ROSE GOLD, 1/2 INC LENGTH</t>
  </si>
  <si>
    <t>H10061-EM-20R</t>
  </si>
  <si>
    <t>NAK-DOUBLE RUCHED RIBBON EMERALS, WHITE DIAMOND, 20K ROSE GOLD RING SIZE 6.5</t>
  </si>
  <si>
    <t>90085-EM-20R</t>
  </si>
  <si>
    <t>54</t>
  </si>
  <si>
    <t>BRT-NECKLACE CHAIN AMULETO Y Serial n. AAB56419 Gold Net Weight 7,0 g</t>
  </si>
  <si>
    <t>CX279</t>
  </si>
  <si>
    <t>BRT-BRACELET CHAIN FINE YELLOW Serial n. AAB29878 Gold Net Weight 5,7 g</t>
  </si>
  <si>
    <t>CP864</t>
  </si>
  <si>
    <t>NAK-HERRINGBONE HOOPS: 1.08CTS BLUE PERUVIAN OPAL, 0.52 CTS ETHIOPIAN OPAL, 0.26 CTS AQUAMARINE AND</t>
  </si>
  <si>
    <t>H10073-BPO/AQ-20R</t>
  </si>
  <si>
    <t>BRT-NECKLACE BEE MULTISOLITAIRE Y Serial n. AAB47074 Gold Net Weight 2 g</t>
  </si>
  <si>
    <t>CW982</t>
  </si>
  <si>
    <t>ATS-WG Pr. of Earrings: diamond 1,28ct G/VS + black diamond 0,79ct + south sea pearl 38,07ct / grm gold 9.23 / size U</t>
  </si>
  <si>
    <t>88/01847W</t>
  </si>
  <si>
    <t>sea pear</t>
  </si>
  <si>
    <t>Tran Phan Anh</t>
  </si>
  <si>
    <t>PHAN_ANH</t>
  </si>
  <si>
    <t>Blue Sap</t>
  </si>
  <si>
    <t>RM SILVER RING-TOP SILVER TREATED CONVEX SET PAVING WITH ICY GREY DIAMONDS-MIDDLE SET PAVING WITH BLUE SAPPHIRES &amp;(1)COGNAC DIAMOND CENTER</t>
  </si>
  <si>
    <t>RM-PE 152 B ST DIA IG SBL  (Necklace Michele) PE-C-152B-2 Necklaces - Chain - With Setting Sterling Silver - Icy Grey Diamonds: 39p, 0.52ct - Blue Sapphire: 1p, 0.1ct</t>
  </si>
  <si>
    <t>PE-001496</t>
  </si>
  <si>
    <t>ATS - PG Ring: dia. 0,572ct G/VS + green tourmaline 4,44ct
+ pink tourmaline 13,13ct</t>
  </si>
  <si>
    <t>88/01552R/GT</t>
  </si>
  <si>
    <t>DIA + GR</t>
  </si>
  <si>
    <t>LUI - SILVER BRACELET WITH SHIVALINGHAM  WITH SHINY CHAIN, NOT BURNISHED</t>
  </si>
  <si>
    <t>BA0011</t>
  </si>
  <si>
    <t>MAL - SHRI RING WITH 2 STONES, 1 DROP CUT AND 1 ROUND CUT   DROP: LONDON ROUND STONE: LONDON   TG: 12</t>
  </si>
  <si>
    <t>AA0087/V4</t>
  </si>
  <si>
    <t>LUI - CARVED SILVER NUN EARRINGS WITH DROP STONE (7 X 10 ) AMETHYST</t>
  </si>
  <si>
    <t>OA0131</t>
  </si>
  <si>
    <t>MAL - SILVER NECKLACE 7.6G, SHAKTI LOVE CAPSULE, WITH ENGRAVED HEART (12MM)  NECKLACE LENGHT: 37/41 CM</t>
  </si>
  <si>
    <t>CA0174</t>
  </si>
  <si>
    <t>SHAKTI L</t>
  </si>
  <si>
    <t>ROM-WOINA R ST DIA BLK BLK (51) R-C-WOINAR-21 Rings - With Setting Sterling Silver - Black Diamonds:</t>
  </si>
  <si>
    <t>RG-059909</t>
  </si>
  <si>
    <t>Black Di</t>
  </si>
  <si>
    <t>RM-PE OLYMPE V S ST DIA BLK 1G PE-C-OLYMPEV-18 Necklaces - Chain - With Setting Sterling Silver - Black Diamonds: 23p, 1.65ct</t>
  </si>
  <si>
    <t>PE-000966</t>
  </si>
  <si>
    <t>BEENU (V) S-ST DIX (ICY GRIS)</t>
  </si>
  <si>
    <t>SILVER/G</t>
  </si>
  <si>
    <t>ROM-WITA R S ST DIX BLK (53) R-C-WITAR-22 Rings - With Setting Sterling Silver - Black Diamond: 1p,</t>
  </si>
  <si>
    <t>RG-049739</t>
  </si>
  <si>
    <t>LUI-SHRI CAPSULE NECKLACE IN SILVER WITH ONE NATURAL DROP (9x6) AND ONE STONE NAVETTE CUT AS PENDANT (10x5)
CITRINE</t>
  </si>
  <si>
    <t xml:space="preserve">CA0187/V1
</t>
  </si>
  <si>
    <t>MAL - ENGRAVED SILVER RING, SHRI CAPSULE, WITH NATURAL STONE OVAL FACETED CUT (11 x 9 x H 5,5 mm)  CITRINE   TG 11</t>
  </si>
  <si>
    <t>AA0109/V2/11</t>
  </si>
  <si>
    <t>LUI - SILVER EARRINGS WITH ROUND FACETED STONE CITRIN</t>
  </si>
  <si>
    <t>OA0002/V2</t>
  </si>
  <si>
    <t>BRT-NECKLACE LARIAT LINEA FINE (WHITE) Serial n. AAB38667 Gold Net Weight 5,38 g</t>
  </si>
  <si>
    <t>CP455</t>
  </si>
  <si>
    <t>NAN - DIAMONDS 42pcs ct0.23; GOLD 18K 45.63gr</t>
  </si>
  <si>
    <t>CS32-538</t>
  </si>
  <si>
    <t>GEO-EARRING BLACK AGATE</t>
  </si>
  <si>
    <t>RM-BO BEGUM S ST DIA CO GLD RQTZ SBL BO-C-BEGUM-54 Earrings - Setting Each Piece: Sterling Silver - Cognac Diamonds: 32p, 0.32ct - Golden Rutilated Quartz: 1p, 3.74ct - Blue Sapphires: 4p, 0.06ct</t>
  </si>
  <si>
    <t>BO-000645</t>
  </si>
  <si>
    <t>BRT-EARRING LINEA HOOP FULL DIAMOND WHITE Serial n. AAB32567 Gold Net Weight 2,3 g</t>
  </si>
  <si>
    <t>CT523</t>
  </si>
  <si>
    <t>BRT-NECKLACE WHITE MULTISOLITAIRE WHITE Serial n. AAB41674 Gold Net Weight 1,97 g</t>
  </si>
  <si>
    <t>CT395</t>
  </si>
  <si>
    <t>ATS - WG Pr. of Earrings: dia 1,09ct G/VS + blue sapphire 6,37ct</t>
  </si>
  <si>
    <t>30/18126W/SA</t>
  </si>
  <si>
    <t>DIA + BL</t>
  </si>
  <si>
    <t>LUI - SILVER CARVED NECKLACE, STONES NAVETTE (10X5PCS1) NAVETTE (8X4PCS2) AND PEARLS (5.5MMPCS21) ROCK CRYSTAL</t>
  </si>
  <si>
    <t>CA0257/V1</t>
  </si>
  <si>
    <t>LUI - SOUL SHORT SILVER NECKLACE WITH ROUND CUT 6MM STONE SMOKY QUARTZ   FUME</t>
  </si>
  <si>
    <t>GVC-PINK GOLD RING W GOLD 12.20GR DIAMOND 1.12CT</t>
  </si>
  <si>
    <t>AR16944</t>
  </si>
  <si>
    <t>VHN-TOURBILLON S RING SIZE 52</t>
  </si>
  <si>
    <t>GOLD &amp; W</t>
  </si>
  <si>
    <t>NAN - "DANCING ÉLITE" GOLD 4.03  AND DIAMONDS 0.08 CT ELEGANT PENDANT</t>
  </si>
  <si>
    <t>CS5-583</t>
  </si>
  <si>
    <t>425</t>
  </si>
  <si>
    <t>NAN-BOULES in green colour NECKLACE</t>
  </si>
  <si>
    <t>CI6-609</t>
  </si>
  <si>
    <t>OA4-538</t>
  </si>
  <si>
    <t>NAN - RING GOLD 12.66</t>
  </si>
  <si>
    <t>AH2-316</t>
  </si>
  <si>
    <t>GOLD 12.</t>
  </si>
  <si>
    <t xml:space="preserve">FACETED </t>
  </si>
  <si>
    <t>VHN-ABBRACCIO S RING SIZE 53</t>
  </si>
  <si>
    <t>NAK-LONG BATON CHAIN: SOLID 20K RECYLED ROSE GOLD; 16 1/2 IN LENGTH</t>
  </si>
  <si>
    <t>Nguyen Ha Anh</t>
  </si>
  <si>
    <t>011112222</t>
  </si>
  <si>
    <t>Tran Thi Thuy Nga</t>
  </si>
  <si>
    <t>0903920064</t>
  </si>
  <si>
    <t>LUI - SHRI RING IN SILVER WITH NATURAL STONES EMERALD CUT (6X4) SMOKY QUARTZ</t>
  </si>
  <si>
    <t>AA0116/V1</t>
  </si>
  <si>
    <t>Kieu Anh</t>
  </si>
  <si>
    <t>0987253443</t>
  </si>
  <si>
    <t>RM-BO 13 S ST C1½ S DIA CO BLK BLK 4P BO-C-13-9 Earrings - Setting Each Piece: Sterling Silver - Cognac Diamonds + Black Diamonds: 68p, 0.56ct</t>
  </si>
  <si>
    <t>BO-000642</t>
  </si>
  <si>
    <t>BRT-RING YELLOW BEE XS Serial n.  AAB46989  Gold Net Weight 1,0 g</t>
  </si>
  <si>
    <t>CQ608</t>
  </si>
  <si>
    <t>NAK - Small Leaf Earrings: 1.9 cts emerald and 20k rose gold; 7/8 inches in length</t>
  </si>
  <si>
    <t>10320-EM-20R</t>
  </si>
  <si>
    <t>BRT-RING YELLOW BEE BAGUETTE Serial n. AAB38506 Gold Net Weight 1,08 g</t>
  </si>
  <si>
    <t>CV180</t>
  </si>
  <si>
    <t xml:space="preserve">BRT-RING TRILOGY SOLITAIRE YELLOW Serial n. AAB45276  Gold Net Weight 0,88 g </t>
  </si>
  <si>
    <t>CV174</t>
  </si>
  <si>
    <t>ATS-WG PR. OF EARRINGS: DIAMONDS 2,61CT G/VS + PINK TOURMALIN 3,55CT - CRM GOLD 10.52</t>
  </si>
  <si>
    <t xml:space="preserve">88/AW01675W2 </t>
  </si>
  <si>
    <t>PINK+DIA</t>
  </si>
  <si>
    <t>BRT-NECKLACE AMULETO FULL DIAMONDS YELLOW S Serial n. AAB49453 Gold Net Weight 2,8 g</t>
  </si>
  <si>
    <t>CT368</t>
  </si>
  <si>
    <t>BRT-NECKLACE MULTISOLITAIRE Y Serial n. AAB54175 Gold Net Weight 3,98 g</t>
  </si>
  <si>
    <t>CX305</t>
  </si>
  <si>
    <t>Pham Chau Anh</t>
  </si>
  <si>
    <t>NAN-IPANEMA RING SIZE 58 GD ct 0,34 RZ ct 2,4</t>
  </si>
  <si>
    <t>AS7-596</t>
  </si>
  <si>
    <t>RM-BO BEGUM V S ST DIA CO 1G LQTZ CO BO-C-BEGUMV-38 Earrings - Setting Each Piece: Sterling Silver - Cognac Diamonds: 16p, 1.35ct - Lemon Quartz: 1p, 3.22ct - Cognac Diamonds: 4p, 0.06ct</t>
  </si>
  <si>
    <t>BO-000589</t>
  </si>
  <si>
    <t>MAL - SILVER NECKLACE, LONG CHAIN WITH NATURAL FACETED DROP (20X13,5)   SMOKEY QUARTZ</t>
  </si>
  <si>
    <t>CA0144/V1</t>
  </si>
  <si>
    <t>Grand Total</t>
  </si>
  <si>
    <t>TT Landed Cost</t>
  </si>
  <si>
    <t>Qty</t>
  </si>
  <si>
    <t xml:space="preserve">Landed Cost </t>
  </si>
  <si>
    <t>Total Qty</t>
  </si>
  <si>
    <t xml:space="preserve">Total Landed Cost </t>
  </si>
  <si>
    <t>(All)</t>
  </si>
  <si>
    <t>Lấy BC</t>
  </si>
  <si>
    <t>Không lấy  BC</t>
  </si>
  <si>
    <t>Phân loại</t>
  </si>
  <si>
    <t>Sales Report</t>
  </si>
  <si>
    <t>Inventory Report</t>
  </si>
  <si>
    <t xml:space="preserve">Revenue </t>
  </si>
  <si>
    <t>YoY %</t>
  </si>
  <si>
    <t>Active</t>
  </si>
  <si>
    <t>Retired</t>
  </si>
  <si>
    <t>Status</t>
  </si>
  <si>
    <t>Status Associate</t>
  </si>
  <si>
    <t xml:space="preserve">LUI - SILVER NECKLACE CM 114  ( 6 PEARLS 7 NAVETTE CUTTED STONES AND OTHER MIXED STONES ) ROCK CRYSTAL </t>
  </si>
  <si>
    <t>CA0243/V1</t>
  </si>
  <si>
    <t>MAL - ENGRAVED SILVER EARRINGS WITH 3 NATURAL STONES, VARIOUS CUTS (EMERALD, ROUND, DROP CUT)  CITRINE</t>
  </si>
  <si>
    <t>OA0248/V1/CITRINE</t>
  </si>
  <si>
    <t>VHN-NECKLACE WITH 4 GOLD LINKS</t>
  </si>
  <si>
    <t>001832CL214</t>
  </si>
  <si>
    <t>VHN-ROSE GOLD EARRINGS AND ONE DIAMOND PROFILE (CT 10,0)</t>
  </si>
  <si>
    <t>0G1832B 310</t>
  </si>
  <si>
    <t>NAN - DIAMONDS 8pcs ct0.11, RUTILE QUARTZ 2pcs ct13.0</t>
  </si>
  <si>
    <t>OS7-576</t>
  </si>
  <si>
    <t>NAN-LIBERA EARRINGS B ct 0,13</t>
  </si>
  <si>
    <t>VHN - Ring Calla Media Gold Gr 9,80  Titanium Gr 0,40  25 Diamonds Ct 0,28</t>
  </si>
  <si>
    <t>0G1652A 354</t>
  </si>
  <si>
    <t>VHN-EARCLIPS IN ROSE GOLD, WHITE GOLD AND DIAMONDS. DIAMONDS 60, CT. 0,39 (MIDI) SIZE U</t>
  </si>
  <si>
    <t>VHN - Ring Tourbillon White gold Gr 29,05  708 Diamonds Ct 4,23</t>
  </si>
  <si>
    <t>PG0527A 020</t>
  </si>
  <si>
    <t>VHN-EARCLIPS IN ROSE GOLD AND WHITE GOLD (MIDI) ((WITH CLIP AND PIN POSITIONED</t>
  </si>
  <si>
    <t>GVC-PINK GOLD P.OF EARRINGS ( CENTER DIAM.TOTAL 0.30) W GOLD 13.00GR DIAMOND 2.33CT</t>
  </si>
  <si>
    <t>B39733</t>
  </si>
  <si>
    <t xml:space="preserve">NAN - “SPECIAL EDITION” EARRINGS ROSE GOLD 9.90 WITH MORGANITE 5.90 CT AND DIAMONDS 1.05CT </t>
  </si>
  <si>
    <t>SPC167</t>
  </si>
  <si>
    <t xml:space="preserve">NAN - “SPECIAL EDITION” RING ROSE GOLD 6.30 WITH MORGANITE 2.95 CT AND DIAMONDS 0.60CT </t>
  </si>
  <si>
    <t>SPC164</t>
  </si>
  <si>
    <t xml:space="preserve">NAN - “SPECIAL EDITION” NECKLACE ROSE GOLD 14.80 WITH MORGANITE 2.95 CT AND DIAMONDS 0.60CT </t>
  </si>
  <si>
    <t>SPC166</t>
  </si>
  <si>
    <t>Du Thi Thanh Thuong</t>
  </si>
  <si>
    <t>CI1-538</t>
  </si>
  <si>
    <t>NAN-DANCING IN THE RAIN SMALL EARRINGS B ct 0,09</t>
  </si>
  <si>
    <t>NAN - "ÉLITE" GOLD 18K 2.16 AND DIAMONDS 0.19CT LIGHT POINT NECKLACE</t>
  </si>
  <si>
    <t>SPK-GEMINI SG PAVE RING</t>
  </si>
  <si>
    <t>G3-GEMSGPA</t>
  </si>
  <si>
    <t>LUI - SILVER NECKLACE CARVED WITH NAVETTE STONES (8X4) SMOKY QUARTZ - LETTER A</t>
  </si>
  <si>
    <t>CA0276/AG</t>
  </si>
  <si>
    <t>PS26</t>
  </si>
  <si>
    <t>NGHIA_NGUYENHN</t>
  </si>
  <si>
    <t>BAO_NGOC</t>
  </si>
  <si>
    <t>SON_NGUYENVAN_SALE</t>
  </si>
  <si>
    <t>465</t>
  </si>
  <si>
    <t>395</t>
  </si>
  <si>
    <t>GEO-CITRIN HORN NECKLACE</t>
  </si>
  <si>
    <t>Yellow</t>
  </si>
  <si>
    <t>VHN-ROSE GOLD AND JET EARRING INTERNAL</t>
  </si>
  <si>
    <t>0N0623B 610</t>
  </si>
  <si>
    <t>Vu Minh Hang</t>
  </si>
  <si>
    <t>SPK-ZAHRA MAX HOOP SILVER EARRINGS DIAMOND</t>
  </si>
  <si>
    <t>E-ZAMAXSSWD</t>
  </si>
  <si>
    <t>ATS-PG Ring: brown diamond round 1,05ct + brown diamond 1,88ct / gmr gold 16.18 / size U</t>
  </si>
  <si>
    <t>88/01774R/CH</t>
  </si>
  <si>
    <t>brown di</t>
  </si>
  <si>
    <t>ATS-PG Pr. of Earrings: diamond 0,06 G/VS + blue topaze 2,90ct + lemon quartz 34,17ct + pink sapphire 0,07ct / grm 7.27 / size U</t>
  </si>
  <si>
    <t>93/AW15186</t>
  </si>
  <si>
    <t>lemon qu</t>
  </si>
  <si>
    <t>ATS-PG Ring: diamond 0,08ct G/VS + blue topaze 1,87ct + lemon quartz 15,92ct + pink sapphire 0,08ct / grm 7.16 / size 13</t>
  </si>
  <si>
    <t>93/AW15187</t>
  </si>
  <si>
    <t>VHN-OLIMPIA EARCLIPS WHITE GOLD BLACK DIAMOND</t>
  </si>
  <si>
    <t>Hien Trang</t>
  </si>
  <si>
    <t>MG1606B 051</t>
  </si>
  <si>
    <t>WHITGOLD</t>
  </si>
  <si>
    <t>00000000001</t>
  </si>
  <si>
    <t>VHN-RING IN WHITE GOLD AND BLACK DIAMOND SIZE 54</t>
  </si>
  <si>
    <t>MG1801A 050</t>
  </si>
  <si>
    <t xml:space="preserve">VHN-MON JEU LINK TITANIUM AND PINK SAPPHIRE </t>
  </si>
  <si>
    <t xml:space="preserve">TG1332CO611 </t>
  </si>
  <si>
    <t>TITANIUM</t>
  </si>
  <si>
    <t>VHN-MON JEU LINK TITANIUM AND TSAVORITE</t>
  </si>
  <si>
    <t xml:space="preserve">TG1332CO614 </t>
  </si>
  <si>
    <t>VHN-MON JEU EARCLIPS PINK GOLD</t>
  </si>
  <si>
    <t>001332B 100</t>
  </si>
  <si>
    <t>PINK GOL</t>
  </si>
  <si>
    <t>VHN-MON JEU LINK PINK GOLD</t>
  </si>
  <si>
    <t>001332CO100</t>
  </si>
  <si>
    <t>VHN-FRECCIA EARRINGS</t>
  </si>
  <si>
    <t>0N1601B 250</t>
  </si>
  <si>
    <t>RWR2397</t>
  </si>
  <si>
    <t>NAN - EARRINGS DIAMONDS pcs 68 ct 0.56</t>
  </si>
  <si>
    <t>OS25-583</t>
  </si>
  <si>
    <t>Nguyen Thi Giau</t>
  </si>
  <si>
    <t>Red</t>
  </si>
  <si>
    <t>0907137144</t>
  </si>
  <si>
    <t>White</t>
  </si>
  <si>
    <t>VHN-FRECCIA RING</t>
  </si>
  <si>
    <t>0N1601A 254</t>
  </si>
  <si>
    <t>GOLDLAPI</t>
  </si>
  <si>
    <t>0N1601A 250</t>
  </si>
  <si>
    <t>GOLDPEAR</t>
  </si>
  <si>
    <t>VHN-EARLIPS WHITE GOLD BLACK DIAMONDS SIZE U</t>
  </si>
  <si>
    <t>VHN-PIROUETTE E RING</t>
  </si>
  <si>
    <t>000623A 600</t>
  </si>
  <si>
    <t>KIEUDIEM_NGUYEN</t>
  </si>
  <si>
    <t>VHN-MON JEU BLACK TITANIUM 20 LINKS NECKLACE</t>
  </si>
  <si>
    <t>T01332CO630x24</t>
  </si>
  <si>
    <t>MAL -ENGRAVED SILVER RING WITH ONE LARGE NATURAL DROP AND ONE NATURAL STONE EMERALD CUT   LARGE DROP: ROCK CRYSTAL  EMERALD CUT: ROCK CRYSTAL   TG 11</t>
  </si>
  <si>
    <t>ROCK CRY</t>
  </si>
  <si>
    <t>0933180538</t>
  </si>
  <si>
    <t>LUI - SILVER RING CARVED WITH 10 EMERALD-CUT STONES (6 X 4) SMOKEY QUARTZ</t>
  </si>
  <si>
    <t xml:space="preserve">LUI - SILVER RING WITH 2 PEARLS AND A STONE  SMOKY QUARTZ </t>
  </si>
  <si>
    <t>AA0121/V1</t>
  </si>
  <si>
    <t>SMOKY, W</t>
  </si>
  <si>
    <t>BRT-EAR CUFF LINEA PEARL</t>
  </si>
  <si>
    <t>CJ533</t>
  </si>
  <si>
    <t>ROSE GOL</t>
  </si>
  <si>
    <t>NAN-MYSTERY BLACK EARRINGS</t>
  </si>
  <si>
    <t>OS30-587_IN_GG</t>
  </si>
  <si>
    <t>NAN-MYSTERY BLACK RING SIZE 14</t>
  </si>
  <si>
    <t>AS53-597_IN_GG</t>
  </si>
  <si>
    <t>NAN - “SPECIAL EDITION” NECKLACE GOLD 18K 8.10 AND AQUAMARINE 11.00CT</t>
  </si>
  <si>
    <t>CN2-587</t>
  </si>
  <si>
    <t>NAN-IPANEMA  RING SIZE 15</t>
  </si>
  <si>
    <t>AH20-612_LU_GG</t>
  </si>
  <si>
    <t>AS5-609_IN_GG</t>
  </si>
  <si>
    <t>NAK ARMSTRONG-FOLD OVER MOSAIC RING SIZE 6.5</t>
  </si>
  <si>
    <t>90201-CT-20R</t>
  </si>
  <si>
    <t xml:space="preserve">CHROME </t>
  </si>
  <si>
    <t>BRT-NECKLACE LARIAT LINEA FINE</t>
  </si>
  <si>
    <t>CP456</t>
  </si>
  <si>
    <t>NAK ARMSTRONG-FOLD OVER MOSAIC EARRINGS</t>
  </si>
  <si>
    <t>H10103-CT-20R</t>
  </si>
  <si>
    <t>NAK ARMSTRONG-SINGLE RUCHED EARCUFF</t>
  </si>
  <si>
    <t>10482-BSL-20R</t>
  </si>
  <si>
    <t>BRT-BRACELET SOLITAIRE BAGUETTE</t>
  </si>
  <si>
    <t>CX297</t>
  </si>
  <si>
    <t>BRT-BRACELET CON AMORE Y</t>
  </si>
  <si>
    <t>CY592</t>
  </si>
  <si>
    <t>BRT-NECKLACE SOLITAIRE BUBBLE Y</t>
  </si>
  <si>
    <t>DA737</t>
  </si>
  <si>
    <t>BRT-BRACELET SOLITAIRE BUBBLE Y</t>
  </si>
  <si>
    <t>DA698</t>
  </si>
  <si>
    <t>MAL - ENGRAVED SILVER NECKLACE, CROSS PENDANT WITH 5 NATURAL DROPS ( 7 X 10) AND SMALL STONE FACETED CUT (6MM)  NECKLACE LENGHT: 40/45 CM   ROCK CRYSTAL</t>
  </si>
  <si>
    <t>CA0112/ROCK CRYSTAL</t>
  </si>
  <si>
    <t>NAN-DANCING IN THE RAIN BABY EARRINGS B ct 0,35</t>
  </si>
  <si>
    <t>OS42-583</t>
  </si>
  <si>
    <t>NAN-DANCING GOLD RING SIZE 11</t>
  </si>
  <si>
    <t>AS8-583_LU_RR</t>
  </si>
  <si>
    <t>Tran Thi Thuong</t>
  </si>
  <si>
    <t xml:space="preserve">PEW-000341 </t>
  </si>
  <si>
    <t xml:space="preserve">Silver, </t>
  </si>
  <si>
    <t>BRT-EARRING LINEA FINE - PAIR 2 PC</t>
  </si>
  <si>
    <t>CP446</t>
  </si>
  <si>
    <t xml:space="preserve">BRT-EARRING ESSENTIAL MICROPEARLS </t>
  </si>
  <si>
    <t>CJ551</t>
  </si>
  <si>
    <t>Date: 12/01/2026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</si>
</sst>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0D692"/>
        <bgColor indexed="64"/>
      </patternFill>
    </fill>
    <fill>
      <patternFill patternType="solid">
        <fgColor rgb="FFE3DFE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/>
    <xf numFmtId="14" fontId="0" fillId="0" borderId="0" xfId="0" applyNumberFormat="1"/>
    <xf numFmtId="164" fontId="0" fillId="0" borderId="0" xfId="1" applyNumberFormat="1" applyFont="1"/>
    <xf numFmtId="14" fontId="3" fillId="3" borderId="2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5" fillId="4" borderId="0" xfId="0" applyFont="1" applyFill="1"/>
    <xf numFmtId="164" fontId="5" fillId="4" borderId="0" xfId="1" applyNumberFormat="1" applyFont="1" applyFill="1"/>
    <xf numFmtId="164" fontId="5" fillId="0" borderId="0" xfId="1" applyNumberFormat="1" applyFont="1"/>
    <xf numFmtId="14" fontId="4" fillId="5" borderId="0" xfId="0" applyNumberFormat="1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0" borderId="0" xfId="0" applyFont="1" applyAlignment="1">
      <alignment horizontal="left"/>
    </xf>
    <xf numFmtId="49" fontId="4" fillId="5" borderId="0" xfId="0" applyNumberFormat="1" applyFont="1" applyFill="1"/>
    <xf numFmtId="164" fontId="4" fillId="0" borderId="0" xfId="1" applyNumberFormat="1" applyFont="1" applyAlignment="1">
      <alignment horizontal="right"/>
    </xf>
    <xf numFmtId="164" fontId="4" fillId="5" borderId="0" xfId="1" applyNumberFormat="1" applyFont="1" applyFill="1"/>
    <xf numFmtId="37" fontId="4" fillId="5" borderId="0" xfId="1" applyNumberFormat="1" applyFont="1" applyFill="1"/>
    <xf numFmtId="37" fontId="4" fillId="0" borderId="0" xfId="0" applyNumberFormat="1" applyFont="1" applyAlignment="1">
      <alignment horizontal="right"/>
    </xf>
    <xf numFmtId="49" fontId="4" fillId="2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11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1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right"/>
    </xf>
    <xf numFmtId="164" fontId="4" fillId="0" borderId="0" xfId="1" applyNumberFormat="1" applyFont="1" applyAlignment="1">
      <alignment horizontal="left"/>
    </xf>
    <xf numFmtId="164" fontId="5" fillId="4" borderId="0" xfId="1" applyNumberFormat="1" applyFont="1" applyFill="1" applyBorder="1"/>
    <xf numFmtId="164" fontId="5" fillId="0" borderId="0" xfId="1" applyNumberFormat="1" applyFont="1" applyBorder="1"/>
    <xf numFmtId="164" fontId="4" fillId="5" borderId="0" xfId="1" applyNumberFormat="1" applyFont="1" applyFill="1" applyBorder="1"/>
    <xf numFmtId="37" fontId="4" fillId="5" borderId="0" xfId="1" applyNumberFormat="1" applyFont="1" applyFill="1" applyBorder="1"/>
    <xf numFmtId="49" fontId="4" fillId="2" borderId="3" xfId="0" applyNumberFormat="1" applyFont="1" applyFill="1" applyBorder="1" applyAlignment="1">
      <alignment horizontal="left"/>
    </xf>
    <xf numFmtId="164" fontId="4" fillId="0" borderId="0" xfId="1" applyNumberFormat="1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4" fontId="2" fillId="0" borderId="0" xfId="0" applyNumberFormat="1" applyFont="1"/>
    <xf numFmtId="164" fontId="0" fillId="0" borderId="0" xfId="0" applyNumberFormat="1"/>
    <xf numFmtId="0" fontId="6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64" fontId="0" fillId="14" borderId="0" xfId="0" applyNumberForma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3" fillId="9" borderId="2" xfId="0" applyNumberFormat="1" applyFont="1" applyFill="1" applyBorder="1" applyAlignment="1">
      <alignment horizontal="center" vertical="center" wrapText="1"/>
    </xf>
    <xf numFmtId="164" fontId="3" fillId="9" borderId="2" xfId="1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37" fontId="3" fillId="9" borderId="2" xfId="1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0" fillId="0" borderId="0" xfId="0" pivotButton="1" applyAlignment="1">
      <alignment horizontal="left" vertical="center"/>
    </xf>
    <xf numFmtId="16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0" xfId="0" applyNumberFormat="1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8" borderId="0" xfId="0" applyNumberFormat="1" applyFill="1" applyAlignment="1">
      <alignment horizontal="center" vertical="center"/>
    </xf>
    <xf numFmtId="0" fontId="0" fillId="10" borderId="0" xfId="0" applyNumberFormat="1" applyFill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3" borderId="0" xfId="0" applyNumberFormat="1" applyFill="1" applyAlignment="1">
      <alignment horizontal="center" vertical="center"/>
    </xf>
    <xf numFmtId="0" fontId="0" fillId="14" borderId="0" xfId="0" applyNumberFormat="1" applyFill="1" applyAlignment="1">
      <alignment horizontal="center" vertical="center"/>
    </xf>
    <xf numFmtId="0" fontId="4" fillId="0" borderId="0" xfId="0" applyNumberFormat="1" applyFont="1" applyAlignment="1">
      <alignment horizontal="left"/>
    </xf>
    <xf numFmtId="0" fontId="4" fillId="4" borderId="0" xfId="0" applyFont="1" applyFill="1" applyBorder="1"/>
    <xf numFmtId="0" fontId="5" fillId="4" borderId="0" xfId="0" applyFont="1" applyFill="1" applyBorder="1"/>
    <xf numFmtId="14" fontId="4" fillId="5" borderId="0" xfId="0" applyNumberFormat="1" applyFont="1" applyFill="1" applyBorder="1"/>
    <xf numFmtId="0" fontId="4" fillId="0" borderId="0" xfId="0" applyFont="1" applyBorder="1" applyAlignment="1">
      <alignment horizontal="right"/>
    </xf>
    <xf numFmtId="0" fontId="4" fillId="5" borderId="0" xfId="0" applyFont="1" applyFill="1" applyBorder="1"/>
    <xf numFmtId="0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4" fillId="5" borderId="0" xfId="0" applyNumberFormat="1" applyFont="1" applyFill="1" applyBorder="1"/>
    <xf numFmtId="4" fontId="4" fillId="0" borderId="0" xfId="0" applyNumberFormat="1" applyFont="1" applyBorder="1" applyAlignment="1">
      <alignment horizontal="right"/>
    </xf>
    <xf numFmtId="37" fontId="4" fillId="0" borderId="0" xfId="0" applyNumberFormat="1" applyFont="1" applyBorder="1" applyAlignment="1">
      <alignment horizontal="right"/>
    </xf>
    <xf numFmtId="14" fontId="4" fillId="0" borderId="0" xfId="0" applyNumberFormat="1" applyFont="1" applyBorder="1" applyAlignment="1">
      <alignment horizontal="left"/>
    </xf>
  </cellXfs>
  <cellStyles count="3">
    <cellStyle name="Comma" xfId="1" builtinId="3"/>
    <cellStyle name="Comma 57" xfId="2" xr:uid="{575FBE7B-629B-4594-995F-305644CEDC16}"/>
    <cellStyle name="Normal" xfId="0" builtinId="0"/>
  </cellStyles>
  <dxfs count="816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rgb="FFFFFFFF"/>
        </patternFill>
      </fill>
    </dxf>
    <dxf>
      <fill>
        <patternFill>
          <bgColor rgb="FFE3DFED"/>
        </patternFill>
      </fill>
    </dxf>
    <dxf>
      <fill>
        <patternFill patternType="solid">
          <bgColor rgb="FFE3DFED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B4ABF5"/>
        </patternFill>
      </fill>
    </dxf>
    <dxf>
      <fill>
        <patternFill patternType="solid">
          <bgColor rgb="FFB4ABF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rgb="FFFFFFFF"/>
        </patternFill>
      </fill>
    </dxf>
    <dxf>
      <fill>
        <patternFill>
          <bgColor rgb="FFE3DFED"/>
        </patternFill>
      </fill>
    </dxf>
    <dxf>
      <fill>
        <patternFill patternType="solid">
          <bgColor rgb="FFE3DFED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B4ABF5"/>
        </patternFill>
      </fill>
    </dxf>
    <dxf>
      <fill>
        <patternFill patternType="solid">
          <bgColor rgb="FFB4ABF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rgb="FFFFFFFF"/>
        </patternFill>
      </fill>
    </dxf>
    <dxf>
      <fill>
        <patternFill>
          <bgColor rgb="FFE3DFED"/>
        </patternFill>
      </fill>
    </dxf>
    <dxf>
      <fill>
        <patternFill patternType="solid">
          <bgColor rgb="FFE3DFED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B4ABF5"/>
        </patternFill>
      </fill>
    </dxf>
    <dxf>
      <fill>
        <patternFill patternType="solid">
          <bgColor rgb="FFB4ABF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alignment vertical="center"/>
    </dxf>
    <dxf>
      <alignment horizontal="center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rgb="FFFFFFFF"/>
        </patternFill>
      </fill>
    </dxf>
    <dxf>
      <fill>
        <patternFill>
          <bgColor rgb="FFE3DFED"/>
        </patternFill>
      </fill>
    </dxf>
    <dxf>
      <fill>
        <patternFill patternType="solid">
          <bgColor rgb="FFE3DFED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B4ABF5"/>
        </patternFill>
      </fill>
    </dxf>
    <dxf>
      <fill>
        <patternFill patternType="solid">
          <bgColor rgb="FFB4ABF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rgb="FFFFFFFF"/>
        </patternFill>
      </fill>
    </dxf>
    <dxf>
      <fill>
        <patternFill>
          <bgColor rgb="FFE3DFED"/>
        </patternFill>
      </fill>
    </dxf>
    <dxf>
      <fill>
        <patternFill patternType="solid">
          <bgColor rgb="FFE3DFED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B4ABF5"/>
        </patternFill>
      </fill>
    </dxf>
    <dxf>
      <fill>
        <patternFill patternType="solid">
          <bgColor rgb="FFB4ABF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alignment vertical="center"/>
    </dxf>
    <dxf>
      <alignment horizontal="center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rgb="FFFFFFFF"/>
        </patternFill>
      </fill>
    </dxf>
    <dxf>
      <fill>
        <patternFill>
          <bgColor rgb="FFE3DFED"/>
        </patternFill>
      </fill>
    </dxf>
    <dxf>
      <fill>
        <patternFill patternType="solid">
          <bgColor rgb="FFE3DFED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B4ABF5"/>
        </patternFill>
      </fill>
    </dxf>
    <dxf>
      <fill>
        <patternFill patternType="solid">
          <bgColor rgb="FFB4ABF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5" formatCode="#,##0_)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5" formatCode="#,##0_);\(#,##0\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9" formatCode="m/d/yyyy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9" formatCode="m/d/yyyy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9" formatCode="m/d/yyyy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9" formatCode="m/d/yyyy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/>
      </font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left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fill>
        <patternFill patternType="solid">
          <bgColor theme="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B4ABF5"/>
        </patternFill>
      </fill>
    </dxf>
    <dxf>
      <fill>
        <patternFill>
          <bgColor rgb="FFB4ABF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E3DFED"/>
        </patternFill>
      </fill>
    </dxf>
    <dxf>
      <fill>
        <patternFill>
          <bgColor rgb="FFE3DFED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B4ABF5"/>
        </patternFill>
      </fill>
    </dxf>
    <dxf>
      <fill>
        <patternFill>
          <bgColor rgb="FFB4ABF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E3DFED"/>
        </patternFill>
      </fill>
    </dxf>
    <dxf>
      <fill>
        <patternFill>
          <bgColor rgb="FFE3DFED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90D69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FF9999"/>
      <color rgb="FFB4ABF5"/>
      <color rgb="FFE3DFED"/>
      <color rgb="FFFFFFFF"/>
      <color rgb="FF90D692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U QUAN" refreshedDate="46036.004632870368" createdVersion="8" refreshedVersion="8" minRefreshableVersion="3" recordCount="891" xr:uid="{B165268F-8CE6-49A2-B76B-27C404C4C168}">
  <cacheSource type="worksheet">
    <worksheetSource name="Sales"/>
  </cacheSource>
  <cacheFields count="36">
    <cacheField name="Year" numFmtId="0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3"/>
        <n v="4"/>
        <n v="5"/>
        <n v="6"/>
        <n v="8"/>
        <n v="9"/>
        <n v="10"/>
        <n v="12"/>
        <n v="2"/>
        <n v="7"/>
        <n v="11"/>
      </sharedItems>
    </cacheField>
    <cacheField name="Week" numFmtId="0">
      <sharedItems containsSemiMixedTypes="0" containsString="0" containsNumber="1" containsInteger="1" minValue="1" maxValue="53"/>
    </cacheField>
    <cacheField name="Seaseon1" numFmtId="0">
      <sharedItems/>
    </cacheField>
    <cacheField name="Cate" numFmtId="0">
      <sharedItems/>
    </cacheField>
    <cacheField name="Season" numFmtId="0">
      <sharedItems/>
    </cacheField>
    <cacheField name="Landed cost" numFmtId="164">
      <sharedItems containsSemiMixedTypes="0" containsString="0" containsNumber="1" minValue="-310347470" maxValue="1702281965"/>
    </cacheField>
    <cacheField name="Base cost" numFmtId="164">
      <sharedItems containsSemiMixedTypes="0" containsString="0" containsNumber="1" minValue="-319927500" maxValue="1855845000"/>
    </cacheField>
    <cacheField name="Date" numFmtId="14">
      <sharedItems containsSemiMixedTypes="0" containsNonDate="0" containsDate="1" containsString="0" minDate="2019-01-12T00:00:00" maxDate="2026-01-12T00:00:00"/>
    </cacheField>
    <cacheField name="Item" numFmtId="0">
      <sharedItems containsSemiMixedTypes="0" containsString="0" containsNumber="1" containsInteger="1" minValue="30028" maxValue="225207"/>
    </cacheField>
    <cacheField name="Store&amp;Bill" numFmtId="0">
      <sharedItems/>
    </cacheField>
    <cacheField name="Vendor" numFmtId="0">
      <sharedItems containsMixedTypes="1" containsNumber="1" containsInteger="1" minValue="120" maxValue="120" count="12">
        <s v="SPINELLI KILCOLLIN"/>
        <s v="ROSA MARIA"/>
        <s v="NAK ARMSTRONG"/>
        <s v="Ted Muehling"/>
        <s v="GEODE"/>
        <s v="ARTUR SCHOLL"/>
        <s v="GIORGIO VISCONTI"/>
        <s v="MARIAE LUISA"/>
        <s v="NANIS"/>
        <s v="VHERNIER"/>
        <s v="BURATO"/>
        <n v="120" u="1"/>
      </sharedItems>
    </cacheField>
    <cacheField name="Store" numFmtId="14">
      <sharedItems count="16">
        <s v="RWR"/>
        <s v="RHN"/>
        <s v="GIF"/>
        <s v="LOA"/>
        <s v="RWT"/>
        <s v="HQ"/>
        <s v="RWD"/>
        <s v="RHA"/>
        <s v="BLFD"/>
        <s v="DVF" u="1"/>
        <s v="TNM" u="1"/>
        <s v="EVE" u="1"/>
        <s v="DFT" u="1"/>
        <s v="ECOM" u="1"/>
        <s v="RWL" u="1"/>
        <s v="RWP" u="1"/>
      </sharedItems>
    </cacheField>
    <cacheField name="Dept" numFmtId="0">
      <sharedItems/>
    </cacheField>
    <cacheField name="Bill" numFmtId="49">
      <sharedItems containsSemiMixedTypes="0" containsString="0" containsNumber="1" containsInteger="1" minValue="7" maxValue="9412"/>
    </cacheField>
    <cacheField name="Qty Sold" numFmtId="0">
      <sharedItems containsSemiMixedTypes="0" containsString="0" containsNumber="1" containsInteger="1" minValue="-1" maxValue="2"/>
    </cacheField>
    <cacheField name="Payment form" numFmtId="0">
      <sharedItems containsBlank="1"/>
    </cacheField>
    <cacheField name="Payment" numFmtId="0">
      <sharedItems containsSemiMixedTypes="0" containsString="0" containsNumber="1" minValue="-782045000" maxValue="4082859000"/>
    </cacheField>
    <cacheField name="Revenue" numFmtId="164">
      <sharedItems containsSemiMixedTypes="0" containsString="0" containsNumber="1" containsInteger="1" minValue="-724115741" maxValue="3780425000"/>
    </cacheField>
    <cacheField name="Discount %" numFmtId="0">
      <sharedItems containsSemiMixedTypes="0" containsString="0" containsNumber="1" minValue="0" maxValue="100"/>
    </cacheField>
    <cacheField name="Discount (Ex VAT)" numFmtId="37">
      <sharedItems containsSemiMixedTypes="0" containsString="0" containsNumber="1" containsInteger="1" minValue="-50027083" maxValue="797815741"/>
    </cacheField>
    <cacheField name="Discount" numFmtId="37">
      <sharedItems containsSemiMixedTypes="0" containsString="0" containsNumber="1" minValue="-54029250" maxValue="861641000"/>
    </cacheField>
    <cacheField name="Cashier" numFmtId="0">
      <sharedItems/>
    </cacheField>
    <cacheField name="Description" numFmtId="0">
      <sharedItems/>
    </cacheField>
    <cacheField name="Full Name" numFmtId="0">
      <sharedItems/>
    </cacheField>
    <cacheField name="Item Name" numFmtId="0">
      <sharedItems containsMixedTypes="1" containsNumber="1" containsInteger="1" minValue="1" maxValue="66"/>
    </cacheField>
    <cacheField name="Hour" numFmtId="164">
      <sharedItems containsBlank="1" containsMixedTypes="1" containsNumber="1" containsInteger="1" minValue="9" maxValue="21"/>
    </cacheField>
    <cacheField name="Attribute" numFmtId="0">
      <sharedItems containsBlank="1"/>
    </cacheField>
    <cacheField name="Full Price" numFmtId="164">
      <sharedItems containsSemiMixedTypes="0" containsString="0" containsNumber="1" containsInteger="1" minValue="-782045000" maxValue="4944500000"/>
    </cacheField>
    <cacheField name="Size" numFmtId="0">
      <sharedItems containsBlank="1" containsMixedTypes="1" containsNumber="1" minValue="0" maxValue="550"/>
    </cacheField>
    <cacheField name="Full Price(Ex VAT)" numFmtId="164">
      <sharedItems containsSemiMixedTypes="0" containsString="0" containsNumber="1" containsInteger="1" minValue="-724115741" maxValue="4578240741"/>
    </cacheField>
    <cacheField name="Associate" numFmtId="0">
      <sharedItems count="199">
        <s v="TAM_LE"/>
        <s v="SYSADMIN"/>
        <s v="CHI_NGUYEN"/>
        <s v="CHINH_NGUYEN"/>
        <s v="HUONG_NGUYENKIM"/>
        <s v="LINH_PHAN"/>
        <s v="NGHIA_NGUYEN"/>
        <s v="DIEM_NGUYEN"/>
        <s v="HANG_NGUYEN"/>
        <s v="KIEUDIEM_NGUYEN"/>
        <s v="HUE_BUI"/>
        <s v="HUY_DUONG"/>
        <s v="SON_NGUYENVAN_SALE"/>
        <s v="HOA_TRAN"/>
        <s v="HUYEN_DANG"/>
        <s v="LINH_LUU"/>
        <s v="THU_TRANG"/>
        <s v="TRANG_TRAN"/>
        <s v="NGHIA_NGUYENHN"/>
        <s v="KIEUDIEM_NGUYENHN"/>
        <s v="MAI_NGUYEN"/>
        <s v="DUNG_TRAN"/>
        <s v="HUYNH_NGUYEN"/>
        <s v="VUONG_VO"/>
        <s v="PHAT_TRINH"/>
        <s v="THAI_NGUYEN"/>
        <s v="KHANH_NGUYEN"/>
        <s v="NHI_LE"/>
        <s v="PHIPHUNG"/>
        <s v="TAM_NGUYEN"/>
        <s v="BAO_NGOC"/>
        <s v="HA_NGUYEN"/>
        <s v="TIEN_NGUYEN"/>
        <s v="TRUNG_LY"/>
        <s v="NGOC_PHAN"/>
        <s v="QUANG_VO"/>
        <s v="TRAM_LUONG"/>
        <s v="MINH_NGUYEN"/>
        <s v="NHU_NGUYEN"/>
        <s v="HIEU_HUYNH"/>
        <s v="DUNG_NGUYEN"/>
        <s v="HOA_NGUYEN"/>
        <s v="LINH_PHAM"/>
        <s v="DAO_BUI"/>
        <s v="NHI_BUI"/>
        <s v="HUY_NGUYEN"/>
        <s v="QUOCHUY_NGUYEN"/>
        <s v="NHAM_LE"/>
        <s v="KIM_NGOC"/>
        <s v="CHAU_VUONG"/>
        <s v="LE_NGUYEN"/>
        <s v="LINH_DUONG"/>
        <s v="THUONG_CHAU"/>
        <s v="THUAN_NGUYEN"/>
        <s v="THAO_VY"/>
        <s v="MINH_TAM"/>
        <s v="TRUNG_HIEU"/>
        <s v="HUY_TRAN"/>
        <s v="SON_TRAN"/>
        <s v="NGHIA_NGUYENSM"/>
        <s v="MINH_DO"/>
        <s v="NGHIA_NGUYEN_HNSM"/>
        <s v="NGOC_LE"/>
        <s v="TUYEN_LE"/>
        <s v="THUY_DANG"/>
        <s v="NHAN_TAM"/>
        <s v="TRANG_PHAM"/>
        <s v="NGOC_VO"/>
        <s v="SON_NGUYENVAN"/>
        <s v="HUONG_NGUYEN"/>
        <s v="TU_LE"/>
        <s v="LAN_ANH"/>
        <s v="PHAN_ANH"/>
        <s v="HOA_TRANTHI"/>
        <s v="NGOC_DUONG"/>
        <s v="VY_CAO" u="1"/>
        <s v="BAO_LE" u="1"/>
        <s v="TRINH_NGUYEN" u="1"/>
        <s v="NGOC_HUYNH" u="1"/>
        <s v="HUY_VO" u="1"/>
        <s v="SUONG_LE" u="1"/>
        <s v="NGUYEN_NGUY" u="1"/>
        <s v="KHANG_HUA" u="1"/>
        <s v="CHI_HOANG" u="1"/>
        <s v="VAN_LY" u="1"/>
        <s v="LAM_SEE" u="1"/>
        <s v="HANH_PHAN" u="1"/>
        <s v="UYEN_DUONG" u="1"/>
        <s v="TRAM_LE" u="1"/>
        <s v="KIEU_NGUYEN" u="1"/>
        <s v="ANH_BUI" u="1"/>
        <s v="CHAU_LE" u="1"/>
        <s v="PHAT_VUONG" u="1"/>
        <s v="NGOC_NGUYEN" u="1"/>
        <s v="PHUONG_BUI" u="1"/>
        <s v="HOAI_TRAN" u="1"/>
        <s v="DUC_PHAN" u="1"/>
        <s v="LANHUONG_NGUYEN" u="1"/>
        <s v="TUAN_LY" u="1"/>
        <s v="TRANG_NGUYEN" u="1"/>
        <s v="VAN_NGUYEN" u="1"/>
        <s v="THU_TRAN" u="1"/>
        <s v="THAO_NGUYEN" u="1"/>
        <s v="DUYEN_NGO" u="1"/>
        <s v="SON_NGUYEN_KHO" u="1"/>
        <s v="HONG_NGUYEN" u="1"/>
        <s v="NHY_NGUYEN" u="1"/>
        <s v="AN_VO" u="1"/>
        <s v="KHANH_LE" u="1"/>
        <s v="THANH_TANG" u="1"/>
        <s v="SALE_1" u="1"/>
        <s v="HUNG_VO" u="1"/>
        <s v="QUI_PHAM" u="1"/>
        <s v="ANH_TRAN" u="1"/>
        <s v="ANH_NGUYEN" u="1"/>
        <s v="BICHNGA_NGUYEN" u="1"/>
        <s v="NGUYENNGUYEN" u="1"/>
        <s v="HUNG_TRUNGVP" u="1"/>
        <s v="THAO_NGUYENVP" u="1"/>
        <s v="NGUYET_NGUYENVP" u="1"/>
        <s v="" u="1"/>
        <s v="TRI_VOVP" u="1"/>
        <s v="IT01" u="1"/>
        <s v="TU_NGO" u="1"/>
        <s v="TRI_VO" u="1"/>
        <s v="QUAN_LY" u="1"/>
        <s v="TRUNG_HUNG" u="1"/>
        <s v="NGUYET_NGUYEN" u="1"/>
        <s v="TRUC_TRAN" u="1"/>
        <s v="BICHNGOC_NGUYEN" u="1"/>
        <s v="DUY_TRAN" u="1"/>
        <s v="NHI_HO" u="1"/>
        <s v="OANH_DO" u="1"/>
        <s v="DO_THANH" u="1"/>
        <s v="VINH_BUI" u="1"/>
        <s v="HA_DANG" u="1"/>
        <s v="TRINH_DOAN" u="1"/>
        <s v="TRAM_VU" u="1"/>
        <s v="ANH_HO" u="1"/>
        <s v="KIMNGOC_NGUYEN" u="1"/>
        <s v="LAM_NGUYEN" u="1"/>
        <s v="DIEMTRANG_PHAM" u="1"/>
        <s v="TIEN_NGUYEN2" u="1"/>
        <s v="TIEN-NGUYEN2" u="1"/>
        <s v="KIET_LE" u="1"/>
        <s v="YEN_CHU" u="1"/>
        <s v="NHUNG_NGUYEN" u="1"/>
        <s v="PHI_PHUNG" u="1"/>
        <s v="TUYET_NHUNG" u="1"/>
        <s v="KHA_NGUYEN" u="1"/>
        <s v="LY_NGUYEN" u="1"/>
        <s v="DAI_NGUYEN" u="1"/>
        <s v="THANH_NGUYEN" u="1"/>
        <s v="AN_THAI" u="1"/>
        <s v="THIEN_THAI" u="1"/>
        <s v="HUYNH_DUONG" u="1"/>
        <s v="LINH_NGUYEN" u="1"/>
        <s v="LINH_LE" u="1"/>
        <s v="KIEU_DIEM" u="1"/>
        <s v="DIEM_NGUYENSM" u="1"/>
        <s v="DAN_MAI" u="1"/>
        <s v="MINH_RWD" u="1"/>
        <s v="NHI_NGUYEN" u="1"/>
        <s v="CHAU_NGUYEN" u="1"/>
        <s v="KIM_NGUYEN" u="1"/>
        <s v="LINH_LESM" u="1"/>
        <s v="QUAN_TRAN" u="1"/>
        <s v="THAO_HUYNH" u="1"/>
        <s v="NGAN_NGUYENRWD" u="1"/>
        <s v="HUYEN_NGO" u="1"/>
        <s v="NGAN_NGUYEN" u="1"/>
        <s v="HIEU_NGUYEN" u="1"/>
        <s v="HIEU_TRAN" u="1"/>
        <s v="PHU_TRUONG" u="1"/>
        <s v="NAM_PHAM" u="1"/>
        <s v="NAM_ANH" u="1"/>
        <s v="CHAU_NGUYENST" u="1"/>
        <s v="LAN_TRAN" u="1"/>
        <s v="QUAN_NGUYEN" u="1"/>
        <s v="DAN_NGUYEN" u="1"/>
        <s v="NGAN_TRAN" u="1"/>
        <s v="DIEU_NGUYEN" u="1"/>
        <s v="TRANG_LE" u="1"/>
        <s v="DUC_BUI" u="1"/>
        <s v="HUONGKIM_NGUYEN" u="1"/>
        <s v="TRANG_THAI" u="1"/>
        <s v="LUAN_NGO" u="1"/>
        <s v="PHUC_TRIEU" u="1"/>
        <s v="VU_NGUYEN" u="1"/>
        <s v="TRANG_THANH" u="1"/>
        <s v="HUYNH_MY" u="1"/>
        <s v="PHUONG_TRAN" u="1"/>
        <s v="ANH_PHAM" u="1"/>
        <s v="YEN_TRAN" u="1"/>
        <s v="MAI_TRAN" u="1"/>
        <s v="YEN_VY" u="1"/>
        <s v="PHAT_NGUYEN" u="1"/>
        <s v="NGOC_HIEU" u="1"/>
        <s v="SON_NGUYEN" u="1"/>
      </sharedItems>
    </cacheField>
    <cacheField name="Phone Number" numFmtId="49">
      <sharedItems containsBlank="1"/>
    </cacheField>
    <cacheField name="Lợi nhuận gộp" numFmtId="164">
      <sharedItems containsSemiMixedTypes="0" containsString="0" containsNumber="1" minValue="-413768271" maxValue="2078143035"/>
    </cacheField>
    <cacheField name="Phân loại" numFmtId="14">
      <sharedItems count="2">
        <s v="Lấy BC"/>
        <s v="Không lấy  BC"/>
      </sharedItems>
    </cacheField>
    <cacheField name="Status Associate" numFmtId="14">
      <sharedItems containsBlank="1" count="4">
        <s v="Retired"/>
        <s v="Active"/>
        <e v="#N/A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U QUAN" refreshedDate="46036.004634606485" createdVersion="8" refreshedVersion="8" minRefreshableVersion="3" recordCount="564" xr:uid="{BACB1332-837B-46BB-A49B-B55A6DFB9CB3}">
  <cacheSource type="worksheet">
    <worksheetSource name="InventoryTY"/>
  </cacheSource>
  <cacheFields count="12">
    <cacheField name="Year" numFmtId="0">
      <sharedItems containsSemiMixedTypes="0" containsString="0" containsNumber="1" containsInteger="1" minValue="2026" maxValue="2026"/>
    </cacheField>
    <cacheField name="Month" numFmtId="0">
      <sharedItems containsSemiMixedTypes="0" containsString="0" containsNumber="1" containsInteger="1" minValue="1" maxValue="1"/>
    </cacheField>
    <cacheField name="Date" numFmtId="14">
      <sharedItems containsSemiMixedTypes="0" containsNonDate="0" containsDate="1" containsString="0" minDate="2026-01-12T00:00:00" maxDate="2026-01-13T00:00:00"/>
    </cacheField>
    <cacheField name="Item #" numFmtId="0">
      <sharedItems containsSemiMixedTypes="0" containsString="0" containsNumber="1" containsInteger="1" minValue="30044" maxValue="225208"/>
    </cacheField>
    <cacheField name="Vendor Name" numFmtId="0">
      <sharedItems containsMixedTypes="1" containsNumber="1" containsInteger="1" minValue="120" maxValue="120" count="14">
        <s v="ROSA MARIA"/>
        <s v="Ted Muehling"/>
        <s v="CONFUORTO GIOIELLY ITALY"/>
        <s v="GEODE"/>
        <s v="GOLDEN CORALS"/>
        <s v="MARIAE LUISA"/>
        <s v="NAK ARMSTRONG"/>
        <s v="ARTUR SCHOLL"/>
        <s v="NANIS"/>
        <s v="SPINELLI KILCOLLIN"/>
        <s v="GIORGIO VISCONTI"/>
        <s v="VHERNIER"/>
        <s v="BURATO"/>
        <n v="120" u="1"/>
      </sharedItems>
    </cacheField>
    <cacheField name="Dept Name" numFmtId="0">
      <sharedItems/>
    </cacheField>
    <cacheField name="Season" numFmtId="0">
      <sharedItems count="37">
        <s v="FW11"/>
        <s v="FW16"/>
        <s v="FW17"/>
        <s v="SS19"/>
        <s v="SS20"/>
        <s v="SS22"/>
        <s v="FW22"/>
        <s v="SS23"/>
        <s v="FW23"/>
        <s v="SS24"/>
        <s v="FW24"/>
        <s v="SS25"/>
        <s v="FW25"/>
        <s v="SS26"/>
        <s v="PS26" u="1"/>
        <s v="SS08" u="1"/>
        <s v="SS09" u="1"/>
        <s v="SS10" u="1"/>
        <s v="FW10" u="1"/>
        <s v="SS11" u="1"/>
        <s v="SS12" u="1"/>
        <s v="FW12" u="1"/>
        <s v="SS13" u="1"/>
        <s v="FW13" u="1"/>
        <s v="SS14" u="1"/>
        <s v="FW14" u="1"/>
        <s v="SS15" u="1"/>
        <s v="FW15" u="1"/>
        <s v="SS16" u="1"/>
        <s v="SS17" u="1"/>
        <s v="SS18" u="1"/>
        <s v="FW18" u="1"/>
        <s v="FW19" u="1"/>
        <s v="FW20" u="1"/>
        <s v="SS21" u="1"/>
        <s v="FW21" u="1"/>
        <s v="PF25" u="1"/>
      </sharedItems>
    </cacheField>
    <cacheField name="Categories" numFmtId="0">
      <sharedItems/>
    </cacheField>
    <cacheField name="Landed Cost" numFmtId="164">
      <sharedItems containsSemiMixedTypes="0" containsString="0" containsNumber="1" minValue="177000" maxValue="2221612739"/>
    </cacheField>
    <cacheField name="Store" numFmtId="0">
      <sharedItems count="9">
        <s v="RWR"/>
        <s v="RHN"/>
        <s v="RWT"/>
        <s v="RWD"/>
        <s v="HQ"/>
        <s v="LOA"/>
        <s v="INTRAN"/>
        <s v="RWL" u="1"/>
        <s v="RWP" u="1"/>
      </sharedItems>
    </cacheField>
    <cacheField name="Inventory Qty" numFmtId="0">
      <sharedItems containsSemiMixedTypes="0" containsString="0" containsNumber="1" containsInteger="1" minValue="1" maxValue="5"/>
    </cacheField>
    <cacheField name="TT Landed Cost" numFmtId="164">
      <sharedItems containsSemiMixedTypes="0" containsString="0" containsNumber="1" minValue="177000" maxValue="22216127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x v="0"/>
    <n v="2"/>
    <s v="SS17"/>
    <s v="JEWELRY"/>
    <s v="SS17"/>
    <n v="13991896"/>
    <n v="10827625"/>
    <d v="2019-01-12T00:00:00"/>
    <n v="109007"/>
    <s v="RWR294"/>
    <x v="0"/>
    <x v="0"/>
    <s v="WACC"/>
    <n v="294"/>
    <n v="1"/>
    <s v="Cash"/>
    <n v="26511650"/>
    <n v="24101500"/>
    <n v="5"/>
    <n v="1268500"/>
    <n v="1395350"/>
    <s v="Ha_Nguyen"/>
    <s v="SPK Sirius SG Single band of sterling silver with 18k yellow gold accents and micro-pavé black diamonds"/>
    <s v="Mrs. Pham Thuy Nga"/>
    <s v="SG12-R-G4S2YGAPCG"/>
    <n v="16"/>
    <s v="GOLD"/>
    <n v="27907000"/>
    <n v="6"/>
    <n v="25370000"/>
    <x v="0"/>
    <s v="0908545384"/>
    <n v="10109604"/>
    <x v="0"/>
    <x v="0"/>
  </r>
  <r>
    <x v="0"/>
    <x v="0"/>
    <n v="3"/>
    <s v="SS18"/>
    <s v="RING"/>
    <s v="SS18"/>
    <n v="11433892"/>
    <n v="11249280"/>
    <d v="2019-01-18T00:00:00"/>
    <n v="117933"/>
    <s v="RHN715"/>
    <x v="1"/>
    <x v="1"/>
    <s v="WACC"/>
    <n v="715"/>
    <n v="1"/>
    <s v="Cash"/>
    <n v="26128000"/>
    <n v="23752727"/>
    <n v="20"/>
    <n v="5938182"/>
    <n v="6532000"/>
    <s v="Huyen_Dang"/>
    <s v="RM SILVER RING-TOP SILVER TREATED FRAME SET WITH COGNAC DIAMONDS -MIDDLE BROWN RUTILATED QUARTZ"/>
    <s v="Ms. Dinh My Hanh"/>
    <s v="JULIA (1) S-ST DIA (CO-BRN RUT."/>
    <n v="15"/>
    <s v="COGNAC/BROWN"/>
    <n v="32660000"/>
    <n v="11"/>
    <n v="29690909"/>
    <x v="1"/>
    <s v="0904043388"/>
    <n v="12318835"/>
    <x v="0"/>
    <x v="0"/>
  </r>
  <r>
    <x v="0"/>
    <x v="0"/>
    <n v="4"/>
    <s v="SS17"/>
    <s v="JEWELRY"/>
    <s v="SS17"/>
    <n v="26510963"/>
    <n v="20515500"/>
    <d v="2019-01-21T00:00:00"/>
    <n v="109005"/>
    <s v="GIF14"/>
    <x v="0"/>
    <x v="2"/>
    <s v="WACC"/>
    <n v="14"/>
    <n v="1"/>
    <s v="None"/>
    <n v="0"/>
    <n v="0"/>
    <n v="100"/>
    <n v="48068182"/>
    <n v="52875000"/>
    <s v="Oanh_Do"/>
    <s v="SPK Libra SG 3 linked rings in silver with yellow gold connectors and micro-pave grey diamonds"/>
    <s v="Cong ty Globallink"/>
    <s v="SG12-R-G3MXMMXGC"/>
    <n v="15"/>
    <s v="GOLD"/>
    <n v="52875000"/>
    <n v="7"/>
    <n v="48068182"/>
    <x v="1"/>
    <m/>
    <n v="-26510963"/>
    <x v="1"/>
    <x v="0"/>
  </r>
  <r>
    <x v="0"/>
    <x v="0"/>
    <n v="5"/>
    <s v="SS18"/>
    <s v="NECKLACE"/>
    <s v="SS18"/>
    <n v="11116284"/>
    <n v="10936800.000000002"/>
    <d v="2019-01-28T00:00:00"/>
    <n v="117928"/>
    <s v="RWR441"/>
    <x v="1"/>
    <x v="0"/>
    <s v="WACC"/>
    <n v="441"/>
    <n v="1"/>
    <s v="Split"/>
    <n v="31752000"/>
    <n v="28865455"/>
    <n v="0"/>
    <n v="0"/>
    <n v="0"/>
    <s v="Ha_Nguyen"/>
    <s v="RM SILVER TREATED CHAIN+SILVER MEDAL -TOP SILVER TREATED FRAME SET WITH COGNAC DIAMONDS-MIDDLE BROWN RUTILATED QUARTZ"/>
    <s v="Mrs. Phan Lan Phuong"/>
    <s v="PE 102G S-ST DIA (CO (2R)-BRN R"/>
    <n v="17"/>
    <s v="COGNAC/BROWN"/>
    <n v="31752000"/>
    <s v="U"/>
    <n v="28865455"/>
    <x v="2"/>
    <s v="0977317777"/>
    <n v="17749171"/>
    <x v="0"/>
    <x v="0"/>
  </r>
  <r>
    <x v="0"/>
    <x v="1"/>
    <n v="11"/>
    <s v="SS18"/>
    <s v="RING"/>
    <s v="SS18"/>
    <n v="7365600"/>
    <n v="7365600.0000000009"/>
    <d v="2019-03-15T00:00:00"/>
    <n v="117944"/>
    <s v="RHN1352"/>
    <x v="1"/>
    <x v="1"/>
    <s v="WACC"/>
    <n v="1352"/>
    <n v="1"/>
    <s v="Split"/>
    <n v="20314800"/>
    <n v="18468000"/>
    <n v="5"/>
    <n v="972000"/>
    <n v="1069200"/>
    <s v="Phuong_Bui"/>
    <s v="RM SILVER TWISTED BELL FLOWER RING-TOP SILVER-MIDDLE silver"/>
    <s v="Mrs. Ngo Phuong Ly"/>
    <s v="SAXO (4) S-S-S"/>
    <n v="10"/>
    <s v="SILVER"/>
    <n v="21384000"/>
    <n v="11"/>
    <n v="19440000"/>
    <x v="3"/>
    <s v="0943448888"/>
    <n v="11102400"/>
    <x v="0"/>
    <x v="1"/>
  </r>
  <r>
    <x v="0"/>
    <x v="1"/>
    <n v="12"/>
    <s v="FW16"/>
    <s v="JEWELRY"/>
    <s v="FW16"/>
    <n v="2284200"/>
    <n v="2284200"/>
    <d v="2019-03-24T00:00:00"/>
    <n v="90588"/>
    <s v="RHN1449"/>
    <x v="1"/>
    <x v="1"/>
    <s v="WACC"/>
    <n v="1449"/>
    <n v="1"/>
    <s v="Cash"/>
    <n v="7614000"/>
    <n v="6921818"/>
    <n v="0"/>
    <n v="0"/>
    <n v="0"/>
    <s v="Phuong_Bui"/>
    <s v="RM SILVER SNAKE RING(Mat)"/>
    <s v="Mrs. Pham Hai Van"/>
    <s v="PENN"/>
    <n v="14"/>
    <m/>
    <n v="7614000"/>
    <n v="12"/>
    <n v="6921818"/>
    <x v="3"/>
    <s v="0944659999"/>
    <n v="4637618"/>
    <x v="0"/>
    <x v="1"/>
  </r>
  <r>
    <x v="0"/>
    <x v="2"/>
    <n v="15"/>
    <s v="SS18"/>
    <s v="RING"/>
    <s v="SS18"/>
    <n v="7486477"/>
    <n v="7365600.0000000009"/>
    <d v="2019-04-08T00:00:00"/>
    <n v="117940"/>
    <s v="RHN1576"/>
    <x v="1"/>
    <x v="1"/>
    <s v="WACC"/>
    <n v="1576"/>
    <n v="1"/>
    <s v="Split"/>
    <n v="20314800"/>
    <n v="18468000"/>
    <n v="5"/>
    <n v="972000"/>
    <n v="1069200"/>
    <s v="Phuong_Bui"/>
    <s v="RM SILVER RING INTO 2:(1)TOP SILVER FLOWER-MIDDLE SILVER TOP SILVER TREATED PETALS + SILVER TREATED PISTILS SET WITH RUBIS -(1)SILVER TREATED HEAD SET WITH (1)COGNAC DIAMOND"/>
    <s v="Mrs. Ngo Phuong Ly"/>
    <s v="BOANKA S S ST S ST DIX (RU)-ST"/>
    <n v="19"/>
    <s v="SILVER/RUBIS"/>
    <n v="21384000"/>
    <n v="12"/>
    <n v="19440000"/>
    <x v="3"/>
    <s v="0943448888"/>
    <n v="10981523"/>
    <x v="0"/>
    <x v="1"/>
  </r>
  <r>
    <x v="0"/>
    <x v="2"/>
    <n v="15"/>
    <s v="SS18"/>
    <s v="RING"/>
    <s v="SS18"/>
    <n v="7365600"/>
    <n v="7365600.0000000009"/>
    <d v="2019-04-08T00:00:00"/>
    <n v="117952"/>
    <s v="RHN1576"/>
    <x v="1"/>
    <x v="1"/>
    <s v="WACC"/>
    <n v="1576"/>
    <n v="1"/>
    <s v="Split"/>
    <n v="20314800"/>
    <n v="18468000"/>
    <n v="5"/>
    <n v="972000"/>
    <n v="1069200"/>
    <s v="Phuong_Bui"/>
    <s v="RM SILVER RING INTO 2:(1)TOP SILVER FLOWER-MIDDLE SILVER TOP SILVER TREATED PETALS + SILVER TREATED PISTILS SET WITH RUBIS -(1)SILVER TREATED HEAD SET WITH (1)COGNAC DIAMOND"/>
    <s v="Mrs. Ngo Phuong Ly"/>
    <s v="BOANKA S S ST S ST DIX (RU)-ST"/>
    <n v="19"/>
    <s v="SILVER/RUBIS"/>
    <n v="21384000"/>
    <n v="11"/>
    <n v="19440000"/>
    <x v="3"/>
    <s v="0943448888"/>
    <n v="11102400"/>
    <x v="0"/>
    <x v="1"/>
  </r>
  <r>
    <x v="0"/>
    <x v="3"/>
    <n v="19"/>
    <s v="SS18"/>
    <s v="EARRINGS"/>
    <s v="SS18"/>
    <n v="4553280"/>
    <n v="4553280"/>
    <d v="2019-05-10T00:00:00"/>
    <n v="117920"/>
    <s v="RWR1037"/>
    <x v="1"/>
    <x v="0"/>
    <s v="WACC"/>
    <n v="1037"/>
    <n v="1"/>
    <s v="Check"/>
    <n v="13220000"/>
    <n v="12018182"/>
    <n v="0"/>
    <n v="0"/>
    <n v="0"/>
    <s v="Hang_Nguyen"/>
    <s v="RM SILVER DROP EARRINGS -TOP SILVER FRAME SET WITH ICY GREY DIAMONDS-MIDDLE SMOKY QUARTZ"/>
    <s v="Ms. To Mai Lien"/>
    <s v="BO 113 (V)DIA (ICY GRIS-S.QTZ)"/>
    <n v="15"/>
    <s v="SILVER/ICY G"/>
    <n v="13220000"/>
    <s v="U"/>
    <n v="12018182"/>
    <x v="4"/>
    <s v="0936462242"/>
    <n v="7464902"/>
    <x v="0"/>
    <x v="1"/>
  </r>
  <r>
    <x v="0"/>
    <x v="3"/>
    <n v="19"/>
    <s v="SS18"/>
    <s v="BRACELET"/>
    <s v="SS18"/>
    <n v="4083533"/>
    <n v="4017600"/>
    <d v="2019-05-10T00:00:00"/>
    <n v="117931"/>
    <s v="RWR1037"/>
    <x v="1"/>
    <x v="0"/>
    <s v="WACC"/>
    <n v="1037"/>
    <n v="1"/>
    <s v="Check"/>
    <n v="11664000"/>
    <n v="10603636"/>
    <n v="0"/>
    <n v="0"/>
    <n v="0"/>
    <s v="Hang_Nguyen"/>
    <s v="RM SILVER ROUND SNAKE BRACELET-TOP MEDAL FRAMED WITH ICY GREY DIAMONDS-MIDDLE SMOKY QUARTZ (Transparent)-QUEUE END SET WITH (1)RUBIS"/>
    <s v="Ms. To Mai Lien"/>
    <s v="BR/TOVE(1)(V)DIA (ICY GRIS-S.QT"/>
    <n v="15"/>
    <s v="SILVER/ICY G"/>
    <n v="11664000"/>
    <s v="S"/>
    <n v="10603636"/>
    <x v="4"/>
    <s v="0936462242"/>
    <n v="6520103"/>
    <x v="0"/>
    <x v="1"/>
  </r>
  <r>
    <x v="0"/>
    <x v="4"/>
    <n v="25"/>
    <s v="FW12"/>
    <s v="JEWELRY"/>
    <s v="FW12"/>
    <n v="17531100"/>
    <n v="17531100"/>
    <d v="2019-06-17T00:00:00"/>
    <n v="42533"/>
    <s v="RHN2159"/>
    <x v="1"/>
    <x v="1"/>
    <s v="WACC"/>
    <n v="2159"/>
    <n v="1"/>
    <s v="Cash"/>
    <n v="55515150"/>
    <n v="50468318"/>
    <n v="5"/>
    <n v="2656227"/>
    <n v="2921850"/>
    <s v="Ngoc_Nguyen"/>
    <s v="RM Silver ring-top (1 1/2mm)silver treated frame set with rubis-middle topaz"/>
    <s v="Ms. To Thi Hanh"/>
    <s v="JUNYA(V) S-ST C1 1/2 DIA(RU-TOP"/>
    <n v="16"/>
    <s v="SILVER"/>
    <n v="58437000"/>
    <n v="9"/>
    <n v="53124545"/>
    <x v="5"/>
    <s v="0916671961"/>
    <n v="32937218"/>
    <x v="0"/>
    <x v="0"/>
  </r>
  <r>
    <x v="0"/>
    <x v="4"/>
    <n v="25"/>
    <s v="SS13"/>
    <s v="JEWELRY"/>
    <s v="SS13"/>
    <n v="21867638"/>
    <n v="21867637.960000001"/>
    <d v="2019-06-17T00:00:00"/>
    <n v="52838"/>
    <s v="RHN2159"/>
    <x v="1"/>
    <x v="1"/>
    <s v="WACC"/>
    <n v="2159"/>
    <n v="1"/>
    <s v="Cash"/>
    <n v="69240750"/>
    <n v="62946136"/>
    <n v="5"/>
    <n v="3312955"/>
    <n v="3644250"/>
    <s v="Ngoc_Nguyen"/>
    <s v="RM Silver ring-top silver treated frame set with icy grey diamonds-middle topaz(transparent)"/>
    <s v="Ms. To Thi Hanh"/>
    <s v="SHINE(V)S-STDIA (ICY GRIS-TOPAZ"/>
    <n v="16"/>
    <s v="Silver/grey/topa"/>
    <n v="72885000"/>
    <n v="12"/>
    <n v="66259091"/>
    <x v="5"/>
    <s v="0916671961"/>
    <n v="41078498"/>
    <x v="0"/>
    <x v="0"/>
  </r>
  <r>
    <x v="0"/>
    <x v="4"/>
    <n v="25"/>
    <s v="SS18"/>
    <s v="EARRINGS"/>
    <s v="SS18"/>
    <n v="8370000"/>
    <n v="8370000"/>
    <d v="2019-06-17T00:00:00"/>
    <n v="117919"/>
    <s v="RHN2159"/>
    <x v="1"/>
    <x v="1"/>
    <s v="WACC"/>
    <n v="2159"/>
    <n v="1"/>
    <s v="Cash"/>
    <n v="23085000"/>
    <n v="20986364"/>
    <n v="5"/>
    <n v="1104545"/>
    <n v="1215000"/>
    <s v="Ngoc_Nguyen"/>
    <s v="RM SILVER DROP EARRINGS -TOP SILVER FRAME SET WITH ICY GREY DIAMONDS-MIDDLE SMOKY QUARTZ"/>
    <s v="Ms. To Thi Hanh"/>
    <s v="BO 114 (V)DIA (ICY GRIS(2R)-S.Q"/>
    <n v="16"/>
    <s v="SILVER/ICY G"/>
    <n v="24300000"/>
    <s v="U"/>
    <n v="22090909"/>
    <x v="5"/>
    <s v="0916671961"/>
    <n v="12616364"/>
    <x v="0"/>
    <x v="0"/>
  </r>
  <r>
    <x v="0"/>
    <x v="4"/>
    <n v="25"/>
    <s v="SS18"/>
    <s v="RING"/>
    <s v="SS18"/>
    <n v="24998400"/>
    <n v="24998400.000000004"/>
    <d v="2019-06-19T00:00:00"/>
    <n v="117945"/>
    <s v="RHN2176"/>
    <x v="1"/>
    <x v="1"/>
    <s v="WACC"/>
    <n v="2176"/>
    <n v="1"/>
    <s v="Credit Card"/>
    <n v="68947200"/>
    <n v="62679273"/>
    <n v="5"/>
    <n v="3298909"/>
    <n v="3628800"/>
    <s v="Phuong_Bui"/>
    <s v="RM SILVER RING-TOP SILVER TREATED FRAME SET WITH COGNAC DIAMONDS-MIDDLE BROWN RUTILATED((Transparent))"/>
    <s v="Ms. To Thi Hanh"/>
    <s v="ROBERTA(V)SP S-ST DIA(CO-BRN RU"/>
    <n v="17"/>
    <s v="COGNAC/BROWN"/>
    <n v="72576000"/>
    <n v="12"/>
    <n v="65978182"/>
    <x v="5"/>
    <s v="0916671961"/>
    <n v="37680873"/>
    <x v="0"/>
    <x v="0"/>
  </r>
  <r>
    <x v="0"/>
    <x v="4"/>
    <n v="26"/>
    <s v="SS13"/>
    <s v="JEWELRY"/>
    <s v="SS13"/>
    <n v="15578273"/>
    <n v="15578273.060000001"/>
    <d v="2019-06-24T00:00:00"/>
    <n v="52828"/>
    <s v="RHN2220"/>
    <x v="1"/>
    <x v="1"/>
    <s v="WACC"/>
    <n v="2220"/>
    <n v="1"/>
    <s v="Credit Card"/>
    <n v="46730700"/>
    <n v="42482455"/>
    <n v="10"/>
    <n v="4720273"/>
    <n v="5192300"/>
    <s v="Ngoc_Nguyen"/>
    <s v="RM Silver ring-top silver treated frame set with icy grey diamonds-middle topaz"/>
    <s v="Ms. Hoang Phuong Loan"/>
    <s v="BIKRAM (TH) S-ST DIA(ICY GRIS-T"/>
    <n v="14"/>
    <s v="Silver/grey/topa"/>
    <n v="51923000"/>
    <n v="11"/>
    <n v="47202727"/>
    <x v="6"/>
    <s v="0965562828"/>
    <n v="26904182"/>
    <x v="0"/>
    <x v="1"/>
  </r>
  <r>
    <x v="0"/>
    <x v="4"/>
    <n v="26"/>
    <s v="SS12"/>
    <s v="JEWELRY"/>
    <s v="SS12"/>
    <n v="9504000"/>
    <n v="9504000"/>
    <d v="2019-06-24T00:00:00"/>
    <n v="37094"/>
    <s v="RHN2220"/>
    <x v="1"/>
    <x v="1"/>
    <s v="WACC"/>
    <n v="2220"/>
    <n v="1"/>
    <s v="Credit Card"/>
    <n v="31990500"/>
    <n v="29082273"/>
    <n v="10"/>
    <n v="3231364"/>
    <n v="3554500"/>
    <s v="Ngoc_Nguyen"/>
    <s v="RM Silver treated ring-top framed with black diamonds-middle smoky quartz"/>
    <s v="Ms. Hoang Phuong Loan"/>
    <s v="BEGUM R(TH)ST DIA(BLK.DIAM-QUAR"/>
    <n v="14"/>
    <s v="SILVER"/>
    <n v="35545000"/>
    <n v="11"/>
    <n v="32313636"/>
    <x v="6"/>
    <s v="0965562828"/>
    <n v="19578273"/>
    <x v="0"/>
    <x v="1"/>
  </r>
  <r>
    <x v="0"/>
    <x v="4"/>
    <n v="26"/>
    <s v="SS13"/>
    <s v="JEWELRY"/>
    <s v="SS13"/>
    <n v="13391509"/>
    <n v="13391509.26"/>
    <d v="2019-06-24T00:00:00"/>
    <n v="52823"/>
    <s v="RHN2220"/>
    <x v="1"/>
    <x v="1"/>
    <s v="WACC"/>
    <n v="2220"/>
    <n v="1"/>
    <s v="Credit Card"/>
    <n v="40170600"/>
    <n v="36518727"/>
    <n v="10"/>
    <n v="4057636"/>
    <n v="4463400"/>
    <s v="Ngoc_Nguyen"/>
    <s v="RM Silver ring-top (4mm) silver"/>
    <s v="Ms. Hoang Phuong Loan"/>
    <s v="CARRIE R (TH) S-ST C4 DIA(BLK D"/>
    <n v="14"/>
    <s v="SILVER/BLACK"/>
    <n v="44634000"/>
    <n v="10"/>
    <n v="40576364"/>
    <x v="6"/>
    <s v="0965562828"/>
    <n v="23127218"/>
    <x v="0"/>
    <x v="1"/>
  </r>
  <r>
    <x v="0"/>
    <x v="4"/>
    <n v="26"/>
    <s v="SS18"/>
    <s v="RING"/>
    <s v="SS18"/>
    <n v="15222240"/>
    <n v="15222240"/>
    <d v="2019-06-27T00:00:00"/>
    <n v="117951"/>
    <s v="RWR1298"/>
    <x v="1"/>
    <x v="0"/>
    <s v="WACC"/>
    <n v="1298"/>
    <n v="1"/>
    <s v="Account"/>
    <n v="44194000"/>
    <n v="40176364"/>
    <n v="0"/>
    <n v="0"/>
    <n v="0"/>
    <s v="Ha_Nguyen"/>
    <s v="RM SILVER RING INTO 2:(1) SILVER TREATED FRAME SET WITH ICY GREY DIAMONDS-MIDDLE SILVER (CONCAVE)-(1)(4mm) SILVER TREATED FRAME SET WITH ICY GREY DIAMONDS-MIDDLE BEER QUARTZ"/>
    <s v="Mrs. Phan Lan Phuong"/>
    <s v="BELCAR  S-ST-S DIX (ICY GRIS)-S"/>
    <n v="19"/>
    <s v="SILVER/ICY G"/>
    <n v="44194000"/>
    <n v="10"/>
    <n v="40176364"/>
    <x v="7"/>
    <s v="0977317777"/>
    <n v="24954124"/>
    <x v="0"/>
    <x v="0"/>
  </r>
  <r>
    <x v="0"/>
    <x v="4"/>
    <n v="26"/>
    <s v="SS18"/>
    <s v="RING"/>
    <s v="SS18"/>
    <n v="-15222240"/>
    <n v="-15222240"/>
    <d v="2019-06-28T00:00:00"/>
    <n v="117951"/>
    <s v="RWR1313"/>
    <x v="1"/>
    <x v="0"/>
    <s v="WACC"/>
    <n v="1313"/>
    <n v="-1"/>
    <s v="None"/>
    <n v="-44194000"/>
    <n v="-40176364"/>
    <n v="0"/>
    <n v="0"/>
    <n v="0"/>
    <s v="Hang_Nguyen"/>
    <s v="RM SILVER RING INTO 2:(1) SILVER TREATED FRAME SET WITH ICY GREY DIAMONDS-MIDDLE SILVER (CONCAVE)-(1)(4mm) SILVER TREATED FRAME SET WITH ICY GREY DIAMONDS-MIDDLE BEER QUARTZ"/>
    <s v="Mrs. Phan Lan Phuong"/>
    <s v="BELCAR  S-ST-S DIX (ICY GRIS)-S"/>
    <n v="16"/>
    <s v="SILVER/ICY G"/>
    <n v="-44194000"/>
    <n v="10"/>
    <n v="-40176364"/>
    <x v="7"/>
    <s v="0977317777"/>
    <n v="-24954124"/>
    <x v="0"/>
    <x v="0"/>
  </r>
  <r>
    <x v="0"/>
    <x v="4"/>
    <n v="26"/>
    <s v="SS18"/>
    <s v="RING"/>
    <s v="SS18"/>
    <n v="15222240"/>
    <n v="15222240"/>
    <d v="2019-06-28T00:00:00"/>
    <n v="117951"/>
    <s v="RWR1313"/>
    <x v="1"/>
    <x v="0"/>
    <s v="WACC"/>
    <n v="1313"/>
    <n v="1"/>
    <s v="None"/>
    <n v="41984300"/>
    <n v="38167545"/>
    <n v="5"/>
    <n v="2008818"/>
    <n v="2209700"/>
    <s v="Hang_Nguyen"/>
    <s v="RM SILVER RING INTO 2:(1) SILVER TREATED FRAME SET WITH ICY GREY DIAMONDS-MIDDLE SILVER (CONCAVE)-(1)(4mm) SILVER TREATED FRAME SET WITH ICY GREY DIAMONDS-MIDDLE BEER QUARTZ"/>
    <s v="Mrs. Phan Lan Phuong"/>
    <s v="BELCAR  S-ST-S DIX (ICY GRIS)-S"/>
    <n v="16"/>
    <s v="SILVER/ICY G"/>
    <n v="44194000"/>
    <n v="10"/>
    <n v="40176364"/>
    <x v="7"/>
    <s v="0977317777"/>
    <n v="22945305"/>
    <x v="0"/>
    <x v="0"/>
  </r>
  <r>
    <x v="0"/>
    <x v="4"/>
    <n v="26"/>
    <s v="SS18"/>
    <s v="RING"/>
    <s v="SS18"/>
    <n v="-15222240"/>
    <n v="-15222240"/>
    <d v="2019-06-28T00:00:00"/>
    <n v="117951"/>
    <s v="RWR1311"/>
    <x v="1"/>
    <x v="0"/>
    <s v="WACC"/>
    <n v="1311"/>
    <n v="-1"/>
    <s v="None"/>
    <n v="-44194000"/>
    <n v="-40176364"/>
    <n v="0"/>
    <n v="0"/>
    <n v="0"/>
    <s v="Hang_Nguyen"/>
    <s v="RM SILVER RING INTO 2:(1) SILVER TREATED FRAME SET WITH ICY GREY DIAMONDS-MIDDLE SILVER (CONCAVE)-(1)(4mm) SILVER TREATED FRAME SET WITH ICY GREY DIAMONDS-MIDDLE BEER QUARTZ"/>
    <s v="Mrs. Phan Lan Phuong"/>
    <s v="BELCAR  S-ST-S DIX (ICY GRIS)-S"/>
    <n v="16"/>
    <s v="SILVER/ICY G"/>
    <n v="-44194000"/>
    <n v="10"/>
    <n v="-40176364"/>
    <x v="7"/>
    <s v="0977317777"/>
    <n v="-24954124"/>
    <x v="0"/>
    <x v="0"/>
  </r>
  <r>
    <x v="0"/>
    <x v="4"/>
    <n v="26"/>
    <s v="SS18"/>
    <s v="RING"/>
    <s v="SS18"/>
    <n v="15222240"/>
    <n v="15222240"/>
    <d v="2019-06-28T00:00:00"/>
    <n v="117951"/>
    <s v="RWR1311"/>
    <x v="1"/>
    <x v="0"/>
    <s v="WACC"/>
    <n v="1311"/>
    <n v="1"/>
    <s v="None"/>
    <n v="41984300"/>
    <n v="38167545"/>
    <n v="5"/>
    <n v="2008818"/>
    <n v="2209700"/>
    <s v="Hang_Nguyen"/>
    <s v="RM SILVER RING INTO 2:(1) SILVER TREATED FRAME SET WITH ICY GREY DIAMONDS-MIDDLE SILVER (CONCAVE)-(1)(4mm) SILVER TREATED FRAME SET WITH ICY GREY DIAMONDS-MIDDLE BEER QUARTZ"/>
    <s v="Mrs. Phan Lan Phuong"/>
    <s v="BELCAR  S-ST-S DIX (ICY GRIS)-S"/>
    <n v="16"/>
    <s v="SILVER/ICY G"/>
    <n v="44194000"/>
    <n v="10"/>
    <n v="40176364"/>
    <x v="8"/>
    <s v="0977317777"/>
    <n v="22945305"/>
    <x v="0"/>
    <x v="0"/>
  </r>
  <r>
    <x v="0"/>
    <x v="4"/>
    <n v="26"/>
    <s v="SS18"/>
    <s v="RING"/>
    <s v="SS18"/>
    <n v="15222240"/>
    <n v="15222240"/>
    <d v="2019-06-28T00:00:00"/>
    <n v="117951"/>
    <s v="RWR1312"/>
    <x v="1"/>
    <x v="0"/>
    <s v="WACC"/>
    <n v="1312"/>
    <n v="1"/>
    <s v="Account"/>
    <n v="44194000"/>
    <n v="40176364"/>
    <n v="0"/>
    <n v="0"/>
    <n v="0"/>
    <s v="Hang_Nguyen"/>
    <s v="RM SILVER RING INTO 2:(1) SILVER TREATED FRAME SET WITH ICY GREY DIAMONDS-MIDDLE SILVER (CONCAVE)-(1)(4mm) SILVER TREATED FRAME SET WITH ICY GREY DIAMONDS-MIDDLE BEER QUARTZ"/>
    <s v="Mrs. Phan Lan Phuong"/>
    <s v="BELCAR  S-ST-S DIX (ICY GRIS)-S"/>
    <n v="16"/>
    <s v="SILVER/ICY G"/>
    <n v="44194000"/>
    <n v="10"/>
    <n v="40176364"/>
    <x v="7"/>
    <s v="0977317777"/>
    <n v="24954124"/>
    <x v="0"/>
    <x v="0"/>
  </r>
  <r>
    <x v="0"/>
    <x v="4"/>
    <n v="26"/>
    <s v="SS18"/>
    <s v="RING"/>
    <s v="SS18"/>
    <n v="-15222240"/>
    <n v="-15222240"/>
    <d v="2019-06-28T00:00:00"/>
    <n v="117951"/>
    <s v="RWR1312"/>
    <x v="1"/>
    <x v="0"/>
    <s v="WACC"/>
    <n v="1312"/>
    <n v="-1"/>
    <s v="Account"/>
    <n v="-41984300"/>
    <n v="-38167545"/>
    <n v="5"/>
    <n v="-2008818"/>
    <n v="-2209700"/>
    <s v="Hang_Nguyen"/>
    <s v="RM SILVER RING INTO 2:(1) SILVER TREATED FRAME SET WITH ICY GREY DIAMONDS-MIDDLE SILVER (CONCAVE)-(1)(4mm) SILVER TREATED FRAME SET WITH ICY GREY DIAMONDS-MIDDLE BEER QUARTZ"/>
    <s v="Mrs. Phan Lan Phuong"/>
    <s v="BELCAR  S-ST-S DIX (ICY GRIS)-S"/>
    <n v="16"/>
    <s v="SILVER/ICY G"/>
    <n v="-44194000"/>
    <n v="10"/>
    <n v="-40176364"/>
    <x v="8"/>
    <s v="0977317777"/>
    <n v="-22945305"/>
    <x v="0"/>
    <x v="0"/>
  </r>
  <r>
    <x v="0"/>
    <x v="5"/>
    <n v="32"/>
    <s v="SS18"/>
    <s v="EARRINGS"/>
    <s v="SS18"/>
    <n v="3080160"/>
    <n v="3080160"/>
    <d v="2019-08-11T00:00:00"/>
    <n v="117921"/>
    <s v="RHN2944"/>
    <x v="1"/>
    <x v="1"/>
    <s v="WACC"/>
    <n v="2944"/>
    <n v="1"/>
    <s v="Credit Card"/>
    <n v="8943000"/>
    <n v="8130000"/>
    <n v="0"/>
    <n v="0"/>
    <n v="0"/>
    <s v="Ngoc_Nguyen"/>
    <s v="RM SILVER STUDS FLOWERS EARRINGS SET PAVING WITH COGNAC DIAMONDS"/>
    <s v="Mrs. Nguyen Duc Hanh"/>
    <s v="BO NILOUFAR (3)(D) DIA (CO)"/>
    <n v="18"/>
    <s v="SILVER/COGNA"/>
    <n v="8943000"/>
    <s v="U"/>
    <n v="8130000"/>
    <x v="9"/>
    <s v="0834336699"/>
    <n v="5049840"/>
    <x v="0"/>
    <x v="2"/>
  </r>
  <r>
    <x v="0"/>
    <x v="5"/>
    <n v="35"/>
    <s v="SS18"/>
    <s v="EARRINGS"/>
    <s v="SS18"/>
    <n v="848160"/>
    <n v="848160.00000000012"/>
    <d v="2019-08-30T00:00:00"/>
    <n v="117922"/>
    <s v="RWR1628"/>
    <x v="1"/>
    <x v="0"/>
    <s v="WACC"/>
    <n v="1628"/>
    <n v="1"/>
    <s v="Credit Card"/>
    <n v="2463000"/>
    <n v="2239091"/>
    <n v="0"/>
    <n v="0"/>
    <n v="0"/>
    <s v="Hang_Nguyen"/>
    <s v="RM SILVER STUDS FLOWERS EARRINGS"/>
    <s v="Nguyen Thi Le Ha"/>
    <s v="BO NILOUFAR (3)(D)"/>
    <n v="13"/>
    <s v="SILVER"/>
    <n v="2463000"/>
    <s v="U"/>
    <n v="2239091"/>
    <x v="7"/>
    <s v="0918496084"/>
    <n v="1390931"/>
    <x v="0"/>
    <x v="0"/>
  </r>
  <r>
    <x v="0"/>
    <x v="6"/>
    <n v="35"/>
    <s v="SS18"/>
    <s v="BRACELET"/>
    <s v="SS18"/>
    <n v="2268629"/>
    <n v="2232000"/>
    <d v="2019-09-01T00:00:00"/>
    <n v="117930"/>
    <s v="RHN3079"/>
    <x v="1"/>
    <x v="1"/>
    <s v="WACC"/>
    <n v="3079"/>
    <n v="1"/>
    <s v="Credit Card"/>
    <n v="6480000"/>
    <n v="5890909"/>
    <n v="0"/>
    <n v="0"/>
    <n v="0"/>
    <s v="Ngoc_Nguyen"/>
    <s v="RM SILVER ROUND BRACELET-QUEUE END SET WITH (1)BLACK DIAMOND"/>
    <s v="Mrs. Le Thi Hoa"/>
    <s v="BR/PENNA(2) DIX (BLK (Q))"/>
    <n v="14"/>
    <s v="SILVER/BLACK"/>
    <n v="6480000"/>
    <s v="S"/>
    <n v="5890909"/>
    <x v="10"/>
    <s v="0913221545"/>
    <n v="3622280"/>
    <x v="0"/>
    <x v="1"/>
  </r>
  <r>
    <x v="0"/>
    <x v="7"/>
    <n v="40"/>
    <s v="SS18"/>
    <s v="EARRINGS"/>
    <s v="SS18"/>
    <n v="6428160"/>
    <n v="6428160.0000000009"/>
    <d v="2019-10-02T00:00:00"/>
    <n v="117917"/>
    <s v="RHN3285"/>
    <x v="1"/>
    <x v="1"/>
    <s v="WACC"/>
    <n v="3285"/>
    <n v="1"/>
    <s v="Credit Card"/>
    <n v="18663000"/>
    <n v="16966364"/>
    <n v="0"/>
    <n v="0"/>
    <n v="0"/>
    <s v="Ngoc_Nguyen"/>
    <s v="RM SILVER DROP EARRINGS SET WITH ROSECUT DIAMONDS"/>
    <s v="Mrs. Tran Thanh Ly"/>
    <s v="BO TINA DIA (8X8)"/>
    <n v="13"/>
    <s v="SILVER/ROSEC"/>
    <n v="18663000"/>
    <s v="U"/>
    <n v="16966364"/>
    <x v="3"/>
    <s v="0983861971"/>
    <n v="10538204"/>
    <x v="0"/>
    <x v="1"/>
  </r>
  <r>
    <x v="0"/>
    <x v="7"/>
    <n v="40"/>
    <s v="SS17"/>
    <s v="JEWELRY"/>
    <s v="SS17"/>
    <n v="20619638"/>
    <n v="15956500"/>
    <d v="2019-10-05T00:00:00"/>
    <n v="108993"/>
    <s v="RWR1784"/>
    <x v="0"/>
    <x v="0"/>
    <s v="WACC"/>
    <n v="1784"/>
    <n v="1"/>
    <s v="Credit Card"/>
    <n v="41125000"/>
    <n v="37386364"/>
    <n v="0"/>
    <n v="0"/>
    <n v="0"/>
    <s v="Hang_Nguyen"/>
    <s v="SPK Raneth 3 linked rings in sterling silver and 18k yellow and rose gold with mixed gold connectors and rose gold accents"/>
    <s v="Mr. Nguyen Hoang Tu"/>
    <s v="SG2-R-G3SRGYGRGAL"/>
    <n v="14"/>
    <s v="Rose gold, Gold"/>
    <n v="41125000"/>
    <n v="5.5"/>
    <n v="37386364"/>
    <x v="11"/>
    <s v="0849818415"/>
    <n v="16766726"/>
    <x v="0"/>
    <x v="0"/>
  </r>
  <r>
    <x v="0"/>
    <x v="8"/>
    <n v="48"/>
    <s v="FW11"/>
    <s v="JEWELRY"/>
    <s v="FW11"/>
    <n v="6009974"/>
    <n v="6009974.0899999999"/>
    <d v="2019-12-01T00:00:00"/>
    <n v="30028"/>
    <s v="RHN3903"/>
    <x v="1"/>
    <x v="1"/>
    <s v="WACC"/>
    <n v="3903"/>
    <n v="1"/>
    <s v="Credit Card"/>
    <n v="21456000"/>
    <n v="19505455"/>
    <n v="0"/>
    <n v="0"/>
    <n v="0"/>
    <s v="Phuong_Bui"/>
    <s v="RM Silver Ring - Top Silver treated Gages set w.icy Diamonds"/>
    <s v="Mrs. Le Thu Ngan"/>
    <s v="YESSIRA S-ST DIA ICY"/>
    <n v="14"/>
    <s v="Silver/Icy"/>
    <n v="21456000"/>
    <n v="10"/>
    <n v="19505455"/>
    <x v="12"/>
    <s v="0983352011"/>
    <n v="13495481"/>
    <x v="0"/>
    <x v="2"/>
  </r>
  <r>
    <x v="0"/>
    <x v="8"/>
    <n v="48"/>
    <s v="FW11"/>
    <s v="JEWELRY"/>
    <s v="FW11"/>
    <n v="5316516"/>
    <n v="5316515.54"/>
    <d v="2019-12-01T00:00:00"/>
    <n v="30031"/>
    <s v="RHN3903"/>
    <x v="1"/>
    <x v="1"/>
    <s v="WACC"/>
    <n v="3903"/>
    <n v="1"/>
    <s v="Credit Card"/>
    <n v="18980000"/>
    <n v="17254545"/>
    <n v="0"/>
    <n v="0"/>
    <n v="0"/>
    <s v="Phuong_Bui"/>
    <s v="RM Siver Ring - Top Line Set w.Rosecut Diamond"/>
    <s v="Mrs. Le Thu Ngan"/>
    <s v="LARA DIA 8x8"/>
    <n v="14"/>
    <s v="Silver/Rose"/>
    <n v="18980000"/>
    <n v="11"/>
    <n v="17254545"/>
    <x v="12"/>
    <s v="0983352011"/>
    <n v="11938029"/>
    <x v="0"/>
    <x v="2"/>
  </r>
  <r>
    <x v="0"/>
    <x v="8"/>
    <n v="48"/>
    <s v="FW11"/>
    <s v="JEWELRY"/>
    <s v="FW11"/>
    <n v="0"/>
    <n v="5501437.8200000003"/>
    <d v="2019-12-01T00:00:00"/>
    <n v="30032"/>
    <s v="RHN3903"/>
    <x v="1"/>
    <x v="1"/>
    <s v="WACC"/>
    <n v="3903"/>
    <n v="1"/>
    <s v="Credit Card"/>
    <n v="19641000"/>
    <n v="17855455"/>
    <n v="0"/>
    <n v="0"/>
    <n v="0"/>
    <s v="Phuong_Bui"/>
    <s v="RM Silver Ring - Top Silver treated Gages set w.Rubis"/>
    <s v="Mrs. Le Thu Ngan"/>
    <s v="YESSIRA S-ST DIA RU"/>
    <n v="14"/>
    <s v="Silver/Ruby"/>
    <n v="19641000"/>
    <n v="10"/>
    <n v="17855455"/>
    <x v="12"/>
    <s v="0983352011"/>
    <n v="17855455"/>
    <x v="0"/>
    <x v="2"/>
  </r>
  <r>
    <x v="0"/>
    <x v="8"/>
    <n v="53"/>
    <s v="SS13"/>
    <s v="JEWELRY"/>
    <s v="SS13"/>
    <n v="9714650"/>
    <n v="9714649.7799999993"/>
    <d v="2019-12-31T00:00:00"/>
    <n v="52834"/>
    <s v="RWR2285"/>
    <x v="1"/>
    <x v="0"/>
    <s v="WACC"/>
    <n v="2285"/>
    <n v="1"/>
    <s v="Credit Card"/>
    <n v="32379000"/>
    <n v="29435455"/>
    <n v="0"/>
    <n v="0"/>
    <n v="0"/>
    <s v="Hang_Nguyen"/>
    <s v="RM Silver ring-top (1 1/2mm) silver treated frame set with rubis-middle concave set paving with icy grey diamonds"/>
    <s v="Mrs. Phan Lan Phuong"/>
    <s v="BEENU(TB)S-ST C1 1/2 DIA (RU-IC"/>
    <n v="19"/>
    <s v="Silver/rubis/gre"/>
    <n v="32379000"/>
    <n v="11"/>
    <n v="29435455"/>
    <x v="2"/>
    <m/>
    <n v="19720805"/>
    <x v="0"/>
    <x v="0"/>
  </r>
  <r>
    <x v="1"/>
    <x v="9"/>
    <n v="5"/>
    <s v="SS12"/>
    <s v="JEWELRY"/>
    <s v="SS12"/>
    <n v="6573600"/>
    <n v="6573600"/>
    <d v="2020-02-02T00:00:00"/>
    <n v="37108"/>
    <s v="RHN4665"/>
    <x v="1"/>
    <x v="1"/>
    <s v="WACC"/>
    <n v="4665"/>
    <n v="1"/>
    <s v="Credit Card"/>
    <n v="24586000"/>
    <n v="22350909"/>
    <n v="0"/>
    <n v="0"/>
    <n v="0"/>
    <s v="Ngoc_Nguyen"/>
    <s v="RM Silver treated ring-top framed with rubis-middle smoky quartz"/>
    <s v="Mrs. Le Thu Ngan"/>
    <s v="BEENU R (TB)ST DIA (RU-QUARTZ)"/>
    <n v="11"/>
    <s v="SILVER"/>
    <n v="24586000"/>
    <n v="11"/>
    <n v="22350909"/>
    <x v="13"/>
    <s v="0983352011"/>
    <n v="15777309"/>
    <x v="0"/>
    <x v="0"/>
  </r>
  <r>
    <x v="1"/>
    <x v="9"/>
    <n v="5"/>
    <s v="SS12"/>
    <s v="JEWELRY"/>
    <s v="SS12"/>
    <n v="4712400"/>
    <n v="6490260"/>
    <d v="2020-02-02T00:00:00"/>
    <n v="37083"/>
    <s v="RHN4665"/>
    <x v="1"/>
    <x v="1"/>
    <s v="WACC"/>
    <n v="4665"/>
    <n v="1"/>
    <s v="Credit Card"/>
    <n v="17625000"/>
    <n v="16022727"/>
    <n v="0"/>
    <n v="0"/>
    <n v="0"/>
    <s v="Ngoc_Nguyen"/>
    <s v="RM Silver treated ring-top silver treated frame-middle curved silver polish"/>
    <s v="Mrs. Le Thu Ngan"/>
    <s v="BEGUM R (TB)ST-ST-S"/>
    <n v="11"/>
    <s v="SILVER"/>
    <n v="17625000"/>
    <n v="10"/>
    <n v="16022727"/>
    <x v="13"/>
    <s v="0983352011"/>
    <n v="11310327"/>
    <x v="0"/>
    <x v="0"/>
  </r>
  <r>
    <x v="1"/>
    <x v="9"/>
    <n v="6"/>
    <s v="FW11"/>
    <s v="JEWELRY"/>
    <s v="FW11"/>
    <n v="5316516"/>
    <n v="5316515.54"/>
    <d v="2020-02-07T00:00:00"/>
    <n v="30030"/>
    <s v="RHN4703"/>
    <x v="1"/>
    <x v="1"/>
    <s v="WACC"/>
    <n v="4703"/>
    <n v="1"/>
    <s v="Check"/>
    <n v="18031000"/>
    <n v="16391818"/>
    <n v="5"/>
    <n v="862727"/>
    <n v="949000"/>
    <s v="Ngoc_Nguyen"/>
    <s v="RM Siver Ring - Top Line Set w.Rosecut Diamond"/>
    <s v="Ms. To Thi Hanh"/>
    <s v="LARA DIA 8x8"/>
    <n v="17"/>
    <s v="Silver/Rose"/>
    <n v="18980000"/>
    <n v="10"/>
    <n v="17254545"/>
    <x v="14"/>
    <s v="0916671961"/>
    <n v="11075302"/>
    <x v="0"/>
    <x v="1"/>
  </r>
  <r>
    <x v="1"/>
    <x v="9"/>
    <n v="6"/>
    <s v="SS18"/>
    <s v="BRACELET"/>
    <s v="SS18"/>
    <n v="4196160"/>
    <n v="4196160"/>
    <d v="2020-02-07T00:00:00"/>
    <n v="117926"/>
    <s v="RHN4703"/>
    <x v="1"/>
    <x v="1"/>
    <s v="WACC"/>
    <n v="4703"/>
    <n v="1"/>
    <s v="Check"/>
    <n v="11573850"/>
    <n v="10521682"/>
    <n v="5"/>
    <n v="553773"/>
    <n v="609150"/>
    <s v="Ngoc_Nguyen"/>
    <s v="RM SILVER ROUND BRACELET-TOP SILVER FRAME SET WITH ICY GREY DIAMONDS-QUEUE END SET WITH RUBIS"/>
    <s v="Ms. To Thi Hanh"/>
    <s v="BR/TOKO (1) (V) DIX (ICY GRIS T"/>
    <n v="17"/>
    <s v="ICY GREY/RUB"/>
    <n v="12183000"/>
    <s v="S"/>
    <n v="11075455"/>
    <x v="14"/>
    <s v="0916671961"/>
    <n v="6325522"/>
    <x v="0"/>
    <x v="1"/>
  </r>
  <r>
    <x v="1"/>
    <x v="9"/>
    <n v="6"/>
    <s v="SS17"/>
    <s v="JEWELRY"/>
    <s v="SS17"/>
    <n v="43211883"/>
    <n v="33628500"/>
    <d v="2020-02-07T00:00:00"/>
    <n v="109934"/>
    <s v="RHN4707"/>
    <x v="2"/>
    <x v="1"/>
    <s v="WACC"/>
    <n v="4707"/>
    <n v="1"/>
    <s v="Credit Card"/>
    <n v="93413000"/>
    <n v="84920909"/>
    <n v="0"/>
    <n v="0"/>
    <n v="0"/>
    <s v="Ngoc_Nguyen"/>
    <s v="NAK PENDANT: ONE-OF-A-KIND RUBY, PINK TOURMALINE, RECYCLED 18K ROSE GOLD, AND OXIDIZED STERLING SILVER; 18&quot; IN LENGTH"/>
    <s v="Ms. Nguyen thu Cuc"/>
    <s v="30013-OAK2-18SS"/>
    <n v="18"/>
    <s v="ROSE GOLD"/>
    <n v="93413000"/>
    <s v="U"/>
    <n v="84920909"/>
    <x v="9"/>
    <s v="0913022326"/>
    <n v="41709026"/>
    <x v="0"/>
    <x v="2"/>
  </r>
  <r>
    <x v="1"/>
    <x v="1"/>
    <n v="13"/>
    <s v="SS17"/>
    <s v="JEWELRY"/>
    <s v="SS17"/>
    <n v="-42124791"/>
    <n v="-32782500"/>
    <d v="2020-03-23T00:00:00"/>
    <n v="109922"/>
    <s v="RWR2672"/>
    <x v="2"/>
    <x v="0"/>
    <s v="WACC"/>
    <n v="2672"/>
    <n v="-1"/>
    <s v="Credit Card"/>
    <n v="-91063000"/>
    <n v="-82784545"/>
    <n v="0"/>
    <n v="0"/>
    <n v="0"/>
    <s v="Hang_Nguyen"/>
    <s v="NAK STUDS: 1.84CTS RECLAIMED MOGHUL-CUT BLACK DIAMOND, 0.48CTS PRINCESS-CUT WHITE DIAMOND AND RECYCLED 20K ROSE GOLD; 9.6MM IN DIAMETER; 7MM IN DIAMETER"/>
    <s v="Mrs. Pham Thi Huong"/>
    <s v="10290-BD-20R"/>
    <n v="19"/>
    <s v="ROSE GOLD"/>
    <n v="-91063000"/>
    <s v="U"/>
    <n v="-82784545"/>
    <x v="2"/>
    <s v="0906328888"/>
    <n v="-40659754"/>
    <x v="0"/>
    <x v="0"/>
  </r>
  <r>
    <x v="1"/>
    <x v="1"/>
    <n v="13"/>
    <s v="SS17"/>
    <s v="JEWELRY"/>
    <s v="SS17"/>
    <n v="42124791"/>
    <n v="32782500"/>
    <d v="2020-03-23T00:00:00"/>
    <n v="109922"/>
    <s v="RWR2668"/>
    <x v="2"/>
    <x v="0"/>
    <s v="WACC"/>
    <n v="2668"/>
    <n v="1"/>
    <s v="Credit Card"/>
    <n v="91063000"/>
    <n v="82784545"/>
    <n v="0"/>
    <n v="0"/>
    <n v="0"/>
    <s v="Ha_Nguyen"/>
    <s v="NAK STUDS: 1.84CTS RECLAIMED MOGHUL-CUT BLACK DIAMOND, 0.48CTS PRINCESS-CUT WHITE DIAMOND AND RECYCLED 20K ROSE GOLD; 9.6MM IN DIAMETER; 7MM IN DIAMETER"/>
    <s v="Mrs. Pham Thi Huong"/>
    <s v="10290-BD-20R"/>
    <n v="11"/>
    <s v="ROSE GOLD"/>
    <n v="91063000"/>
    <s v="U"/>
    <n v="82784545"/>
    <x v="2"/>
    <s v="0906328888"/>
    <n v="40659754"/>
    <x v="0"/>
    <x v="0"/>
  </r>
  <r>
    <x v="1"/>
    <x v="7"/>
    <n v="42"/>
    <s v="FW12"/>
    <s v="JEWELRY"/>
    <s v="FW12"/>
    <n v="17531100"/>
    <n v="17531100"/>
    <d v="2020-10-13T00:00:00"/>
    <n v="42534"/>
    <s v="RHN6302"/>
    <x v="1"/>
    <x v="1"/>
    <s v="WACC"/>
    <n v="6302"/>
    <n v="1"/>
    <s v="Account"/>
    <n v="58437000"/>
    <n v="53124545"/>
    <n v="0"/>
    <n v="0"/>
    <n v="0"/>
    <s v="Ngoc_Nguyen"/>
    <s v="RM Silver ring-top (1 1/2mm)silver treated frame set with rubis-middle topaz"/>
    <s v="Tran Thuy Chi"/>
    <s v="JUNYA(V) S-ST C1 1/2 DIA(RU-TOP"/>
    <n v="10"/>
    <s v="SILVER"/>
    <n v="58437000"/>
    <n v="11"/>
    <n v="53124545"/>
    <x v="9"/>
    <s v="0982928535"/>
    <n v="35593445"/>
    <x v="0"/>
    <x v="2"/>
  </r>
  <r>
    <x v="1"/>
    <x v="7"/>
    <n v="42"/>
    <s v="FW17"/>
    <s v="JEWELRY"/>
    <s v="FW17"/>
    <n v="30000000"/>
    <n v="0"/>
    <d v="2020-10-16T00:00:00"/>
    <n v="116329"/>
    <s v="GIF134"/>
    <x v="3"/>
    <x v="2"/>
    <s v="WACC"/>
    <n v="134"/>
    <n v="1"/>
    <s v="None"/>
    <n v="0"/>
    <n v="0"/>
    <n v="100"/>
    <n v="27272727"/>
    <n v="30000000"/>
    <s v="Oanh_Do"/>
    <s v="TM SNAIL CHOKER 14KY NECKLACE (GOLD)"/>
    <s v="GLOBAL LINK CORPORATION"/>
    <s v="SNAIL CHOKER 14KY"/>
    <n v="10"/>
    <m/>
    <n v="30000000"/>
    <s v="U"/>
    <n v="27272727"/>
    <x v="1"/>
    <m/>
    <n v="-30000000"/>
    <x v="1"/>
    <x v="0"/>
  </r>
  <r>
    <x v="1"/>
    <x v="7"/>
    <n v="42"/>
    <s v="SS17"/>
    <s v="JEWELRY"/>
    <s v="SS17"/>
    <n v="13991896"/>
    <n v="10827625"/>
    <d v="2020-10-16T00:00:00"/>
    <n v="109008"/>
    <s v="LOA135"/>
    <x v="0"/>
    <x v="3"/>
    <s v="WACC"/>
    <n v="135"/>
    <n v="1"/>
    <s v="Check"/>
    <n v="27907000"/>
    <n v="25370000"/>
    <n v="0"/>
    <n v="0"/>
    <n v="0"/>
    <s v="Oanh_Do"/>
    <s v="SPK Sirius SG Single band of sterling silver with 18k yellow gold accents and micro-pavé black diamonds"/>
    <s v="Mrs. Bui Lan"/>
    <s v="SG12-R-G4S2YGAPCG"/>
    <n v="15"/>
    <s v="GOLD"/>
    <n v="27907000"/>
    <n v="6.5"/>
    <n v="25370000"/>
    <x v="1"/>
    <s v="0903751574"/>
    <n v="11378104"/>
    <x v="1"/>
    <x v="0"/>
  </r>
  <r>
    <x v="1"/>
    <x v="7"/>
    <n v="44"/>
    <s v="SS18"/>
    <s v="RING"/>
    <s v="SS18"/>
    <n v="6026400"/>
    <n v="6026400.0000000009"/>
    <d v="2020-10-28T00:00:00"/>
    <n v="117957"/>
    <s v="LOA136"/>
    <x v="1"/>
    <x v="3"/>
    <s v="WACC"/>
    <n v="136"/>
    <n v="1"/>
    <s v="Account"/>
    <n v="6026392.2199999997"/>
    <n v="5478538"/>
    <n v="65.56"/>
    <n v="10426916"/>
    <n v="11469607.779999999"/>
    <s v="Oanh_Do"/>
    <s v="RM SILVER RING INTO 2:(1)TOP 18KT PINK GOLD FLAT LEAF (1)SILVER FRAME-MIDDLE WHITE SAPPHIRE"/>
    <s v="Mrs. Tran Thi Hoai Anh"/>
    <s v="NOUFA (4)S-GP-S DIX (SA.BLANC)"/>
    <n v="11"/>
    <s v="PINK GOLD/WH"/>
    <n v="17496000"/>
    <n v="11"/>
    <n v="15905455"/>
    <x v="1"/>
    <s v="0908039899"/>
    <n v="-547862"/>
    <x v="1"/>
    <x v="0"/>
  </r>
  <r>
    <x v="1"/>
    <x v="7"/>
    <n v="44"/>
    <s v="SS18"/>
    <s v="RING"/>
    <s v="SS18"/>
    <n v="7365600"/>
    <n v="7365600.0000000009"/>
    <d v="2020-10-28T00:00:00"/>
    <n v="117959"/>
    <s v="LOA136"/>
    <x v="1"/>
    <x v="3"/>
    <s v="WACC"/>
    <n v="136"/>
    <n v="1"/>
    <s v="Account"/>
    <n v="7365718.7999999998"/>
    <n v="6696108"/>
    <n v="65.55"/>
    <n v="12743892"/>
    <n v="14018281.199999999"/>
    <s v="Oanh_Do"/>
    <s v="RM SILVER TWISTED BELL FLOWER RING-TOP SILVER-MIDDLE silver"/>
    <s v="Mrs. Tran Thi Hoai Anh"/>
    <s v="SAXO (4) S-S-S"/>
    <n v="11"/>
    <s v="SILVER"/>
    <n v="21384000"/>
    <n v="12"/>
    <n v="19440000"/>
    <x v="1"/>
    <s v="0908039899"/>
    <n v="-669492"/>
    <x v="1"/>
    <x v="0"/>
  </r>
  <r>
    <x v="2"/>
    <x v="0"/>
    <n v="3"/>
    <s v="SS18"/>
    <s v="EARRINGS"/>
    <s v="SS18"/>
    <n v="848160"/>
    <n v="848160.00000000012"/>
    <d v="2021-01-14T00:00:00"/>
    <n v="117922"/>
    <s v="RWR3812"/>
    <x v="1"/>
    <x v="0"/>
    <s v="WACC"/>
    <n v="3812"/>
    <n v="1"/>
    <s v="Split"/>
    <n v="2463000"/>
    <n v="2239091"/>
    <n v="0"/>
    <n v="0"/>
    <n v="0"/>
    <s v="Ha_Nguyen"/>
    <s v="RM SILVER STUDS FLOWERS EARRINGS"/>
    <s v="Ms. Luu Thi Thuy Linh"/>
    <s v="BO NILOUFAR (3)(D)"/>
    <n v="14"/>
    <s v="SILVER"/>
    <n v="2463000"/>
    <s v="U"/>
    <n v="2239091"/>
    <x v="1"/>
    <s v="0938335357"/>
    <n v="1390931"/>
    <x v="0"/>
    <x v="0"/>
  </r>
  <r>
    <x v="2"/>
    <x v="0"/>
    <n v="3"/>
    <s v="FW16"/>
    <s v="JEWELRY"/>
    <s v="FW16"/>
    <n v="2284200"/>
    <n v="2284200"/>
    <d v="2021-01-16T00:00:00"/>
    <n v="90589"/>
    <s v="RWR3823"/>
    <x v="1"/>
    <x v="0"/>
    <s v="WACC"/>
    <n v="3823"/>
    <n v="1"/>
    <s v="Credit Card"/>
    <n v="7614000"/>
    <n v="6921818"/>
    <n v="0"/>
    <n v="0"/>
    <n v="0"/>
    <s v="Ha_Nguyen"/>
    <s v="RM SILVER SNAKE RING(Mat)"/>
    <s v="Mrs. Nguyen Thi Thuc Anh"/>
    <s v="PENN"/>
    <n v="20"/>
    <m/>
    <n v="7614000"/>
    <n v="13"/>
    <n v="6921818"/>
    <x v="15"/>
    <s v="0903017249"/>
    <n v="4637618"/>
    <x v="0"/>
    <x v="1"/>
  </r>
  <r>
    <x v="2"/>
    <x v="0"/>
    <n v="5"/>
    <s v="FW17"/>
    <s v="JEWELRY"/>
    <s v="FW17"/>
    <n v="12102500"/>
    <n v="12102500"/>
    <d v="2021-01-27T00:00:00"/>
    <n v="117905"/>
    <s v="RHN7226"/>
    <x v="1"/>
    <x v="1"/>
    <s v="WACC"/>
    <n v="7226"/>
    <n v="1"/>
    <s v="Split"/>
    <n v="36308000"/>
    <n v="33007273"/>
    <n v="0"/>
    <n v="0"/>
    <n v="0"/>
    <s v="Huyen_Dang"/>
    <s v="RM EARRINGS"/>
    <s v="Le Thi Hong Hong"/>
    <s v="BO ATOLL(D) DIA ICY CRIS+ B(S)"/>
    <n v="18"/>
    <s v="ICY GRIS"/>
    <n v="36308000"/>
    <s v="U"/>
    <n v="33007273"/>
    <x v="14"/>
    <s v="0982610062"/>
    <n v="20904773"/>
    <x v="0"/>
    <x v="1"/>
  </r>
  <r>
    <x v="2"/>
    <x v="9"/>
    <n v="9"/>
    <s v="FW13"/>
    <s v="JEWELRY"/>
    <s v="FW13"/>
    <n v="8591400"/>
    <n v="8591400"/>
    <d v="2021-02-27T00:00:00"/>
    <n v="53343"/>
    <s v="RHN7386"/>
    <x v="1"/>
    <x v="1"/>
    <s v="WACC"/>
    <n v="7386"/>
    <n v="1"/>
    <s v="Credit Card"/>
    <n v="29593000"/>
    <n v="26902727"/>
    <n v="0"/>
    <n v="0"/>
    <n v="0"/>
    <s v="Ngoc_Nguyen"/>
    <s v="RM SILVER RING-TOP SILVER TREATED BANGLE FRAMED WITH ICY GREY DIAMONDS"/>
    <s v="Mrs. Tran Thanh Ly"/>
    <s v="BIKRAM(V) S-ST DIX (ICY GRIS)"/>
    <n v="14"/>
    <s v="SILVER/GREY"/>
    <n v="29593000"/>
    <n v="12"/>
    <n v="26902727"/>
    <x v="10"/>
    <s v="0983861971"/>
    <n v="18311327"/>
    <x v="0"/>
    <x v="1"/>
  </r>
  <r>
    <x v="2"/>
    <x v="9"/>
    <n v="9"/>
    <s v="SS12"/>
    <s v="JEWELRY"/>
    <s v="SS12"/>
    <n v="4712400"/>
    <n v="6490260"/>
    <d v="2021-02-27T00:00:00"/>
    <n v="37084"/>
    <s v="RHN7386"/>
    <x v="1"/>
    <x v="1"/>
    <s v="WACC"/>
    <n v="7386"/>
    <n v="1"/>
    <s v="Credit Card"/>
    <n v="17625000"/>
    <n v="16022727"/>
    <n v="0"/>
    <n v="0"/>
    <n v="0"/>
    <s v="Ngoc_Nguyen"/>
    <s v="RM Silver treated ring-top silver treated frame-middle curved silver polish"/>
    <s v="Mrs. Tran Thanh Ly"/>
    <s v="BEGUM R (TB)ST-ST-S"/>
    <n v="14"/>
    <s v="SILVER"/>
    <n v="17625000"/>
    <n v="11"/>
    <n v="16022727"/>
    <x v="10"/>
    <s v="0983861971"/>
    <n v="11310327"/>
    <x v="0"/>
    <x v="1"/>
  </r>
  <r>
    <x v="2"/>
    <x v="1"/>
    <n v="12"/>
    <s v="FW17"/>
    <s v="JEWELRY"/>
    <s v="FW17"/>
    <n v="34662000"/>
    <n v="34662000"/>
    <d v="2021-03-17T00:00:00"/>
    <n v="116338"/>
    <s v="RWR4019"/>
    <x v="3"/>
    <x v="0"/>
    <s v="WACC"/>
    <n v="4019"/>
    <n v="1"/>
    <s v="Credit Card"/>
    <n v="47088000"/>
    <n v="42807273"/>
    <n v="0"/>
    <n v="0"/>
    <n v="0"/>
    <s v="Ha_Nguyen"/>
    <s v="TM HEXAGONAL TRAPICHE TOURMALINE STUD EARRINGS 18K"/>
    <s v="Mrs. Tran Hai Anh"/>
    <s v="GK 478"/>
    <n v="19"/>
    <s v="GREEN GOLD"/>
    <n v="47088000"/>
    <s v="U"/>
    <n v="42807273"/>
    <x v="4"/>
    <s v="0912858889"/>
    <n v="8145273"/>
    <x v="0"/>
    <x v="1"/>
  </r>
  <r>
    <x v="2"/>
    <x v="3"/>
    <n v="20"/>
    <s v="SS17"/>
    <s v="JEWELRY"/>
    <s v="SS17"/>
    <n v="13255481"/>
    <n v="10257750"/>
    <d v="2021-05-12T00:00:00"/>
    <n v="108996"/>
    <s v="RWR4269"/>
    <x v="0"/>
    <x v="0"/>
    <s v="WACC"/>
    <n v="4269"/>
    <n v="1"/>
    <s v="Credit Card"/>
    <n v="26438000"/>
    <n v="24034545"/>
    <n v="0"/>
    <n v="0"/>
    <n v="0"/>
    <s v="Ha_Nguyen"/>
    <s v="SPK Orion 3 linked rings in silver with 18k gold connectors and accents"/>
    <s v="Ms. Truong An Phuong"/>
    <s v="SG2-R-G3SRGGAL"/>
    <n v="12"/>
    <s v="GOLD"/>
    <n v="26438000"/>
    <n v="6"/>
    <n v="24034545"/>
    <x v="4"/>
    <s v="0968267157"/>
    <n v="10779064"/>
    <x v="0"/>
    <x v="1"/>
  </r>
  <r>
    <x v="2"/>
    <x v="3"/>
    <n v="20"/>
    <s v="SS17"/>
    <s v="JEWELRY"/>
    <s v="SS17"/>
    <n v="7364157"/>
    <n v="5698750"/>
    <d v="2021-05-12T00:00:00"/>
    <n v="108991"/>
    <s v="RWR4270"/>
    <x v="0"/>
    <x v="0"/>
    <s v="WACC"/>
    <n v="4270"/>
    <n v="1"/>
    <s v="Credit Card"/>
    <n v="14688000"/>
    <n v="13352727"/>
    <n v="0"/>
    <n v="0"/>
    <n v="0"/>
    <s v="Ha_Nguyen"/>
    <s v="SPK Raneth Silver 3 linked rings in sterlin silver with silver connectors and accents"/>
    <s v="Ms. Truong An Phuong"/>
    <s v="SG9-R-G3LSGA"/>
    <n v="13"/>
    <s v="SILVER"/>
    <n v="14688000"/>
    <n v="6.5"/>
    <n v="13352727"/>
    <x v="4"/>
    <s v="0968267157"/>
    <n v="5988570"/>
    <x v="0"/>
    <x v="1"/>
  </r>
  <r>
    <x v="2"/>
    <x v="4"/>
    <n v="25"/>
    <s v="FW16"/>
    <s v="JEWELRY"/>
    <s v="FW16"/>
    <n v="2030400"/>
    <n v="2030400.0000000002"/>
    <d v="2021-06-19T00:00:00"/>
    <n v="90562"/>
    <s v="RHN8070"/>
    <x v="1"/>
    <x v="1"/>
    <s v="WACC"/>
    <n v="8070"/>
    <n v="1"/>
    <s v="Credit Card"/>
    <n v="6768000"/>
    <n v="6152727"/>
    <n v="0"/>
    <n v="0"/>
    <n v="0"/>
    <s v="Ngoc_Nguyen"/>
    <s v="RM SILVER RING-TOP SILVER HEAD SET WITH (1) RUBIS"/>
    <s v="Mrs. Tran Thanh Ly"/>
    <s v="NEGIA DIX"/>
    <n v="13"/>
    <s v="RUBIS"/>
    <n v="6768000"/>
    <n v="12"/>
    <n v="6152727"/>
    <x v="3"/>
    <s v="0983861971"/>
    <n v="4122327"/>
    <x v="0"/>
    <x v="1"/>
  </r>
  <r>
    <x v="2"/>
    <x v="4"/>
    <n v="25"/>
    <s v="FW16"/>
    <s v="JEWELRY"/>
    <s v="FW16"/>
    <n v="3595500"/>
    <n v="3595500"/>
    <d v="2021-06-19T00:00:00"/>
    <n v="90556"/>
    <s v="RHN8071"/>
    <x v="1"/>
    <x v="1"/>
    <s v="WACC"/>
    <n v="8071"/>
    <n v="1"/>
    <s v="Credit Card"/>
    <n v="11985000"/>
    <n v="10895455"/>
    <n v="0"/>
    <n v="0"/>
    <n v="0"/>
    <s v="Ngoc_Nguyen"/>
    <s v="RM SILVER RING-TOP SILVER TREATED HEAD SET WITH BLACK DIAMONDS"/>
    <s v="Mrs. Tran Thanh Ly"/>
    <s v="WOINA (R )S-ST DIX"/>
    <n v="13"/>
    <s v="BLACK"/>
    <n v="11985000"/>
    <n v="13"/>
    <n v="10895455"/>
    <x v="9"/>
    <s v="0983861971"/>
    <n v="7299955"/>
    <x v="0"/>
    <x v="2"/>
  </r>
  <r>
    <x v="2"/>
    <x v="8"/>
    <n v="52"/>
    <s v="FW16"/>
    <s v="JEWELRY"/>
    <s v="FW16"/>
    <n v="9475200"/>
    <n v="9475200"/>
    <d v="2021-12-22T00:00:00"/>
    <n v="90573"/>
    <s v="LOA199"/>
    <x v="1"/>
    <x v="3"/>
    <s v="WACC"/>
    <n v="199"/>
    <n v="1"/>
    <s v="None"/>
    <n v="0"/>
    <n v="0"/>
    <n v="100"/>
    <n v="28712727"/>
    <n v="31584000"/>
    <s v="thu_trang"/>
    <s v="RM TWISTED SILVER SNAKE RING-HEAD SILVER TREATED FRAME SET WITH ICY GREY DIAMONDS-MIDDLE SILVER"/>
    <s v="GLOBAL LINK CORPORATION"/>
    <s v="TOKO (3)(VP)(TW)S-ST-S DIX"/>
    <n v="15"/>
    <s v="ICY GRIS(2)"/>
    <n v="31584000"/>
    <n v="12"/>
    <n v="28712727"/>
    <x v="16"/>
    <m/>
    <n v="-9475200"/>
    <x v="1"/>
    <x v="2"/>
  </r>
  <r>
    <x v="2"/>
    <x v="8"/>
    <n v="52"/>
    <s v="FW16"/>
    <s v="JEWELRY"/>
    <s v="FW16"/>
    <n v="9771300"/>
    <n v="9771300"/>
    <d v="2021-12-22T00:00:00"/>
    <n v="90572"/>
    <s v="LOA199"/>
    <x v="1"/>
    <x v="3"/>
    <s v="WACC"/>
    <n v="199"/>
    <n v="1"/>
    <s v="None"/>
    <n v="0"/>
    <n v="0"/>
    <n v="100"/>
    <n v="29610000"/>
    <n v="32571000"/>
    <s v="thu_trang"/>
    <s v="RM TWISTED SILVER ROUND RING-TOP SILVER TREATED FRAME SET WITH ICY GREY DIAMONDS-MIDDLE SMOKY QUARTZ"/>
    <s v="GLOBAL LINK CORPORATION"/>
    <s v="TOVE(5)(TW) S-ST DIA"/>
    <n v="15"/>
    <s v="ICY GRIS(1)-S.QT"/>
    <n v="32571000"/>
    <n v="12"/>
    <n v="29610000"/>
    <x v="16"/>
    <m/>
    <n v="-9771300"/>
    <x v="1"/>
    <x v="2"/>
  </r>
  <r>
    <x v="3"/>
    <x v="0"/>
    <n v="3"/>
    <s v="SS17"/>
    <s v="JEWELRY"/>
    <s v="SS17"/>
    <n v="13255481"/>
    <n v="10257750"/>
    <d v="2022-01-13T00:00:00"/>
    <n v="108999"/>
    <s v="RWR4724"/>
    <x v="0"/>
    <x v="0"/>
    <s v="WACC"/>
    <n v="4724"/>
    <n v="1"/>
    <s v="Split"/>
    <n v="26438000"/>
    <n v="24034545"/>
    <n v="0"/>
    <n v="0"/>
    <n v="0"/>
    <s v="Nghia_Nguyen"/>
    <s v="SPK Orion 3 linked rings in silver with 18k gold connectors and accents"/>
    <s v="Mrs. Le Thu Ngan"/>
    <s v="SG2-R-G3SRGGAL"/>
    <n v="13"/>
    <s v="GOLD"/>
    <n v="26438000"/>
    <n v="7.5"/>
    <n v="24034545"/>
    <x v="17"/>
    <s v="0983352011"/>
    <n v="10779064"/>
    <x v="0"/>
    <x v="0"/>
  </r>
  <r>
    <x v="3"/>
    <x v="9"/>
    <n v="7"/>
    <s v="SS18"/>
    <s v="RING"/>
    <s v="SS18"/>
    <n v="6026400"/>
    <n v="6026400.0000000009"/>
    <d v="2022-02-12T00:00:00"/>
    <n v="117947"/>
    <s v="RWR4911"/>
    <x v="1"/>
    <x v="0"/>
    <s v="WACC"/>
    <n v="4911"/>
    <n v="1"/>
    <s v="Credit Card"/>
    <n v="15746400"/>
    <n v="14580000"/>
    <n v="10"/>
    <n v="1620000"/>
    <n v="1749600"/>
    <s v="Ha_Nguyen"/>
    <s v="RM SILVER RING-TOP SILVER TREATED FRAME SET WITH  ICY GREY DIAMONDS-MIDDLE LEMON QUARTZ"/>
    <s v="Mrs. Duong Quynh Huong"/>
    <s v="BEENU(TH)S-ST DIA (ICY GRIS-LEM"/>
    <n v="16"/>
    <s v="ICY GREY/LEM"/>
    <n v="17496000"/>
    <n v="12"/>
    <n v="16200000"/>
    <x v="15"/>
    <s v="0937369369"/>
    <n v="8553600"/>
    <x v="0"/>
    <x v="1"/>
  </r>
  <r>
    <x v="3"/>
    <x v="9"/>
    <n v="8"/>
    <s v="SS18"/>
    <s v="EARRINGS"/>
    <s v="SS18"/>
    <n v="16293600"/>
    <n v="16293600.000000002"/>
    <d v="2022-02-14T00:00:00"/>
    <n v="117918"/>
    <s v="RHN9184"/>
    <x v="1"/>
    <x v="1"/>
    <s v="WACC"/>
    <n v="9184"/>
    <n v="1"/>
    <s v="Credit Card"/>
    <n v="42573600"/>
    <n v="39420000"/>
    <n v="10"/>
    <n v="4380000"/>
    <n v="4730400"/>
    <s v="Nghia_Nguyen"/>
    <s v="RM 18KT YELLOW GOLD DROP EARRING-TOP 18KT YELLOW GOLD BANGLE SET WITH ICY GREY DIAMONDS- MIDDLE SMOKY QUARTZ(Transparent)"/>
    <s v="Ms. Pham Thi Cam Ly"/>
    <s v="BO 113 (V)GY DIA (ICY GRIS-S.QT"/>
    <n v="13"/>
    <s v="YELLOW GOLD/"/>
    <n v="47304000"/>
    <s v="U"/>
    <n v="43800000"/>
    <x v="14"/>
    <s v="0913212299"/>
    <n v="23126400"/>
    <x v="0"/>
    <x v="1"/>
  </r>
  <r>
    <x v="3"/>
    <x v="2"/>
    <n v="16"/>
    <s v="FW16"/>
    <s v="JEWELRY"/>
    <s v="FW16"/>
    <n v="-9771300"/>
    <n v="-9771300"/>
    <d v="2022-04-13T00:00:00"/>
    <n v="90572"/>
    <s v="LOA290"/>
    <x v="1"/>
    <x v="3"/>
    <s v="WACC"/>
    <n v="290"/>
    <n v="-1"/>
    <s v="None"/>
    <n v="0"/>
    <n v="0"/>
    <n v="100"/>
    <n v="-30158333"/>
    <n v="-32571000"/>
    <s v="son_tran"/>
    <s v="RM TWISTED SILVER ROUND RING-TOP SILVER TREATED FRAME SET WITH ICY GREY DIAMONDS-MIDDLE SMOKY QUARTZ"/>
    <s v="GLOBAL LINK CORPORATION"/>
    <s v="TOVE(5)(TW) S-ST DIA"/>
    <n v="10"/>
    <s v="ICY GRIS(1)-S.QT"/>
    <n v="-32571000"/>
    <n v="12"/>
    <n v="-30158333"/>
    <x v="16"/>
    <m/>
    <n v="9771300"/>
    <x v="1"/>
    <x v="2"/>
  </r>
  <r>
    <x v="3"/>
    <x v="2"/>
    <n v="16"/>
    <s v="FW16"/>
    <s v="JEWELRY"/>
    <s v="FW16"/>
    <n v="-9475200"/>
    <n v="-9475200"/>
    <d v="2022-04-13T00:00:00"/>
    <n v="90573"/>
    <s v="LOA289"/>
    <x v="1"/>
    <x v="3"/>
    <s v="WACC"/>
    <n v="289"/>
    <n v="-1"/>
    <s v="None"/>
    <n v="0"/>
    <n v="0"/>
    <n v="100"/>
    <n v="-29244444"/>
    <n v="-31584000"/>
    <s v="son_tran"/>
    <s v="RM TWISTED SILVER SNAKE RING-HEAD SILVER TREATED FRAME SET WITH ICY GREY DIAMONDS-MIDDLE SILVER"/>
    <s v="GLOBAL LINK CORPORATION"/>
    <s v="TOKO (3)(VP)(TW)S-ST-S DIX"/>
    <n v="10"/>
    <s v="ICY GRIS(2)"/>
    <n v="-31584000"/>
    <n v="12"/>
    <n v="-29244444"/>
    <x v="16"/>
    <m/>
    <n v="9475200"/>
    <x v="1"/>
    <x v="2"/>
  </r>
  <r>
    <x v="3"/>
    <x v="2"/>
    <n v="18"/>
    <s v="SS12"/>
    <s v="JEWELRY"/>
    <s v="SS12"/>
    <n v="6177600"/>
    <n v="6177600"/>
    <d v="2022-04-25T00:00:00"/>
    <n v="37073"/>
    <s v="RHN174"/>
    <x v="1"/>
    <x v="1"/>
    <s v="WACC"/>
    <n v="174"/>
    <n v="1"/>
    <s v="Credit Card"/>
    <n v="23105000"/>
    <n v="21393519"/>
    <n v="0"/>
    <n v="0"/>
    <n v="0"/>
    <s v="Ngoc_Nguyen"/>
    <s v="RM Silver treated ring-top middle blue sapphire"/>
    <s v="Mrs. Tran Thanh Ly"/>
    <s v="BELQUIS R (TH)ST DIX"/>
    <n v="15"/>
    <s v="Silver/blue"/>
    <n v="23105000"/>
    <n v="10"/>
    <n v="21393519"/>
    <x v="3"/>
    <s v="0983861971"/>
    <n v="15215919"/>
    <x v="0"/>
    <x v="1"/>
  </r>
  <r>
    <x v="3"/>
    <x v="3"/>
    <n v="21"/>
    <s v="SS17"/>
    <s v="JEWELRY"/>
    <s v="SS17"/>
    <n v="-26510963"/>
    <n v="-20515500"/>
    <d v="2022-05-19T00:00:00"/>
    <n v="109005"/>
    <s v="GIF297"/>
    <x v="0"/>
    <x v="2"/>
    <s v="WACC"/>
    <n v="297"/>
    <n v="-1"/>
    <s v="None"/>
    <n v="0"/>
    <n v="0"/>
    <n v="100"/>
    <n v="-48958333"/>
    <n v="-52875000"/>
    <s v="son_tran"/>
    <s v="SPK Libra SG 3 linked rings in silver with yellow gold connectors and micro-pave grey diamonds"/>
    <s v="Cong ty Globallink"/>
    <s v="SG12-R-G3MXMMXGC"/>
    <n v="14"/>
    <s v="GOLD"/>
    <n v="-52875000"/>
    <n v="7"/>
    <n v="-48958333"/>
    <x v="1"/>
    <m/>
    <n v="26510963"/>
    <x v="1"/>
    <x v="0"/>
  </r>
  <r>
    <x v="3"/>
    <x v="10"/>
    <n v="28"/>
    <s v="FW22"/>
    <s v="NECKLACE"/>
    <s v="FW22"/>
    <n v="1641228"/>
    <n v="1430750"/>
    <d v="2022-07-06T00:00:00"/>
    <n v="174875"/>
    <s v="RWR5495"/>
    <x v="4"/>
    <x v="0"/>
    <s v="WACC"/>
    <n v="5495"/>
    <n v="1"/>
    <s v="Debit Card"/>
    <n v="7168500"/>
    <n v="6637500"/>
    <n v="10"/>
    <n v="737500"/>
    <n v="796500"/>
    <s v="Nghia_Nguyen"/>
    <s v="GEO - NECKLACE AMETHIST"/>
    <s v="Ms. Le Thi Thuy Hanh"/>
    <s v="E4"/>
    <n v="13"/>
    <s v="VIOLET"/>
    <n v="7965000"/>
    <s v="UN"/>
    <n v="7375000"/>
    <x v="17"/>
    <s v="0903288262"/>
    <n v="4996272"/>
    <x v="0"/>
    <x v="0"/>
  </r>
  <r>
    <x v="3"/>
    <x v="10"/>
    <n v="29"/>
    <s v="FW22"/>
    <s v="NECKLACE"/>
    <s v="FW22"/>
    <n v="1279142"/>
    <n v="1115100"/>
    <d v="2022-07-12T00:00:00"/>
    <n v="174869"/>
    <s v="RHN580"/>
    <x v="4"/>
    <x v="1"/>
    <s v="WACC"/>
    <n v="580"/>
    <n v="1"/>
    <s v="Split"/>
    <n v="5575500"/>
    <n v="5162500"/>
    <n v="10"/>
    <n v="573611"/>
    <n v="619500"/>
    <s v="Ngoc_Nguyen"/>
    <s v="GEO - NECKLACE PEARL"/>
    <s v="Ms. To Thi Hanh"/>
    <s v="D2"/>
    <n v="18"/>
    <s v="WHITE"/>
    <n v="6195000"/>
    <s v="UN"/>
    <n v="5736111"/>
    <x v="18"/>
    <s v="0916671961"/>
    <n v="3883358"/>
    <x v="0"/>
    <x v="2"/>
  </r>
  <r>
    <x v="3"/>
    <x v="10"/>
    <n v="29"/>
    <s v="FW22"/>
    <s v="NECKLACE"/>
    <s v="FW22"/>
    <n v="1759667"/>
    <n v="1534000"/>
    <d v="2022-07-12T00:00:00"/>
    <n v="174880"/>
    <s v="RHN580"/>
    <x v="4"/>
    <x v="1"/>
    <s v="WACC"/>
    <n v="580"/>
    <n v="1"/>
    <s v="Split"/>
    <n v="7699500"/>
    <n v="7129167"/>
    <n v="10"/>
    <n v="792130"/>
    <n v="855500"/>
    <s v="Ngoc_Nguyen"/>
    <s v="GEO - NECKLACE AGATE"/>
    <s v="Ms. To Thi Hanh"/>
    <s v="E8"/>
    <n v="18"/>
    <s v="CREAM"/>
    <n v="8555000"/>
    <s v="UN"/>
    <n v="7921296"/>
    <x v="19"/>
    <s v="0916671961"/>
    <n v="5369500"/>
    <x v="0"/>
    <x v="0"/>
  </r>
  <r>
    <x v="3"/>
    <x v="10"/>
    <n v="29"/>
    <s v="FW22"/>
    <s v="NECKLACE"/>
    <s v="FW22"/>
    <n v="2801931"/>
    <n v="2442600"/>
    <d v="2022-07-12T00:00:00"/>
    <n v="174896"/>
    <s v="RHN580"/>
    <x v="4"/>
    <x v="1"/>
    <s v="WACC"/>
    <n v="580"/>
    <n v="1"/>
    <s v="Split"/>
    <n v="12213000"/>
    <n v="11308333"/>
    <n v="10"/>
    <n v="1256481"/>
    <n v="1357000"/>
    <s v="Ngoc_Nguyen"/>
    <s v="GEO - NECKLACE PEARL"/>
    <s v="Ms. To Thi Hanh"/>
    <s v="I2"/>
    <n v="18"/>
    <s v="WHITE"/>
    <n v="13570000"/>
    <s v="UN"/>
    <n v="12564815"/>
    <x v="19"/>
    <s v="0916671961"/>
    <n v="8506402"/>
    <x v="0"/>
    <x v="0"/>
  </r>
  <r>
    <x v="3"/>
    <x v="10"/>
    <n v="29"/>
    <s v="FW22"/>
    <s v="NECKLACE"/>
    <s v="FW22"/>
    <n v="1641228"/>
    <n v="1430750"/>
    <d v="2022-07-12T00:00:00"/>
    <n v="174888"/>
    <s v="RHN580"/>
    <x v="4"/>
    <x v="1"/>
    <s v="WACC"/>
    <n v="580"/>
    <n v="1"/>
    <s v="Split"/>
    <n v="7168500"/>
    <n v="6637500"/>
    <n v="10"/>
    <n v="737500"/>
    <n v="796500"/>
    <s v="Ngoc_Nguyen"/>
    <s v="GEO - NECKLACE BLACK AGATE"/>
    <s v="Ms. To Thi Hanh"/>
    <s v="E4"/>
    <n v="18"/>
    <s v="BLACK"/>
    <n v="7965000"/>
    <s v="UN"/>
    <n v="7375000"/>
    <x v="19"/>
    <s v="0916671961"/>
    <n v="4996272"/>
    <x v="0"/>
    <x v="0"/>
  </r>
  <r>
    <x v="3"/>
    <x v="10"/>
    <n v="29"/>
    <s v="FW22"/>
    <s v="NECKLACE"/>
    <s v="FW22"/>
    <n v="2368783"/>
    <n v="2065000"/>
    <d v="2022-07-12T00:00:00"/>
    <n v="174902"/>
    <s v="RHN580"/>
    <x v="4"/>
    <x v="1"/>
    <s v="WACC"/>
    <n v="580"/>
    <n v="1"/>
    <s v="Split"/>
    <n v="10354500"/>
    <n v="9587500"/>
    <n v="10"/>
    <n v="1065278"/>
    <n v="1150500"/>
    <s v="Ngoc_Nguyen"/>
    <s v="GEO - NECKLACE AMBER"/>
    <s v="Ms. To Thi Hanh"/>
    <s v="G8"/>
    <n v="18"/>
    <s v="GOLD/BROWN"/>
    <n v="11505000"/>
    <s v="UN"/>
    <n v="10652778"/>
    <x v="19"/>
    <s v="0916671961"/>
    <n v="7218717"/>
    <x v="0"/>
    <x v="0"/>
  </r>
  <r>
    <x v="3"/>
    <x v="10"/>
    <n v="29"/>
    <s v="FW22"/>
    <s v="NECKLACE"/>
    <s v="FW22"/>
    <n v="4263807"/>
    <n v="3717000"/>
    <d v="2022-07-12T00:00:00"/>
    <n v="174859"/>
    <s v="RHN580"/>
    <x v="4"/>
    <x v="1"/>
    <s v="WACC"/>
    <n v="580"/>
    <n v="1"/>
    <s v="Split"/>
    <n v="21240000"/>
    <n v="19666667"/>
    <n v="10"/>
    <n v="2185185"/>
    <n v="2360000"/>
    <s v="Ngoc_Nguyen"/>
    <s v="GEO - NECKLACE PEARL"/>
    <s v="Ms. To Thi Hanh"/>
    <s v="A60"/>
    <n v="18"/>
    <s v="WHITE"/>
    <n v="23600000"/>
    <s v="UN"/>
    <n v="21851852"/>
    <x v="3"/>
    <s v="0916671961"/>
    <n v="15402860"/>
    <x v="0"/>
    <x v="1"/>
  </r>
  <r>
    <x v="3"/>
    <x v="10"/>
    <n v="29"/>
    <s v="FW22"/>
    <s v="NECKLACE"/>
    <s v="FW22"/>
    <n v="2554901"/>
    <n v="2227250"/>
    <d v="2022-07-14T00:00:00"/>
    <n v="174898"/>
    <s v="RHN588"/>
    <x v="4"/>
    <x v="1"/>
    <s v="WACC"/>
    <n v="588"/>
    <n v="1"/>
    <s v="Check"/>
    <n v="12390000"/>
    <n v="11472222"/>
    <n v="0"/>
    <n v="0"/>
    <n v="0"/>
    <s v="Ha_Nguyen"/>
    <s v="GEO - NECKLACE TOURMALINE"/>
    <s v="Ms. Nguyen Hong Thuy"/>
    <s v="H4"/>
    <n v="17"/>
    <s v="MUTI"/>
    <n v="12390000"/>
    <s v="UN"/>
    <n v="11472222"/>
    <x v="12"/>
    <s v="0988660486"/>
    <n v="8917321"/>
    <x v="0"/>
    <x v="2"/>
  </r>
  <r>
    <x v="3"/>
    <x v="10"/>
    <n v="30"/>
    <s v="FW22"/>
    <s v="NECKLACE"/>
    <s v="FW22"/>
    <n v="1759667"/>
    <n v="1534000"/>
    <d v="2022-07-23T00:00:00"/>
    <n v="174878"/>
    <s v="RHN644"/>
    <x v="4"/>
    <x v="1"/>
    <s v="WACC"/>
    <n v="644"/>
    <n v="1"/>
    <s v="Split"/>
    <n v="7699500"/>
    <n v="7129167"/>
    <n v="10"/>
    <n v="792130"/>
    <n v="855500"/>
    <s v="Huyen_Dang"/>
    <s v="GEO - NECKLACE LAPIS"/>
    <s v="Mrs. Nguyen Thi Linh San"/>
    <s v="E8"/>
    <n v="15"/>
    <s v="LAPIS"/>
    <n v="8555000"/>
    <s v="UN"/>
    <n v="7921296"/>
    <x v="3"/>
    <s v="0982246268"/>
    <n v="5369500"/>
    <x v="0"/>
    <x v="1"/>
  </r>
  <r>
    <x v="3"/>
    <x v="10"/>
    <n v="30"/>
    <s v="FW22"/>
    <s v="NECKLACE"/>
    <s v="FW22"/>
    <n v="1279142"/>
    <n v="1115100"/>
    <d v="2022-07-23T00:00:00"/>
    <n v="174867"/>
    <s v="RHN644"/>
    <x v="4"/>
    <x v="1"/>
    <s v="WACC"/>
    <n v="644"/>
    <n v="1"/>
    <s v="Split"/>
    <n v="5575500"/>
    <n v="5162500"/>
    <n v="10"/>
    <n v="573611"/>
    <n v="619500"/>
    <s v="Huyen_Dang"/>
    <s v="GEO - NECKLACE MOSS AGATE"/>
    <s v="Mrs. Nguyen Thi Linh San"/>
    <s v="D2"/>
    <n v="15"/>
    <s v="GREEN"/>
    <n v="6195000"/>
    <s v="UN"/>
    <n v="5736111"/>
    <x v="13"/>
    <s v="0982246268"/>
    <n v="3883358"/>
    <x v="0"/>
    <x v="0"/>
  </r>
  <r>
    <x v="3"/>
    <x v="10"/>
    <n v="30"/>
    <s v="FW22"/>
    <s v="EARRINGS"/>
    <s v="FW22"/>
    <n v="791850"/>
    <n v="690300"/>
    <d v="2022-07-24T00:00:00"/>
    <n v="174907"/>
    <s v="RHN650"/>
    <x v="4"/>
    <x v="1"/>
    <s v="WACC"/>
    <n v="650"/>
    <n v="1"/>
    <s v="Credit Card"/>
    <n v="3451500"/>
    <n v="3195833"/>
    <n v="10"/>
    <n v="355093"/>
    <n v="383500"/>
    <s v="Huyen_Dang"/>
    <s v="GEO - EARRING CORNELIAN"/>
    <s v="Ms. Nguyen thu Cuc"/>
    <s v="B6"/>
    <n v="18"/>
    <s v="RED"/>
    <n v="3835000"/>
    <s v="UN"/>
    <n v="3550926"/>
    <x v="18"/>
    <s v="0913022326"/>
    <n v="2403983"/>
    <x v="0"/>
    <x v="2"/>
  </r>
  <r>
    <x v="3"/>
    <x v="10"/>
    <n v="30"/>
    <s v="FW22"/>
    <s v="NECKLACE"/>
    <s v="FW22"/>
    <n v="1759667"/>
    <n v="1534000"/>
    <d v="2022-07-24T00:00:00"/>
    <n v="174887"/>
    <s v="RHN650"/>
    <x v="4"/>
    <x v="1"/>
    <s v="WACC"/>
    <n v="650"/>
    <n v="1"/>
    <s v="Credit Card"/>
    <n v="7699500"/>
    <n v="7129167"/>
    <n v="10"/>
    <n v="792130"/>
    <n v="855500"/>
    <s v="Huyen_Dang"/>
    <s v="GEO - NECKLACE CORNELIAN"/>
    <s v="Ms. Nguyen thu Cuc"/>
    <s v="E8"/>
    <n v="18"/>
    <s v="RED/GOLD"/>
    <n v="8555000"/>
    <s v="UN"/>
    <n v="7921296"/>
    <x v="18"/>
    <s v="0913022326"/>
    <n v="5369500"/>
    <x v="0"/>
    <x v="2"/>
  </r>
  <r>
    <x v="3"/>
    <x v="5"/>
    <n v="32"/>
    <s v="FW22"/>
    <s v="NECKLACE"/>
    <s v="FW22"/>
    <n v="2064225"/>
    <n v="1799500"/>
    <d v="2022-08-03T00:00:00"/>
    <n v="174892"/>
    <s v="RHN687"/>
    <x v="4"/>
    <x v="1"/>
    <s v="WACC"/>
    <n v="687"/>
    <n v="1"/>
    <s v="Split"/>
    <n v="9027000"/>
    <n v="8358333"/>
    <n v="10"/>
    <n v="928704"/>
    <n v="1003000"/>
    <s v="Ngoc_Nguyen"/>
    <s v="GEO - NECKLACE PEARL"/>
    <s v="Le Thi Hong Hong"/>
    <s v="F8"/>
    <n v="16"/>
    <s v="WHITE"/>
    <n v="10030000"/>
    <s v="UN"/>
    <n v="9287037"/>
    <x v="14"/>
    <s v="0982610062"/>
    <n v="6294108"/>
    <x v="0"/>
    <x v="1"/>
  </r>
  <r>
    <x v="3"/>
    <x v="5"/>
    <n v="32"/>
    <s v="FW22"/>
    <s v="NECKLACE"/>
    <s v="FW22"/>
    <n v="2064225"/>
    <n v="1799500"/>
    <d v="2022-08-06T00:00:00"/>
    <n v="174894"/>
    <s v="RHN701"/>
    <x v="4"/>
    <x v="1"/>
    <s v="WACC"/>
    <n v="701"/>
    <n v="1"/>
    <s v="Cash"/>
    <n v="9027000"/>
    <n v="8358333"/>
    <n v="10"/>
    <n v="928704"/>
    <n v="1003000"/>
    <s v="Ha_Nguyen"/>
    <s v="GEO - NECKLACE LAPIS"/>
    <s v="Mrs. Nguyen Thi Linh San"/>
    <s v="F8"/>
    <n v="10"/>
    <s v="LAPIS"/>
    <n v="10030000"/>
    <s v="UN"/>
    <n v="9287037"/>
    <x v="18"/>
    <s v="0982246268"/>
    <n v="6294108"/>
    <x v="0"/>
    <x v="2"/>
  </r>
  <r>
    <x v="3"/>
    <x v="5"/>
    <n v="32"/>
    <s v="FW22"/>
    <s v="NECKLACE"/>
    <s v="FW22"/>
    <n v="1759667"/>
    <n v="1534000"/>
    <d v="2022-08-06T00:00:00"/>
    <n v="174884"/>
    <s v="RHN701"/>
    <x v="4"/>
    <x v="1"/>
    <s v="WACC"/>
    <n v="701"/>
    <n v="1"/>
    <s v="Cash"/>
    <n v="7699500"/>
    <n v="7129167"/>
    <n v="10"/>
    <n v="792130"/>
    <n v="855500"/>
    <s v="Ha_Nguyen"/>
    <s v="GEO - NECKLACE MOSS AGATE"/>
    <s v="Mrs. Nguyen Thi Linh San"/>
    <s v="E8"/>
    <n v="10"/>
    <s v="GREEN"/>
    <n v="8555000"/>
    <s v="UN"/>
    <n v="7921296"/>
    <x v="18"/>
    <s v="0982246268"/>
    <n v="5369500"/>
    <x v="0"/>
    <x v="2"/>
  </r>
  <r>
    <x v="3"/>
    <x v="5"/>
    <n v="34"/>
    <s v="FW22"/>
    <s v="NECKLACE"/>
    <s v="FW22"/>
    <n v="1759667"/>
    <n v="1534000"/>
    <d v="2022-08-17T00:00:00"/>
    <n v="174879"/>
    <s v="RWR5691"/>
    <x v="4"/>
    <x v="0"/>
    <s v="WACC"/>
    <n v="5691"/>
    <n v="1"/>
    <s v="Credit Card"/>
    <n v="7699500"/>
    <n v="7129167"/>
    <n v="10"/>
    <n v="792130"/>
    <n v="855500"/>
    <s v="Nghia_Nguyen"/>
    <s v="GEO - NECKLACE LAPIS FUME'"/>
    <s v="Mrs. Nguyen Thi Thao Nhi"/>
    <s v="E8,"/>
    <n v="15"/>
    <s v="LAPIS."/>
    <n v="8555000"/>
    <s v="UN"/>
    <n v="7921296"/>
    <x v="4"/>
    <s v="0908297658"/>
    <n v="5369500"/>
    <x v="0"/>
    <x v="1"/>
  </r>
  <r>
    <x v="3"/>
    <x v="5"/>
    <n v="34"/>
    <s v="FW22"/>
    <s v="NECKLACE"/>
    <s v="FW22"/>
    <n v="5414359"/>
    <n v="4720000"/>
    <d v="2022-08-17T00:00:00"/>
    <n v="174858"/>
    <s v="RWR5691"/>
    <x v="4"/>
    <x v="0"/>
    <s v="WACC"/>
    <n v="5691"/>
    <n v="1"/>
    <s v="Credit Card"/>
    <n v="26284500"/>
    <n v="24337500"/>
    <n v="10"/>
    <n v="2704167"/>
    <n v="2920500"/>
    <s v="Nghia_Nguyen"/>
    <s v="GEO - NECKLACE PEARL"/>
    <s v="Mrs. Nguyen Thi Thao Nhi"/>
    <s v="A8P,"/>
    <n v="15"/>
    <s v="YELLOW."/>
    <n v="29205000"/>
    <s v="UN"/>
    <n v="27041667"/>
    <x v="4"/>
    <s v="0908297658"/>
    <n v="18923141"/>
    <x v="0"/>
    <x v="1"/>
  </r>
  <r>
    <x v="3"/>
    <x v="5"/>
    <n v="34"/>
    <s v="FW22"/>
    <s v="NECKLACE"/>
    <s v="FW22"/>
    <n v="1583701"/>
    <n v="1380600"/>
    <d v="2022-08-17T00:00:00"/>
    <n v="174886"/>
    <s v="RWR5691"/>
    <x v="4"/>
    <x v="0"/>
    <s v="WACC"/>
    <n v="5691"/>
    <n v="1"/>
    <s v="Credit Card"/>
    <n v="6903000"/>
    <n v="6391667"/>
    <n v="10"/>
    <n v="710185"/>
    <n v="767000"/>
    <s v="Nghia_Nguyen"/>
    <s v="GEO - NECKLACE MOSS AGATE"/>
    <s v="Mrs. Nguyen Thi Thao Nhi"/>
    <s v="E2"/>
    <n v="15"/>
    <s v="GREEN"/>
    <n v="7670000"/>
    <s v="UN"/>
    <n v="7101852"/>
    <x v="4"/>
    <s v="0908297658"/>
    <n v="4807966"/>
    <x v="0"/>
    <x v="1"/>
  </r>
  <r>
    <x v="3"/>
    <x v="5"/>
    <n v="35"/>
    <s v="SS13"/>
    <s v="JEWELRY"/>
    <s v="SS13"/>
    <n v="11262801"/>
    <n v="11262801.140000001"/>
    <d v="2022-08-25T00:00:00"/>
    <n v="52829"/>
    <s v="RWR5761"/>
    <x v="1"/>
    <x v="0"/>
    <s v="WACC"/>
    <n v="5761"/>
    <n v="1"/>
    <s v="Credit Card"/>
    <n v="33785100"/>
    <n v="31282500"/>
    <n v="10"/>
    <n v="3475833"/>
    <n v="3753900"/>
    <s v="Nghia_Nguyen"/>
    <s v="RM Silver ring-top silver treated frame set with icy grey diamonds-middle silver concave(mat)"/>
    <s v="Mrs. Duong Quynh Huong"/>
    <s v="BEGUM(TB) S-ST-S DIX (ICY GRIS)"/>
    <n v="13"/>
    <s v="SILVER/GREY"/>
    <n v="37539000"/>
    <n v="10"/>
    <n v="34758333"/>
    <x v="15"/>
    <s v="0937369369"/>
    <n v="20019699"/>
    <x v="0"/>
    <x v="1"/>
  </r>
  <r>
    <x v="3"/>
    <x v="5"/>
    <n v="35"/>
    <s v="FW22"/>
    <s v="NECKLACE"/>
    <s v="FW22"/>
    <n v="3654692"/>
    <n v="3186000"/>
    <d v="2022-08-28T00:00:00"/>
    <n v="174856"/>
    <s v="RWR5778"/>
    <x v="4"/>
    <x v="0"/>
    <s v="WACC"/>
    <n v="5778"/>
    <n v="1"/>
    <s v="Split"/>
    <n v="20650000"/>
    <n v="19120370"/>
    <n v="0"/>
    <n v="0"/>
    <n v="0"/>
    <s v="Nghia_Nguyen"/>
    <s v="GEO - NECKLACE AMETHIST"/>
    <s v="Mr. Le Thanh Hung"/>
    <s v="A40"/>
    <n v="10"/>
    <s v="MIX ROSE"/>
    <n v="20650000"/>
    <s v="UN"/>
    <n v="19120370"/>
    <x v="20"/>
    <s v="0986166668"/>
    <n v="15465678"/>
    <x v="0"/>
    <x v="0"/>
  </r>
  <r>
    <x v="3"/>
    <x v="6"/>
    <n v="37"/>
    <s v="FW22"/>
    <s v="NECKLACE"/>
    <s v="FW22"/>
    <n v="2064225"/>
    <n v="1799500"/>
    <d v="2022-09-11T00:00:00"/>
    <n v="174893"/>
    <s v="RWR5837"/>
    <x v="4"/>
    <x v="0"/>
    <s v="WACC"/>
    <n v="5837"/>
    <n v="1"/>
    <s v="Credit Card"/>
    <n v="10030000"/>
    <n v="9287037"/>
    <n v="0"/>
    <n v="0"/>
    <n v="0"/>
    <s v="Nghia_Nguyen"/>
    <s v="GEO - NECKLACE PEARL"/>
    <s v="Ms. Hong Pham"/>
    <s v="F8,"/>
    <n v="16"/>
    <s v="WHITE."/>
    <n v="10030000"/>
    <s v="UN"/>
    <n v="9287037"/>
    <x v="4"/>
    <s v="0945555129"/>
    <n v="7222812"/>
    <x v="0"/>
    <x v="1"/>
  </r>
  <r>
    <x v="3"/>
    <x v="6"/>
    <n v="37"/>
    <s v="FW22"/>
    <s v="NECKLACE"/>
    <s v="FW22"/>
    <n v="1461877"/>
    <n v="1274400"/>
    <d v="2022-09-11T00:00:00"/>
    <n v="174872"/>
    <s v="RWR5837"/>
    <x v="4"/>
    <x v="0"/>
    <s v="WACC"/>
    <n v="5837"/>
    <n v="1"/>
    <s v="Credit Card"/>
    <n v="7080000"/>
    <n v="6555556"/>
    <n v="0"/>
    <n v="0"/>
    <n v="0"/>
    <s v="Nghia_Nguyen"/>
    <s v="GEO - NECKLACE MOKAITE"/>
    <s v="Ms. Hong Pham"/>
    <s v="D8"/>
    <n v="16"/>
    <s v="MUTI"/>
    <n v="7080000"/>
    <s v="UN"/>
    <n v="6555556"/>
    <x v="4"/>
    <s v="0945555129"/>
    <n v="5093679"/>
    <x v="0"/>
    <x v="1"/>
  </r>
  <r>
    <x v="3"/>
    <x v="6"/>
    <n v="37"/>
    <s v="FW22"/>
    <s v="NECKLACE"/>
    <s v="FW22"/>
    <n v="1759667"/>
    <n v="1534000"/>
    <d v="2022-09-11T00:00:00"/>
    <n v="174885"/>
    <s v="RWR5837"/>
    <x v="4"/>
    <x v="0"/>
    <s v="WACC"/>
    <n v="5837"/>
    <n v="1"/>
    <s v="Credit Card"/>
    <n v="8555000"/>
    <n v="7921296"/>
    <n v="0"/>
    <n v="0"/>
    <n v="0"/>
    <s v="Nghia_Nguyen"/>
    <s v="GEO - NECKLACE MOSS AGATE"/>
    <s v="Ms. Hong Pham"/>
    <s v="E8."/>
    <n v="16"/>
    <s v="GREEN"/>
    <n v="8555000"/>
    <s v="UN"/>
    <n v="7921296"/>
    <x v="4"/>
    <s v="0945555129"/>
    <n v="6161629"/>
    <x v="0"/>
    <x v="1"/>
  </r>
  <r>
    <x v="3"/>
    <x v="6"/>
    <n v="40"/>
    <s v="FW22"/>
    <s v="NECKLACE"/>
    <s v="FW22"/>
    <n v="4568365"/>
    <n v="3982500"/>
    <d v="2022-09-27T00:00:00"/>
    <n v="174860"/>
    <s v="RWR5883"/>
    <x v="4"/>
    <x v="0"/>
    <s v="WACC"/>
    <n v="5883"/>
    <n v="1"/>
    <s v="Credit Card"/>
    <n v="22567500"/>
    <n v="20895833"/>
    <n v="10"/>
    <n v="2321759"/>
    <n v="2507500"/>
    <s v="Ha_Nguyen"/>
    <s v="GEO - NECKLACE PEARL"/>
    <s v="Ms. Nguyen Thi Thu Hong"/>
    <s v="A70"/>
    <n v="16"/>
    <s v="WHITE"/>
    <n v="25075000"/>
    <s v="UN"/>
    <n v="23217593"/>
    <x v="21"/>
    <s v="0937009009"/>
    <n v="16327468"/>
    <x v="0"/>
    <x v="1"/>
  </r>
  <r>
    <x v="3"/>
    <x v="6"/>
    <n v="40"/>
    <s v="FW22"/>
    <s v="EARRINGS"/>
    <s v="FW22"/>
    <n v="609116"/>
    <n v="531000"/>
    <d v="2022-09-30T00:00:00"/>
    <n v="174908"/>
    <s v="RWR5895"/>
    <x v="4"/>
    <x v="0"/>
    <s v="WACC"/>
    <n v="5895"/>
    <n v="1"/>
    <s v="Credit Card"/>
    <n v="2802500"/>
    <n v="2594907"/>
    <n v="5"/>
    <n v="136574"/>
    <n v="147500"/>
    <s v="Ha_Nguyen"/>
    <s v="GEO - EARRING CORNELIAN"/>
    <s v="Ms. Tran Lam Thai"/>
    <s v="B0"/>
    <n v="20"/>
    <s v="RED"/>
    <n v="2950000"/>
    <s v="UN"/>
    <n v="2731481"/>
    <x v="17"/>
    <s v="0907502222"/>
    <n v="1985791"/>
    <x v="0"/>
    <x v="0"/>
  </r>
  <r>
    <x v="3"/>
    <x v="7"/>
    <n v="43"/>
    <s v="FW22"/>
    <s v="NECKLACE"/>
    <s v="FW22"/>
    <n v="1759667"/>
    <n v="1534000"/>
    <d v="2022-10-20T00:00:00"/>
    <n v="174882"/>
    <s v="RHN1156"/>
    <x v="4"/>
    <x v="1"/>
    <s v="WACC"/>
    <n v="1156"/>
    <n v="1"/>
    <s v="Credit Card"/>
    <n v="8555000"/>
    <n v="7921296"/>
    <n v="0"/>
    <n v="0"/>
    <n v="0"/>
    <s v="Ngoc_Nguyen"/>
    <s v="GEO - NECKLACE MADREPORE"/>
    <s v="Le Ngoc Lien"/>
    <s v="E8"/>
    <n v="15"/>
    <s v="Red/black"/>
    <n v="8555000"/>
    <s v="UN"/>
    <n v="7921296"/>
    <x v="13"/>
    <s v="0916596868"/>
    <n v="6161629"/>
    <x v="0"/>
    <x v="0"/>
  </r>
  <r>
    <x v="3"/>
    <x v="11"/>
    <n v="45"/>
    <s v="FW22"/>
    <s v="EARRINGS"/>
    <s v="FW22"/>
    <n v="791850"/>
    <n v="690300"/>
    <d v="2022-11-02T00:00:00"/>
    <n v="174905"/>
    <s v="RHN1210"/>
    <x v="4"/>
    <x v="1"/>
    <s v="WACC"/>
    <n v="1210"/>
    <n v="1"/>
    <s v="Check"/>
    <n v="3835000"/>
    <n v="3550926"/>
    <n v="0"/>
    <n v="0"/>
    <n v="0"/>
    <s v="Ngoc_Nguyen"/>
    <s v="GEO - EARRING M.PEARL"/>
    <s v="Ms. Do Thi Kim Lien"/>
    <s v="B6"/>
    <n v="16"/>
    <s v="WHITE"/>
    <n v="3835000"/>
    <s v="UN"/>
    <n v="3550926"/>
    <x v="10"/>
    <s v="0936383838"/>
    <n v="2759076"/>
    <x v="0"/>
    <x v="1"/>
  </r>
  <r>
    <x v="3"/>
    <x v="11"/>
    <n v="48"/>
    <s v="FW22"/>
    <s v="NECKLACE"/>
    <s v="FW22"/>
    <n v="1759667"/>
    <n v="1534000"/>
    <d v="2022-11-21T00:00:00"/>
    <n v="174881"/>
    <s v="RWR6069"/>
    <x v="4"/>
    <x v="0"/>
    <s v="WACC"/>
    <n v="6069"/>
    <n v="1"/>
    <s v="Credit Card"/>
    <n v="8555000"/>
    <n v="7921296"/>
    <n v="0"/>
    <n v="0"/>
    <n v="0"/>
    <s v="Ha_Nguyen"/>
    <s v="GEO - NECKLACE MADREPORE"/>
    <s v="Tourist"/>
    <s v="E8"/>
    <n v="19"/>
    <s v="RED"/>
    <n v="8555000"/>
    <s v="UN"/>
    <n v="7921296"/>
    <x v="21"/>
    <m/>
    <n v="6161629"/>
    <x v="0"/>
    <x v="1"/>
  </r>
  <r>
    <x v="3"/>
    <x v="11"/>
    <n v="48"/>
    <s v="FW22"/>
    <s v="NECKLACE"/>
    <s v="FW22"/>
    <n v="5143641"/>
    <n v="4484000"/>
    <d v="2022-11-25T00:00:00"/>
    <n v="174857"/>
    <s v="RHN1316"/>
    <x v="4"/>
    <x v="1"/>
    <s v="WACC"/>
    <n v="1316"/>
    <n v="1"/>
    <s v="Credit Card"/>
    <n v="25089750"/>
    <n v="23231250"/>
    <n v="10"/>
    <n v="2581250"/>
    <n v="2787750"/>
    <s v="Ngoc_Nguyen"/>
    <s v="GEO - NECKLACE PEARL"/>
    <s v="Mrs. Le Thi Hoa"/>
    <s v="A8P"/>
    <n v="12"/>
    <s v="YELLOW"/>
    <n v="27877500"/>
    <s v="UN"/>
    <n v="25812500"/>
    <x v="18"/>
    <s v="0913221545"/>
    <n v="18087609"/>
    <x v="0"/>
    <x v="2"/>
  </r>
  <r>
    <x v="3"/>
    <x v="11"/>
    <n v="48"/>
    <s v="SS12"/>
    <s v="JEWELRY"/>
    <s v="SS12"/>
    <n v="4197600"/>
    <n v="4197600"/>
    <d v="2022-11-25T00:00:00"/>
    <n v="37092"/>
    <s v="RHN1330"/>
    <x v="1"/>
    <x v="1"/>
    <s v="WACC"/>
    <n v="1330"/>
    <n v="1"/>
    <s v="Check"/>
    <n v="15700000"/>
    <n v="14537037"/>
    <n v="0"/>
    <n v="0"/>
    <n v="0"/>
    <s v="Ngoc_Nguyen"/>
    <s v="RM Silver ring-top oval"/>
    <s v="Le Hoang Phuong"/>
    <s v="BALSAM R (TB)"/>
    <n v="15"/>
    <s v="SILVER"/>
    <n v="15700000"/>
    <n v="11"/>
    <n v="14537037"/>
    <x v="3"/>
    <s v="0388883333"/>
    <n v="10339437"/>
    <x v="0"/>
    <x v="1"/>
  </r>
  <r>
    <x v="3"/>
    <x v="8"/>
    <n v="51"/>
    <s v="SS23"/>
    <s v="EARRINGS"/>
    <s v="SS23"/>
    <n v="95851538"/>
    <n v="110880000"/>
    <d v="2022-12-17T00:00:00"/>
    <n v="180390"/>
    <s v="RWR6209"/>
    <x v="5"/>
    <x v="0"/>
    <s v="WACC"/>
    <n v="6209"/>
    <n v="1"/>
    <s v="Split"/>
    <n v="218500000"/>
    <n v="202314815"/>
    <n v="5"/>
    <n v="10648148"/>
    <n v="11500000"/>
    <s v="Ha_Nguyen"/>
    <s v="ATS - PG Pr. of Earrings: brown"/>
    <s v="Mrs. Duong Quynh Huong"/>
    <s v="30/15127R/CH"/>
    <n v="15"/>
    <s v="BROWN DIA"/>
    <n v="230000000"/>
    <s v="O/S"/>
    <n v="212962963"/>
    <x v="15"/>
    <s v="0937369369"/>
    <n v="106463277"/>
    <x v="0"/>
    <x v="1"/>
  </r>
  <r>
    <x v="3"/>
    <x v="8"/>
    <n v="51"/>
    <s v="FW22"/>
    <s v="NECKLACE"/>
    <s v="FW22"/>
    <n v="1336670"/>
    <n v="1165250"/>
    <d v="2022-12-17T00:00:00"/>
    <n v="174874"/>
    <s v="RWT2296"/>
    <x v="4"/>
    <x v="4"/>
    <s v="WACC"/>
    <n v="2296"/>
    <n v="1"/>
    <s v="Credit Card"/>
    <n v="6490000"/>
    <n v="6009259"/>
    <n v="0"/>
    <n v="0"/>
    <n v="0"/>
    <s v="Chau_Vuong"/>
    <s v="GEO - NECKLACE TORMALINE"/>
    <s v="Ms. Le Thi Thanh Mai"/>
    <s v="D4"/>
    <n v="10"/>
    <s v="MUTI"/>
    <n v="6490000"/>
    <s v="UN"/>
    <n v="6009259"/>
    <x v="22"/>
    <s v="0933530066"/>
    <n v="4672589"/>
    <x v="0"/>
    <x v="0"/>
  </r>
  <r>
    <x v="3"/>
    <x v="8"/>
    <n v="51"/>
    <s v="FW22"/>
    <s v="NECKLACE"/>
    <s v="FW22"/>
    <n v="1218231"/>
    <n v="1062000"/>
    <d v="2022-12-17T00:00:00"/>
    <n v="174873"/>
    <s v="RWT2296"/>
    <x v="4"/>
    <x v="4"/>
    <s v="WACC"/>
    <n v="2296"/>
    <n v="1"/>
    <s v="Credit Card"/>
    <n v="5900000"/>
    <n v="5462963"/>
    <n v="0"/>
    <n v="0"/>
    <n v="0"/>
    <s v="Chau_Vuong"/>
    <s v="GEO - NECKLACE CAT'S EYE"/>
    <s v="Ms. Le Thi Thanh Mai"/>
    <s v="D0"/>
    <n v="10"/>
    <s v="YELLOW"/>
    <n v="5900000"/>
    <s v="UN"/>
    <n v="5462963"/>
    <x v="22"/>
    <s v="0933530066"/>
    <n v="4244732"/>
    <x v="0"/>
    <x v="0"/>
  </r>
  <r>
    <x v="3"/>
    <x v="8"/>
    <n v="51"/>
    <s v="FW22"/>
    <s v="NECKLACE"/>
    <s v="FW22"/>
    <n v="1150552"/>
    <n v="1003000"/>
    <d v="2022-12-18T00:00:00"/>
    <n v="174864"/>
    <s v="RWT2303"/>
    <x v="4"/>
    <x v="4"/>
    <s v="WACC"/>
    <n v="2303"/>
    <n v="1"/>
    <s v="Credit Card"/>
    <n v="5605000"/>
    <n v="5189815"/>
    <n v="0"/>
    <n v="0"/>
    <n v="0"/>
    <s v="Chau_Vuong"/>
    <s v="GEO - NECKLACE MOSS AGATE"/>
    <s v="Mrs. Thai Cam Linh"/>
    <s v="C8"/>
    <n v="11"/>
    <s v="GREEN"/>
    <n v="5605000"/>
    <s v="UN"/>
    <n v="5189815"/>
    <x v="22"/>
    <s v="0917568851"/>
    <n v="4039263"/>
    <x v="0"/>
    <x v="0"/>
  </r>
  <r>
    <x v="3"/>
    <x v="8"/>
    <n v="52"/>
    <s v="SS23"/>
    <s v="RING"/>
    <s v="SS23"/>
    <n v="71305867"/>
    <n v="82600000"/>
    <d v="2022-12-20T00:00:00"/>
    <n v="180402"/>
    <s v="RWR6222"/>
    <x v="5"/>
    <x v="0"/>
    <s v="WACC"/>
    <n v="6222"/>
    <n v="1"/>
    <s v="Check"/>
    <n v="165000600"/>
    <n v="152778333"/>
    <n v="8.33"/>
    <n v="13888333"/>
    <n v="14999400"/>
    <s v="Nghia_Nguyen"/>
    <s v="ATS - WG Ring: dia 0,33ct G/VS + green tourmaline 5,90ct_x000a_+ ruby 1,87ct"/>
    <s v="Mrs. Dinh Thanh Huong"/>
    <s v="93/14294W/TR"/>
    <n v="16"/>
    <s v="DIA + GREEN + PI"/>
    <n v="180000000"/>
    <s v="O/S"/>
    <n v="166666667"/>
    <x v="6"/>
    <s v="0903256655"/>
    <n v="81472466"/>
    <x v="0"/>
    <x v="1"/>
  </r>
  <r>
    <x v="3"/>
    <x v="8"/>
    <n v="52"/>
    <s v="SS23"/>
    <s v="EARRINGS"/>
    <s v="SS23"/>
    <n v="118696024"/>
    <n v="137200000"/>
    <d v="2022-12-20T00:00:00"/>
    <n v="180400"/>
    <s v="RWR6221"/>
    <x v="5"/>
    <x v="0"/>
    <s v="WACC"/>
    <n v="6221"/>
    <n v="1"/>
    <s v="Account"/>
    <n v="285000000"/>
    <n v="263888889"/>
    <n v="5"/>
    <n v="13888889"/>
    <n v="15000000"/>
    <s v="Nghia_Nguyen"/>
    <s v="ATS - PG Pr. of Earrings: pink tourmaline 11,95ct + green_x000a_tourmaline 16,15ct + green sapphire 1,08ct"/>
    <s v="Mrs. Phan Lan Phuong"/>
    <s v="88/01660R/T"/>
    <n v="10"/>
    <s v="PINK + GREEN"/>
    <n v="300000000"/>
    <s v="O/S"/>
    <n v="277777778"/>
    <x v="6"/>
    <s v="0977317777"/>
    <n v="145192865"/>
    <x v="0"/>
    <x v="1"/>
  </r>
  <r>
    <x v="3"/>
    <x v="8"/>
    <n v="52"/>
    <s v="SS23"/>
    <s v="EARRINGS"/>
    <s v="SS23"/>
    <n v="34851900"/>
    <n v="40600000"/>
    <d v="2022-12-21T00:00:00"/>
    <n v="180403"/>
    <s v="RWR6230"/>
    <x v="5"/>
    <x v="0"/>
    <s v="WACC"/>
    <n v="6230"/>
    <n v="1"/>
    <s v="Credit Card"/>
    <n v="108004000"/>
    <n v="100003704"/>
    <n v="16.920000000000002"/>
    <n v="20366667"/>
    <n v="21996000"/>
    <s v="Nghia_Nguyen"/>
    <s v="ATS - PG Pr. of Earrings: dia 0,57ct G/VS + amethyst 25,76ct"/>
    <s v="Mrs. Dinh Thanh Huong"/>
    <s v="93/14408R/AM"/>
    <n v="14"/>
    <s v="DIA + AMETHYST +"/>
    <n v="130000000"/>
    <s v="O/S"/>
    <n v="120370370"/>
    <x v="23"/>
    <s v="0903256655"/>
    <n v="65151804"/>
    <x v="0"/>
    <x v="1"/>
  </r>
  <r>
    <x v="3"/>
    <x v="8"/>
    <n v="53"/>
    <s v="SS23"/>
    <s v="RING"/>
    <s v="SS23"/>
    <n v="48218354"/>
    <n v="56000000"/>
    <d v="2022-12-27T00:00:00"/>
    <n v="180391"/>
    <s v="RHN1515"/>
    <x v="5"/>
    <x v="1"/>
    <s v="WACC"/>
    <n v="1515"/>
    <n v="1"/>
    <s v="Cash"/>
    <n v="130000000"/>
    <n v="120370370"/>
    <n v="0"/>
    <n v="0"/>
    <n v="0"/>
    <s v="Ngoc_Nguyen"/>
    <s v="ATS - PG Ring: dia 1,42ct G/VS + rubiy 0,50ct + pink sapphire 2,07ct"/>
    <s v="Pham Thanh Huong"/>
    <s v="30/17372R/PS"/>
    <n v="10"/>
    <s v="RUBY + PINK SAPP"/>
    <n v="130000000"/>
    <s v="O/S"/>
    <n v="120370370"/>
    <x v="18"/>
    <s v="0934449329"/>
    <n v="72152016"/>
    <x v="0"/>
    <x v="2"/>
  </r>
  <r>
    <x v="3"/>
    <x v="8"/>
    <n v="53"/>
    <s v="SS23"/>
    <s v="EARRINGS"/>
    <s v="SS23"/>
    <n v="32907688"/>
    <n v="38360000"/>
    <d v="2022-12-27T00:00:00"/>
    <n v="180393"/>
    <s v="RHN1515"/>
    <x v="5"/>
    <x v="1"/>
    <s v="WACC"/>
    <n v="1515"/>
    <n v="1"/>
    <s v="Cash"/>
    <n v="120000000"/>
    <n v="111111111"/>
    <n v="0"/>
    <n v="0"/>
    <n v="0"/>
    <s v="Ngoc_Nguyen"/>
    <s v="ATS - WG Pr. of Earrings: dia 0,13ct G/VS + brown dia 0,32ct _x000a_+ tsavorite 0,44ct"/>
    <s v="Pham Thanh Huong"/>
    <s v="30/AW12442/TS"/>
    <n v="10"/>
    <s v="BROWN DIA + TSAV"/>
    <n v="120000000"/>
    <s v="O/S"/>
    <n v="111111111"/>
    <x v="18"/>
    <s v="0934449329"/>
    <n v="78203423"/>
    <x v="0"/>
    <x v="2"/>
  </r>
  <r>
    <x v="3"/>
    <x v="8"/>
    <n v="53"/>
    <s v="SS23"/>
    <s v="EARRINGS"/>
    <s v="SS23"/>
    <n v="17205506"/>
    <n v="20272000"/>
    <d v="2022-12-27T00:00:00"/>
    <n v="180405"/>
    <s v="RHN1515"/>
    <x v="5"/>
    <x v="1"/>
    <s v="WACC"/>
    <n v="1515"/>
    <n v="1"/>
    <s v="Cash"/>
    <n v="70000000"/>
    <n v="64814815"/>
    <n v="0"/>
    <n v="0"/>
    <n v="0"/>
    <s v="Ngoc_Nguyen"/>
    <s v="ATS - PG Pr. of Earrings: amethyst 1,82ct + blue topaze 1,43ct_x000a_+ citrine 0,39ct + green amethyst 6,05ct"/>
    <s v="Pham Thanh Huong"/>
    <s v="93/14899R/GAM"/>
    <n v="10"/>
    <s v="AMETHYST + BLUE"/>
    <n v="70000000"/>
    <s v="O/S"/>
    <n v="64814815"/>
    <x v="18"/>
    <s v="0934449329"/>
    <n v="47609309"/>
    <x v="0"/>
    <x v="2"/>
  </r>
  <r>
    <x v="3"/>
    <x v="8"/>
    <n v="53"/>
    <s v="SS23"/>
    <s v="RING"/>
    <s v="SS23"/>
    <n v="17840048"/>
    <n v="21000000"/>
    <d v="2022-12-28T00:00:00"/>
    <n v="180404"/>
    <s v="RWR6254"/>
    <x v="5"/>
    <x v="0"/>
    <s v="WACC"/>
    <n v="6254"/>
    <n v="1"/>
    <s v="Split"/>
    <n v="60000000"/>
    <n v="55555556"/>
    <n v="0"/>
    <n v="0"/>
    <n v="0"/>
    <s v="Nghia_Nguyen"/>
    <s v="ATS - PG Ring: dia 0,14ct + tsavorite 0,15ct + amethyst 8,84ct"/>
    <s v="Mrs. Vo Nhu Ha"/>
    <s v="93/14578R/TS"/>
    <n v="10"/>
    <s v="DIA PURPLE + TSA"/>
    <n v="60000000"/>
    <s v="O/S"/>
    <n v="55555556"/>
    <x v="6"/>
    <s v="0903789789"/>
    <n v="37715508"/>
    <x v="0"/>
    <x v="1"/>
  </r>
  <r>
    <x v="3"/>
    <x v="8"/>
    <n v="53"/>
    <s v="SS23"/>
    <s v="RING"/>
    <s v="SS23"/>
    <n v="-17840048"/>
    <n v="-21000000"/>
    <d v="2022-12-28T00:00:00"/>
    <n v="180404"/>
    <s v="RWR6255"/>
    <x v="5"/>
    <x v="0"/>
    <s v="WACC"/>
    <n v="6255"/>
    <n v="-1"/>
    <s v="Split"/>
    <n v="-60000000"/>
    <n v="-55555556"/>
    <n v="0"/>
    <n v="0"/>
    <n v="0"/>
    <s v="Nghia_Nguyen"/>
    <s v="ATS - PG Ring: dia 0,14ct + tsavorite 0,15ct + amethyst 8,84ct"/>
    <s v="Mrs. Vo Nhu Ha"/>
    <s v="93/14578R/TS"/>
    <n v="10"/>
    <s v="DIA PURPLE + TSA"/>
    <n v="-60000000"/>
    <s v="O/S"/>
    <n v="-55555556"/>
    <x v="6"/>
    <s v="0903789789"/>
    <n v="-37715508"/>
    <x v="0"/>
    <x v="1"/>
  </r>
  <r>
    <x v="3"/>
    <x v="8"/>
    <n v="53"/>
    <s v="SS23"/>
    <s v="RING"/>
    <s v="SS23"/>
    <n v="17840048"/>
    <n v="21000000"/>
    <d v="2022-12-28T00:00:00"/>
    <n v="180404"/>
    <s v="RWR6256"/>
    <x v="5"/>
    <x v="0"/>
    <s v="WACC"/>
    <n v="6256"/>
    <n v="1"/>
    <s v="Split"/>
    <n v="60000000"/>
    <n v="55555556"/>
    <n v="0"/>
    <n v="0"/>
    <n v="0"/>
    <s v="Nghia_Nguyen"/>
    <s v="ATS - PG Ring: dia 0,14ct + tsavorite 0,15ct + amethyst 8,84ct"/>
    <s v="Mrs. Vo Nhu Ha"/>
    <s v="93/14578R/TS"/>
    <n v="12"/>
    <s v="DIA PURPLE + TSA"/>
    <n v="60000000"/>
    <s v="O/S"/>
    <n v="55555556"/>
    <x v="23"/>
    <s v="0903789789"/>
    <n v="37715508"/>
    <x v="0"/>
    <x v="1"/>
  </r>
  <r>
    <x v="4"/>
    <x v="0"/>
    <n v="2"/>
    <s v="SS23"/>
    <s v="RING"/>
    <s v="SS23"/>
    <n v="41504327"/>
    <n v="37510750"/>
    <d v="2023-01-02T00:00:00"/>
    <n v="181417"/>
    <s v="RWR6273"/>
    <x v="6"/>
    <x v="0"/>
    <s v="WACC"/>
    <n v="6273"/>
    <n v="1"/>
    <s v="Check"/>
    <n v="125373600"/>
    <n v="113976000"/>
    <n v="10"/>
    <n v="12664000"/>
    <n v="13930400"/>
    <s v="Nghia_Nguyen"/>
    <s v="GVC - PINK GOLD 7.5g RING WITH DIAMOND 0.77CT"/>
    <s v="Ms. Nguyen Thi Xuan Hong"/>
    <s v="AR16774"/>
    <n v="15"/>
    <s v="PINK"/>
    <n v="139304000"/>
    <n v="13"/>
    <n v="126640000"/>
    <x v="24"/>
    <s v="0908140263"/>
    <n v="72471673"/>
    <x v="0"/>
    <x v="1"/>
  </r>
  <r>
    <x v="4"/>
    <x v="0"/>
    <n v="3"/>
    <s v="FW22"/>
    <s v="NECKLACE"/>
    <s v="FW22"/>
    <n v="1759667"/>
    <n v="1534000"/>
    <d v="2023-01-09T00:00:00"/>
    <n v="174876"/>
    <s v="RWT2837"/>
    <x v="4"/>
    <x v="4"/>
    <s v="WACC"/>
    <n v="2837"/>
    <n v="1"/>
    <s v="Credit Card"/>
    <n v="8555000"/>
    <n v="7777273"/>
    <n v="0"/>
    <n v="0"/>
    <n v="0"/>
    <s v="Diem_Nguyen"/>
    <s v="GEO - NECKLACE DIASPER"/>
    <s v="Khuat Thi kim Huong"/>
    <s v="E8"/>
    <n v="18"/>
    <s v="MUTI"/>
    <n v="8555000"/>
    <s v="UN"/>
    <n v="7777273"/>
    <x v="25"/>
    <s v="0909310931"/>
    <n v="6017606"/>
    <x v="0"/>
    <x v="0"/>
  </r>
  <r>
    <x v="4"/>
    <x v="0"/>
    <n v="5"/>
    <s v="SS17"/>
    <s v="JEWELRY"/>
    <s v="SS17"/>
    <n v="26510963"/>
    <n v="20515500"/>
    <d v="2023-01-27T00:00:00"/>
    <n v="109005"/>
    <s v="RWR6392"/>
    <x v="0"/>
    <x v="0"/>
    <s v="WACC"/>
    <n v="6392"/>
    <n v="1"/>
    <s v="Split"/>
    <n v="50231250"/>
    <n v="45664773"/>
    <n v="5"/>
    <n v="2403409"/>
    <n v="2643750"/>
    <s v="Nghia_Nguyen"/>
    <s v="SPK Libra SG 3 linked rings in silver with yellow gold connectors and micro-pave grey diamonds"/>
    <s v="Ms. Nguyen Thi Hong Van"/>
    <s v="SG12-R-G3MXMMXGC"/>
    <n v="17"/>
    <s v="GOLD"/>
    <n v="52875000"/>
    <n v="7"/>
    <n v="48068182"/>
    <x v="20"/>
    <s v="0903914688"/>
    <n v="19153810"/>
    <x v="0"/>
    <x v="0"/>
  </r>
  <r>
    <x v="4"/>
    <x v="0"/>
    <n v="6"/>
    <s v="SS23"/>
    <s v="RING"/>
    <s v="SS23"/>
    <n v="4256645"/>
    <n v="3834000"/>
    <d v="2023-01-30T00:00:00"/>
    <n v="182172"/>
    <s v="RWR6400"/>
    <x v="7"/>
    <x v="0"/>
    <s v="WACC"/>
    <n v="6400"/>
    <n v="1"/>
    <s v="Credit Card"/>
    <n v="12269000"/>
    <n v="11153636"/>
    <n v="0"/>
    <n v="0"/>
    <n v="0"/>
    <s v="Ha_Nguyen"/>
    <s v="MAL - ENGRAVED SILVER RING WITH ONE LARGE NATURAL DROP AND ONE SMALL NATURAL DROP SIZE: 12  LARGE DROP: ROCK CRYSTAL   SMALL DROP: SKY TOPAZ"/>
    <s v="Ms. TRAN PHU XUAN"/>
    <s v="AA0070/V1/12"/>
    <n v="17"/>
    <s v="SKY TOPAZ"/>
    <n v="12269000"/>
    <n v="12"/>
    <n v="11153636"/>
    <x v="23"/>
    <s v="0937559797"/>
    <n v="6896991"/>
    <x v="0"/>
    <x v="1"/>
  </r>
  <r>
    <x v="4"/>
    <x v="9"/>
    <n v="6"/>
    <s v="SS23"/>
    <s v="RING"/>
    <s v="SS23"/>
    <n v="4646339"/>
    <n v="4185000"/>
    <d v="2023-02-01T00:00:00"/>
    <n v="182182"/>
    <s v="RWT3023"/>
    <x v="7"/>
    <x v="4"/>
    <s v="WACC"/>
    <n v="3023"/>
    <n v="1"/>
    <s v="Cash"/>
    <n v="13392000"/>
    <n v="12174545"/>
    <n v="0"/>
    <n v="0"/>
    <n v="0"/>
    <s v="Chau_Vuong"/>
    <s v="MAL - ENGRAVED SILVER RING WITH NATURAL STONE, CABOCHON, OVAL CUT    AMETHIST   TG 12"/>
    <s v="Mrs. Nguyen Thi Mai Huong"/>
    <s v="AA0103/V2/12"/>
    <n v="15"/>
    <s v="AMETHIST"/>
    <n v="13392000"/>
    <n v="12"/>
    <n v="12174545"/>
    <x v="26"/>
    <s v="0908402668"/>
    <n v="7528206"/>
    <x v="0"/>
    <x v="0"/>
  </r>
  <r>
    <x v="4"/>
    <x v="9"/>
    <n v="6"/>
    <s v="FW17"/>
    <s v="JEWELRY"/>
    <s v="FW17"/>
    <n v="2820000"/>
    <n v="2820000"/>
    <d v="2023-02-04T00:00:00"/>
    <n v="117903"/>
    <s v="RWR6412"/>
    <x v="1"/>
    <x v="0"/>
    <s v="WACC"/>
    <n v="6412"/>
    <n v="1"/>
    <s v="Check"/>
    <n v="7614000"/>
    <n v="6921818"/>
    <n v="10"/>
    <n v="769091"/>
    <n v="846000"/>
    <s v="Ha_Nguyen"/>
    <s v="RM RING"/>
    <s v="Ms. Le Thi Thuy Hanh"/>
    <s v="NOUFA(3)CU-S.S"/>
    <n v="13"/>
    <s v="SILVER+GOLD"/>
    <n v="8460000"/>
    <s v="U"/>
    <n v="7690909"/>
    <x v="21"/>
    <s v="0903288262"/>
    <n v="4101818"/>
    <x v="0"/>
    <x v="1"/>
  </r>
  <r>
    <x v="4"/>
    <x v="9"/>
    <n v="7"/>
    <s v="SS23"/>
    <s v="EARRINGS"/>
    <s v="SS23"/>
    <n v="2233240"/>
    <n v="2011500"/>
    <d v="2023-02-06T00:00:00"/>
    <n v="182236"/>
    <s v="RHN1719"/>
    <x v="7"/>
    <x v="1"/>
    <s v="WACC"/>
    <n v="1719"/>
    <n v="1"/>
    <s v="Credit Card"/>
    <n v="6437000"/>
    <n v="5851818"/>
    <n v="0"/>
    <n v="0"/>
    <n v="0"/>
    <s v="Ngoc_Nguyen"/>
    <s v="MAL - SILVER EARRINGS WITH ONE ENGRAVED SMALL SHPERE AND ONE WHITE PEARL, DIAMETER 9 MM  WHITE PEARL"/>
    <s v="Mrs. Do Thanh Hoa"/>
    <s v="OA0034/P"/>
    <n v="16"/>
    <s v="WHITE PEARL"/>
    <n v="6437000"/>
    <s v="U"/>
    <n v="5851818"/>
    <x v="18"/>
    <s v="0904374728"/>
    <n v="3618578"/>
    <x v="0"/>
    <x v="2"/>
  </r>
  <r>
    <x v="4"/>
    <x v="9"/>
    <n v="7"/>
    <s v="SS23"/>
    <s v="EARRINGS"/>
    <s v="SS23"/>
    <n v="3777023"/>
    <n v="3402000"/>
    <d v="2023-02-06T00:00:00"/>
    <n v="182234"/>
    <s v="RHN1719"/>
    <x v="7"/>
    <x v="1"/>
    <s v="WACC"/>
    <n v="1719"/>
    <n v="1"/>
    <s v="Credit Card"/>
    <n v="10887000"/>
    <n v="9897273"/>
    <n v="0"/>
    <n v="0"/>
    <n v="0"/>
    <s v="Ngoc_Nguyen"/>
    <s v="MAL - SILVER EARRINGS WITH ONE NATURAL STONE, OVAL CUT AND CASCATE OF  GROUMETTE CHAINS  ROCK CRYSTAL"/>
    <s v="Mrs. Do Thanh Hoa"/>
    <s v="OA0005/V1"/>
    <n v="16"/>
    <s v="ROCK CRYSTAL"/>
    <n v="10887000"/>
    <s v="U"/>
    <n v="9897273"/>
    <x v="18"/>
    <s v="0904374728"/>
    <n v="6120250"/>
    <x v="0"/>
    <x v="2"/>
  </r>
  <r>
    <x v="4"/>
    <x v="9"/>
    <n v="7"/>
    <s v="SS23"/>
    <s v="EARRINGS"/>
    <s v="SS23"/>
    <n v="2188276"/>
    <n v="1971000"/>
    <d v="2023-02-07T00:00:00"/>
    <n v="182248"/>
    <s v="RHN1723"/>
    <x v="7"/>
    <x v="1"/>
    <s v="WACC"/>
    <n v="1723"/>
    <n v="1"/>
    <s v="Check"/>
    <n v="6308000"/>
    <n v="5734545"/>
    <n v="0"/>
    <n v="0"/>
    <n v="0"/>
    <s v="Huyen_Dang"/>
    <s v="MAL - SILVER 12.3G EARRINGS, 2 SMALL PEARLS AND 1 LARGE PEARL"/>
    <s v="Le Thi Hong Hong"/>
    <s v="OA0177/M"/>
    <n v="12"/>
    <s v="2 SMALL PEARLS A"/>
    <n v="6308000"/>
    <s v="U"/>
    <n v="5734545"/>
    <x v="12"/>
    <s v="0982610062"/>
    <n v="3546269"/>
    <x v="0"/>
    <x v="2"/>
  </r>
  <r>
    <x v="4"/>
    <x v="9"/>
    <n v="7"/>
    <s v="SS23"/>
    <s v="NECKLACE"/>
    <s v="SS23"/>
    <n v="5860382"/>
    <n v="5278500"/>
    <d v="2023-02-08T00:00:00"/>
    <n v="182224"/>
    <s v="RWR6434"/>
    <x v="7"/>
    <x v="0"/>
    <s v="WACC"/>
    <n v="6434"/>
    <n v="1"/>
    <s v="Credit Card"/>
    <n v="16892000"/>
    <n v="15356364"/>
    <n v="0"/>
    <n v="0"/>
    <n v="0"/>
    <s v="Linh_Pham"/>
    <s v="MAL - SHRI CAPSULE NECKLACE IN SILVER WITH 15 NATURAL STONES (6 NATURAL STONES 10X5 - 9 STONES 8X4) AND CLOSURE AT 110CM   MULTICOLOR  _x000a_ATTENZIONE: FARE VENSIONE CON PIETRE NON TROPPO CHIARE"/>
    <s v="Tourist"/>
    <s v="CA0191/V1"/>
    <n v="15"/>
    <s v="15 NATURAL STONE"/>
    <n v="16892000"/>
    <s v="U"/>
    <n v="15356364"/>
    <x v="4"/>
    <m/>
    <n v="9495982"/>
    <x v="0"/>
    <x v="1"/>
  </r>
  <r>
    <x v="4"/>
    <x v="9"/>
    <n v="7"/>
    <s v="SS23"/>
    <s v="BRACELET"/>
    <s v="SS23"/>
    <n v="7793858"/>
    <n v="7020000"/>
    <d v="2023-02-08T00:00:00"/>
    <n v="182200"/>
    <s v="RWR6434"/>
    <x v="7"/>
    <x v="0"/>
    <s v="WACC"/>
    <n v="6434"/>
    <n v="1"/>
    <s v="Credit Card"/>
    <n v="22464000"/>
    <n v="20421818"/>
    <n v="0"/>
    <n v="0"/>
    <n v="0"/>
    <s v="Linh_Pham"/>
    <s v="MAL - ENGRAVED TENNIS BRACELET IN SILVER WITH 13 NATURAL STONES, DROP CUT (9X6)  PERIDOT"/>
    <s v="Tourist"/>
    <s v="BA0121/V2"/>
    <n v="15"/>
    <s v="PERIDOT"/>
    <n v="22464000"/>
    <s v="U"/>
    <n v="20421818"/>
    <x v="4"/>
    <m/>
    <n v="12627960"/>
    <x v="0"/>
    <x v="1"/>
  </r>
  <r>
    <x v="4"/>
    <x v="9"/>
    <n v="7"/>
    <s v="SS23"/>
    <s v="EARRINGS"/>
    <s v="SS23"/>
    <n v="4121752"/>
    <n v="3712500"/>
    <d v="2023-02-08T00:00:00"/>
    <n v="182253"/>
    <s v="RWR6434"/>
    <x v="7"/>
    <x v="0"/>
    <s v="WACC"/>
    <n v="6434"/>
    <n v="1"/>
    <s v="Credit Card"/>
    <n v="11880000"/>
    <n v="10800000"/>
    <n v="0"/>
    <n v="0"/>
    <n v="0"/>
    <s v="Linh_Pham"/>
    <s v="MAL - ENGRAVED SILVER EARRINGS WITH TWO NATURAL STONES (10X5) (8X4) AND ENGRAVED DROP IN SILVER   PERIDOT"/>
    <s v="Tourist"/>
    <s v="OA0224/V1"/>
    <n v="15"/>
    <s v="PERIDOT"/>
    <n v="11880000"/>
    <s v="U"/>
    <n v="10800000"/>
    <x v="4"/>
    <m/>
    <n v="6678248"/>
    <x v="0"/>
    <x v="1"/>
  </r>
  <r>
    <x v="4"/>
    <x v="9"/>
    <n v="7"/>
    <s v="SS23"/>
    <s v="NECKLACE"/>
    <s v="SS23"/>
    <n v="43158910"/>
    <n v="42474465"/>
    <d v="2023-02-10T00:00:00"/>
    <n v="181387"/>
    <s v="RWR6440"/>
    <x v="8"/>
    <x v="0"/>
    <s v="WACC"/>
    <n v="6440"/>
    <n v="1"/>
    <s v="Split"/>
    <n v="120548350"/>
    <n v="109589409"/>
    <n v="5"/>
    <n v="5767864"/>
    <n v="6344650"/>
    <s v="Ha_Nguyen"/>
    <s v="NAN - DIAMONDS 8pcs ct0.06"/>
    <s v="Mrs. Bui Lan"/>
    <s v="CS14-569"/>
    <n v="11"/>
    <s v="DIAMONDS 8pcs ct"/>
    <n v="126893000"/>
    <s v="U"/>
    <n v="115357273"/>
    <x v="17"/>
    <s v="0903751574"/>
    <n v="66430499"/>
    <x v="0"/>
    <x v="0"/>
  </r>
  <r>
    <x v="4"/>
    <x v="9"/>
    <n v="7"/>
    <s v="SS23"/>
    <s v="EARRINGS"/>
    <s v="SS23"/>
    <n v="30976314"/>
    <n v="30485070"/>
    <d v="2023-02-10T00:00:00"/>
    <n v="181393"/>
    <s v="RWR6440"/>
    <x v="8"/>
    <x v="0"/>
    <s v="WACC"/>
    <n v="6440"/>
    <n v="1"/>
    <s v="Split"/>
    <n v="86521250"/>
    <n v="78655682"/>
    <n v="5"/>
    <n v="4139773"/>
    <n v="4553750"/>
    <s v="Ha_Nguyen"/>
    <s v="NAN - DIAMONDS 16pcs ct0.11"/>
    <s v="Mrs. Bui Lan"/>
    <s v="OS9-569"/>
    <n v="11"/>
    <s v="DIAMONDS 16pcs c"/>
    <n v="91075000"/>
    <s v="U"/>
    <n v="82795455"/>
    <x v="17"/>
    <s v="0903751574"/>
    <n v="47679368"/>
    <x v="0"/>
    <x v="0"/>
  </r>
  <r>
    <x v="4"/>
    <x v="9"/>
    <n v="8"/>
    <s v="SS23"/>
    <s v="NECKLACE"/>
    <s v="SS23"/>
    <n v="3896930"/>
    <n v="3510000"/>
    <d v="2023-02-13T00:00:00"/>
    <n v="182232"/>
    <s v="RHN1759"/>
    <x v="7"/>
    <x v="1"/>
    <s v="WACC"/>
    <n v="1759"/>
    <n v="1"/>
    <s v="Credit Card"/>
    <n v="11232000"/>
    <n v="10210909"/>
    <n v="0"/>
    <n v="0"/>
    <n v="0"/>
    <s v="Ngoc_Nguyen"/>
    <s v="MAL- SILVER NECKLACE, ENGRAVED CROSS WITH ONE CENTRAL SMALL ROUND STONE 6MM  SMALL ROUND STONE 6 MM: CRYSTAL"/>
    <s v="Mrs. Nguyen Ngoc Phuong Anh"/>
    <s v="CA0228"/>
    <n v="14"/>
    <s v="CRYSTAL"/>
    <n v="11232000"/>
    <s v="U"/>
    <n v="10210909"/>
    <x v="10"/>
    <s v="0915227784"/>
    <n v="6313979"/>
    <x v="0"/>
    <x v="1"/>
  </r>
  <r>
    <x v="4"/>
    <x v="9"/>
    <n v="9"/>
    <s v="FW22"/>
    <s v="EARRINGS"/>
    <s v="FW22"/>
    <n v="571188"/>
    <n v="424800"/>
    <d v="2023-02-23T00:00:00"/>
    <n v="174910"/>
    <s v="RWR6476"/>
    <x v="4"/>
    <x v="0"/>
    <s v="WACC"/>
    <n v="6476"/>
    <n v="1"/>
    <s v="Credit Card"/>
    <n v="2360000"/>
    <n v="2145455"/>
    <n v="0"/>
    <n v="0"/>
    <n v="0"/>
    <s v="Ha_Nguyen"/>
    <s v="GEO - EARRING GREEN AGATE"/>
    <s v="Ms. Cao Thi Thanh Yen"/>
    <s v="A6"/>
    <n v="16"/>
    <s v="GREEN"/>
    <n v="2360000"/>
    <s v="UN"/>
    <n v="2145455"/>
    <x v="24"/>
    <s v="0903333829"/>
    <n v="1574267"/>
    <x v="0"/>
    <x v="1"/>
  </r>
  <r>
    <x v="4"/>
    <x v="9"/>
    <n v="9"/>
    <s v="SS23"/>
    <s v="EARRINGS"/>
    <s v="SS23"/>
    <n v="3597165"/>
    <n v="3240000"/>
    <d v="2023-02-23T00:00:00"/>
    <n v="182243"/>
    <s v="RWR6476"/>
    <x v="7"/>
    <x v="0"/>
    <s v="WACC"/>
    <n v="6476"/>
    <n v="1"/>
    <s v="Credit Card"/>
    <n v="10368000"/>
    <n v="9425455"/>
    <n v="0"/>
    <n v="0"/>
    <n v="0"/>
    <s v="Ha_Nguyen"/>
    <s v="MAL - SILVER EARRINGS WITH NATURAL STONE EMERALD CUT  ONYX (OR BLACK SPINEL)"/>
    <s v="Ms. Cao Thi Thanh Yen"/>
    <s v="OA0135/V1"/>
    <n v="16"/>
    <s v="ONYX (OR BLACK S"/>
    <n v="10368000"/>
    <s v="U"/>
    <n v="9425455"/>
    <x v="24"/>
    <s v="0903333829"/>
    <n v="5828290"/>
    <x v="0"/>
    <x v="1"/>
  </r>
  <r>
    <x v="4"/>
    <x v="9"/>
    <n v="9"/>
    <s v="FW22"/>
    <s v="NECKLACE"/>
    <s v="FW22"/>
    <n v="1032111"/>
    <n v="899750"/>
    <d v="2023-02-23T00:00:00"/>
    <n v="174861"/>
    <s v="RWT3185"/>
    <x v="4"/>
    <x v="4"/>
    <s v="WACC"/>
    <n v="3185"/>
    <n v="1"/>
    <s v="Cash"/>
    <n v="5015000"/>
    <n v="4559091"/>
    <n v="0"/>
    <n v="0"/>
    <n v="0"/>
    <s v="Diem_Nguyen"/>
    <s v="GEO - NECKLACE  LONG AGATE"/>
    <s v="Mrs. Nguyen Thi Mai Huong"/>
    <s v="C4"/>
    <n v="17"/>
    <s v="MUTI"/>
    <n v="5015000"/>
    <s v="UN"/>
    <n v="4559091"/>
    <x v="26"/>
    <s v="0908402668"/>
    <n v="3526980"/>
    <x v="0"/>
    <x v="0"/>
  </r>
  <r>
    <x v="4"/>
    <x v="1"/>
    <n v="10"/>
    <s v="SS23"/>
    <s v="EARRINGS"/>
    <s v="SS23"/>
    <n v="7164355"/>
    <n v="6453000"/>
    <d v="2023-03-05T00:00:00"/>
    <n v="182235"/>
    <s v="RWT3271"/>
    <x v="7"/>
    <x v="4"/>
    <s v="WACC"/>
    <n v="3271"/>
    <n v="1"/>
    <s v="Check"/>
    <n v="20650000"/>
    <n v="18772727"/>
    <n v="0"/>
    <n v="0"/>
    <n v="0"/>
    <s v="Chau_Vuong"/>
    <s v="MAL - SILVER EARRINGS WITH ONE NATURAL STONE, OVAL CUT AND CASCATE OF  GROUMETTE CHAINS  SKY TOPAZ"/>
    <s v="Ms. Cao Thi Thanh Yen"/>
    <s v="OA0005/V3"/>
    <n v="13"/>
    <s v="SKY TOPAZ"/>
    <n v="20650000"/>
    <s v="U"/>
    <n v="18772727"/>
    <x v="25"/>
    <s v="0903333829"/>
    <n v="11608372"/>
    <x v="0"/>
    <x v="0"/>
  </r>
  <r>
    <x v="4"/>
    <x v="1"/>
    <n v="11"/>
    <s v="SS23"/>
    <s v="RING"/>
    <s v="SS23"/>
    <n v="3597165"/>
    <n v="3240000"/>
    <d v="2023-03-06T00:00:00"/>
    <n v="182181"/>
    <s v="RWT3284"/>
    <x v="7"/>
    <x v="4"/>
    <s v="WACC"/>
    <n v="3284"/>
    <n v="1"/>
    <s v="Cash"/>
    <n v="10368000"/>
    <n v="9425455"/>
    <n v="0"/>
    <n v="0"/>
    <n v="0"/>
    <s v="Chau_Vuong"/>
    <s v="MAL -ENGRAVED SILVER RING WITH NATURAL STONE, EMERALD CUT ( 14 X 12,40 X H 8 MM )   COLOR  ROCK CRYSTAL  TG 13"/>
    <s v="Mrs. Trinh Vinh Trinh"/>
    <s v="AA0093/V1"/>
    <n v="15"/>
    <s v="ROCK CRYSTAL"/>
    <n v="10368000"/>
    <n v="13"/>
    <n v="9425455"/>
    <x v="27"/>
    <s v="0903977953"/>
    <n v="5828290"/>
    <x v="0"/>
    <x v="0"/>
  </r>
  <r>
    <x v="4"/>
    <x v="1"/>
    <n v="11"/>
    <s v="SS23"/>
    <s v="EARRINGS"/>
    <s v="SS23"/>
    <n v="2263216"/>
    <n v="2038500"/>
    <d v="2023-03-09T00:00:00"/>
    <n v="182241"/>
    <s v="RWR6537"/>
    <x v="7"/>
    <x v="0"/>
    <s v="WACC"/>
    <n v="6537"/>
    <n v="1"/>
    <s v="Check"/>
    <n v="6197800"/>
    <n v="5634364"/>
    <n v="5"/>
    <n v="296545"/>
    <n v="326200"/>
    <s v="Nghia_Nguyen"/>
    <s v="MAL - SILVER EARRING WITH SMALL ENGRAVED HOOP AND MABE' PEARL  WHITE PEARL"/>
    <s v="Ms. Banh Yen Binh"/>
    <s v="OA0109"/>
    <n v="10"/>
    <s v="ENGRAVED HOOP AN"/>
    <n v="6524000"/>
    <s v="U"/>
    <n v="5930909"/>
    <x v="17"/>
    <s v="0918763959"/>
    <n v="3371148"/>
    <x v="0"/>
    <x v="0"/>
  </r>
  <r>
    <x v="4"/>
    <x v="1"/>
    <n v="11"/>
    <s v="SS23"/>
    <s v="NECKLACE"/>
    <s v="SS23"/>
    <n v="5245866"/>
    <n v="4725000"/>
    <d v="2023-03-09T00:00:00"/>
    <n v="182214"/>
    <s v="RWR6537"/>
    <x v="7"/>
    <x v="0"/>
    <s v="WACC"/>
    <n v="6537"/>
    <n v="1"/>
    <s v="Check"/>
    <n v="14364000"/>
    <n v="13058182"/>
    <n v="5"/>
    <n v="687273"/>
    <n v="756000"/>
    <s v="Nghia_Nguyen"/>
    <s v="MAL - SILVER NECKLACE 37.8G, TWO CHAINS WITH ELEMENTS (ENGRAVED LENTILS) AND SMALL FACETED STONES   RED GARNET"/>
    <s v="Ms. Banh Yen Binh"/>
    <s v="CA0106/V3"/>
    <n v="10"/>
    <s v="RED GARNET"/>
    <n v="15120000"/>
    <s v="U"/>
    <n v="13745455"/>
    <x v="17"/>
    <s v="0918763959"/>
    <n v="7812316"/>
    <x v="0"/>
    <x v="0"/>
  </r>
  <r>
    <x v="4"/>
    <x v="1"/>
    <n v="11"/>
    <s v="SS23"/>
    <s v="NECKLACE"/>
    <s v="SS23"/>
    <n v="6295039"/>
    <n v="5670000"/>
    <d v="2023-03-09T00:00:00"/>
    <n v="182211"/>
    <s v="RWR6537"/>
    <x v="7"/>
    <x v="0"/>
    <s v="WACC"/>
    <n v="6537"/>
    <n v="1"/>
    <s v="Check"/>
    <n v="17236800"/>
    <n v="15669818"/>
    <n v="5"/>
    <n v="824727"/>
    <n v="907200"/>
    <s v="Nghia_Nguyen"/>
    <s v="MAL - SILVER NECKLACE WITH 3 CHAINS, 1st CHAIN WITH WHITE PEARLS 6 MM, 2nd CHAIN WITH SHIVALINGAM AND 3 rd CHAIN WITH NATURAL DROP   ROCK CRYSTAL"/>
    <s v="Ms. Banh Yen Binh"/>
    <s v="CA0069/V1/GOCCIA"/>
    <n v="10"/>
    <s v="ROCK CRYSTAL"/>
    <n v="18144000"/>
    <s v="U"/>
    <n v="16494545"/>
    <x v="17"/>
    <s v="0918763959"/>
    <n v="9374779"/>
    <x v="0"/>
    <x v="0"/>
  </r>
  <r>
    <x v="4"/>
    <x v="1"/>
    <n v="12"/>
    <s v="SS23"/>
    <s v="EARRINGS"/>
    <s v="SS23"/>
    <n v="126437744"/>
    <n v="124432605"/>
    <d v="2023-03-14T00:00:00"/>
    <n v="181406"/>
    <s v="RWR6557"/>
    <x v="8"/>
    <x v="0"/>
    <s v="WACC"/>
    <n v="6557"/>
    <n v="1"/>
    <s v="Check"/>
    <n v="307803600"/>
    <n v="279821455"/>
    <n v="10"/>
    <n v="31091273"/>
    <n v="34200400"/>
    <s v="Nghia_Nguyen"/>
    <s v="NAN - DIAMONDS 76pcs ct0.98, BLACK DIAMOND 26pcs ct0.98, GREY DIAMOND 62pcs ct2.11,  ICE DIAMOND 38pcs ct0.8, RUBY 2pcs ct4.0"/>
    <s v="Ms. Pham Thi Vuong"/>
    <s v="OS30-584"/>
    <n v="12"/>
    <s v="DIAMONDS 76pcs c"/>
    <n v="342004000"/>
    <s v="U"/>
    <n v="310912727"/>
    <x v="6"/>
    <s v="0903805316"/>
    <n v="153383711"/>
    <x v="0"/>
    <x v="1"/>
  </r>
  <r>
    <x v="4"/>
    <x v="1"/>
    <n v="12"/>
    <s v="SS23"/>
    <s v="EARRINGS"/>
    <s v="SS23"/>
    <n v="33983409"/>
    <n v="30713500"/>
    <d v="2023-03-14T00:00:00"/>
    <n v="181412"/>
    <s v="RWR6556"/>
    <x v="6"/>
    <x v="0"/>
    <s v="WACC"/>
    <n v="6556"/>
    <n v="1"/>
    <s v="Debit Card"/>
    <n v="83074650"/>
    <n v="75522409"/>
    <n v="5"/>
    <n v="3974864"/>
    <n v="4372350"/>
    <s v="Nghia_Nguyen"/>
    <s v="GVC - WHITE/PINK GOLD P.OF EARRINGS 4.3g WITH DIAMOND 0.77CT"/>
    <s v="Ms. Pham Hoai Tram"/>
    <s v="B39412C"/>
    <n v="11"/>
    <s v="WHITE/PINK"/>
    <n v="87447000"/>
    <s v="U"/>
    <n v="79497273"/>
    <x v="4"/>
    <s v="0913081188"/>
    <n v="41539000"/>
    <x v="0"/>
    <x v="1"/>
  </r>
  <r>
    <x v="4"/>
    <x v="1"/>
    <n v="12"/>
    <s v="SS23"/>
    <s v="EARRINGS"/>
    <s v="SS23"/>
    <n v="1798582"/>
    <n v="1620000"/>
    <d v="2023-03-18T00:00:00"/>
    <n v="182252"/>
    <s v="RWT3414"/>
    <x v="7"/>
    <x v="4"/>
    <s v="WACC"/>
    <n v="3414"/>
    <n v="1"/>
    <s v="Cash"/>
    <n v="5184000"/>
    <n v="4712727"/>
    <n v="0"/>
    <n v="0"/>
    <n v="0"/>
    <s v="Chau_Vuong"/>
    <s v="MAL - SHRI EARRINGS IN SILVER WITH SMALL NATURAL STONE, EMERALD CUT (8X6)   BLACK SPINEL"/>
    <s v="Mrs. Nguyen Thi Mai Huong"/>
    <s v="OA0218/V1"/>
    <n v="20"/>
    <s v="BLACK SPINEL"/>
    <n v="5184000"/>
    <s v="U"/>
    <n v="4712727"/>
    <x v="28"/>
    <s v="0908402668"/>
    <n v="2914145"/>
    <x v="0"/>
    <x v="2"/>
  </r>
  <r>
    <x v="4"/>
    <x v="1"/>
    <n v="12"/>
    <s v="SS23"/>
    <s v="BRACELET"/>
    <s v="SS23"/>
    <n v="5245866"/>
    <n v="4725000"/>
    <d v="2023-03-19T00:00:00"/>
    <n v="182203"/>
    <s v="RWR6568"/>
    <x v="7"/>
    <x v="0"/>
    <s v="WACC"/>
    <n v="6568"/>
    <n v="1"/>
    <s v="Credit Card"/>
    <n v="15120000"/>
    <n v="13745455"/>
    <n v="0"/>
    <n v="0"/>
    <n v="0"/>
    <s v="Nghia_Nguyen"/>
    <s v="MAL - ENGRAVED SMALL TENNIS BRACELET IN SILVER 18.4G WITH 17 NATURAL STONES, EMERALD CUT (6X4)  BLACK SPINEL"/>
    <s v="Ms. Duong Thi Minh Chau"/>
    <s v="BA0126/S/V1"/>
    <n v="12"/>
    <s v="BLACK SPINEL"/>
    <n v="15120000"/>
    <s v="U"/>
    <n v="13745455"/>
    <x v="4"/>
    <s v="0903618988"/>
    <n v="8499589"/>
    <x v="0"/>
    <x v="1"/>
  </r>
  <r>
    <x v="4"/>
    <x v="1"/>
    <n v="13"/>
    <s v="FW22"/>
    <s v="NECKLACE"/>
    <s v="FW22"/>
    <n v="974585"/>
    <n v="849600"/>
    <d v="2023-03-21T00:00:00"/>
    <n v="174863"/>
    <s v="RWT3433"/>
    <x v="4"/>
    <x v="4"/>
    <s v="WACC"/>
    <n v="3433"/>
    <n v="1"/>
    <s v="Credit Card"/>
    <n v="4720000"/>
    <n v="4290909"/>
    <n v="0"/>
    <n v="0"/>
    <n v="0"/>
    <s v="Diem_Nguyen"/>
    <s v="GEO - NECKLACEDUMORTIERITE"/>
    <s v="Ms. Dinh Lan"/>
    <s v="C2"/>
    <n v="16"/>
    <s v="BLUE"/>
    <n v="4720000"/>
    <s v="UN"/>
    <n v="4290909"/>
    <x v="29"/>
    <s v="0978449355"/>
    <n v="3316324"/>
    <x v="0"/>
    <x v="1"/>
  </r>
  <r>
    <x v="4"/>
    <x v="1"/>
    <n v="13"/>
    <s v="SS23"/>
    <s v="EARRINGS"/>
    <s v="SS23"/>
    <n v="34255219"/>
    <n v="33711975"/>
    <d v="2023-03-23T00:00:00"/>
    <n v="181390"/>
    <s v="HQ329"/>
    <x v="8"/>
    <x v="5"/>
    <s v="WACC"/>
    <n v="329"/>
    <n v="1"/>
    <s v="Check"/>
    <n v="83392200"/>
    <n v="75811091"/>
    <n v="10"/>
    <n v="8423455"/>
    <n v="9265800"/>
    <s v="son_tran"/>
    <s v="NAN - TRASFORMISTA EARRINGS GOLD 9.65"/>
    <s v="Mrs. Pham Thuy Nga"/>
    <s v="OA3-316"/>
    <n v="9"/>
    <s v="GOLD 9.65"/>
    <n v="92658000"/>
    <s v="U"/>
    <n v="84234545"/>
    <x v="16"/>
    <s v="0908545384"/>
    <n v="41555872"/>
    <x v="0"/>
    <x v="2"/>
  </r>
  <r>
    <x v="4"/>
    <x v="1"/>
    <n v="13"/>
    <s v="FW22"/>
    <s v="NECKLACE"/>
    <s v="FW22"/>
    <n v="2910219"/>
    <n v="2537000"/>
    <d v="2023-03-26T00:00:00"/>
    <n v="174901"/>
    <s v="RHN1999"/>
    <x v="4"/>
    <x v="1"/>
    <s v="WACC"/>
    <n v="1999"/>
    <n v="1"/>
    <s v="Credit Card"/>
    <n v="14160000"/>
    <n v="12872727"/>
    <n v="0"/>
    <n v="0"/>
    <n v="0"/>
    <s v="Ngoc_Nguyen"/>
    <s v="GEO - NECKLACE TURQUOISE"/>
    <s v="Ms. Le Tra My"/>
    <s v="I6"/>
    <n v="15"/>
    <s v="GREEN"/>
    <n v="14160000"/>
    <s v="UN"/>
    <n v="12872727"/>
    <x v="14"/>
    <s v="0936888888"/>
    <n v="9962508"/>
    <x v="0"/>
    <x v="1"/>
  </r>
  <r>
    <x v="4"/>
    <x v="1"/>
    <n v="14"/>
    <s v="FW22"/>
    <s v="RING"/>
    <s v="FW22"/>
    <n v="913673"/>
    <n v="796500"/>
    <d v="2023-03-28T00:00:00"/>
    <n v="174916"/>
    <s v="RWR6601"/>
    <x v="4"/>
    <x v="0"/>
    <s v="WACC"/>
    <n v="6601"/>
    <n v="1"/>
    <s v="Credit Card"/>
    <n v="4425000"/>
    <n v="4022727"/>
    <n v="0"/>
    <n v="0"/>
    <n v="0"/>
    <s v="Ha_Nguyen"/>
    <s v="GEO - RING M.PEARL"/>
    <s v="Ms. Ngo Thuy Ha"/>
    <s v="CO"/>
    <n v="11"/>
    <s v="WHITE"/>
    <n v="4425000"/>
    <s v="UN"/>
    <n v="4022727"/>
    <x v="19"/>
    <s v="0904150888"/>
    <n v="3109054"/>
    <x v="0"/>
    <x v="0"/>
  </r>
  <r>
    <x v="4"/>
    <x v="2"/>
    <n v="14"/>
    <s v="FW22"/>
    <s v="NECKLACE"/>
    <s v="FW22"/>
    <n v="1336670"/>
    <n v="1165250"/>
    <d v="2023-04-01T00:00:00"/>
    <n v="174874"/>
    <s v="RHN2030"/>
    <x v="4"/>
    <x v="1"/>
    <s v="WACC"/>
    <n v="2030"/>
    <n v="1"/>
    <s v="Split"/>
    <n v="6490000"/>
    <n v="5900000"/>
    <n v="0"/>
    <n v="0"/>
    <n v="0"/>
    <s v="Huyen_Dang"/>
    <s v="GEO - NECKLACE TORMALINE"/>
    <s v="Ms. Nguyen Hong Thuy"/>
    <s v="D4"/>
    <n v="19"/>
    <s v="MUTI"/>
    <n v="6490000"/>
    <s v="UN"/>
    <n v="5900000"/>
    <x v="30"/>
    <s v="0988660486"/>
    <n v="4563330"/>
    <x v="0"/>
    <x v="2"/>
  </r>
  <r>
    <x v="4"/>
    <x v="2"/>
    <n v="15"/>
    <s v="FW22"/>
    <s v="NECKLACE"/>
    <s v="FW22"/>
    <n v="2010080"/>
    <n v="1752300"/>
    <d v="2023-04-06T00:00:00"/>
    <n v="174895"/>
    <s v="RHN2048"/>
    <x v="4"/>
    <x v="1"/>
    <s v="WACC"/>
    <n v="2048"/>
    <n v="1"/>
    <s v="Check"/>
    <n v="9735000"/>
    <n v="8850000"/>
    <n v="0"/>
    <n v="0"/>
    <n v="0"/>
    <s v="Ngoc_Nguyen"/>
    <s v="GEO - NECKLACE CORNELIAN"/>
    <s v="Minh Anh"/>
    <s v="F6"/>
    <n v="12"/>
    <s v="BROWN"/>
    <n v="9735000"/>
    <s v="UN"/>
    <n v="8850000"/>
    <x v="3"/>
    <s v="0372224003"/>
    <n v="6839920"/>
    <x v="0"/>
    <x v="1"/>
  </r>
  <r>
    <x v="4"/>
    <x v="2"/>
    <n v="17"/>
    <s v="FW17"/>
    <s v="JEWELRY"/>
    <s v="FW17"/>
    <n v="15421801"/>
    <n v="16753300.000000002"/>
    <d v="2023-04-19T00:00:00"/>
    <n v="125438"/>
    <s v="RHN2154"/>
    <x v="3"/>
    <x v="1"/>
    <s v="WACC"/>
    <n v="2154"/>
    <n v="1"/>
    <s v="Check"/>
    <n v="33381000"/>
    <n v="30346364"/>
    <n v="0"/>
    <n v="0"/>
    <n v="0"/>
    <s v="Ngoc_Nguyen"/>
    <s v="TM SMALL SLUG POST EARRINGS 14K"/>
    <s v="Mrs. Nguyen Thi Xuan"/>
    <s v="GK393"/>
    <n v="15"/>
    <s v="GOLD"/>
    <n v="33381000"/>
    <s v="U"/>
    <n v="30346364"/>
    <x v="30"/>
    <s v="0888329268"/>
    <n v="14924563"/>
    <x v="0"/>
    <x v="2"/>
  </r>
  <r>
    <x v="4"/>
    <x v="2"/>
    <n v="17"/>
    <s v="SS23"/>
    <s v="EARRINGS"/>
    <s v="SS23"/>
    <n v="2068370"/>
    <n v="1863000"/>
    <d v="2023-04-19T00:00:00"/>
    <n v="182249"/>
    <s v="RWR6719"/>
    <x v="7"/>
    <x v="0"/>
    <s v="WACC"/>
    <n v="6719"/>
    <n v="1"/>
    <s v="Check"/>
    <n v="5663900"/>
    <n v="5149000"/>
    <n v="5"/>
    <n v="271000"/>
    <n v="298100"/>
    <s v="Nghia_Nguyen"/>
    <s v="MAL - SILVER EARRINGS, 1 SMALL PEARL AND 1 LARGE PEARL"/>
    <s v="Ms. Nguyen Thanh Mai"/>
    <s v="OA0177/S"/>
    <n v="17"/>
    <s v="1 SMALL PEARL AN"/>
    <n v="5962000"/>
    <s v="U"/>
    <n v="5420000"/>
    <x v="21"/>
    <s v="0902825362"/>
    <n v="3080630"/>
    <x v="0"/>
    <x v="1"/>
  </r>
  <r>
    <x v="4"/>
    <x v="2"/>
    <n v="18"/>
    <s v="SS23"/>
    <s v="RING"/>
    <s v="SS23"/>
    <n v="63338832"/>
    <n v="62334360"/>
    <d v="2023-04-29T00:00:00"/>
    <n v="181400"/>
    <s v="RWR6764"/>
    <x v="8"/>
    <x v="0"/>
    <s v="WACC"/>
    <n v="6764"/>
    <n v="1"/>
    <s v="Split"/>
    <n v="154193400"/>
    <n v="140175818"/>
    <n v="10"/>
    <n v="15575091"/>
    <n v="17132600"/>
    <s v="Nghia_Nguyen"/>
    <s v="NAN - DIAMONDS 30pcs ct, BLACK DIAMOND 13pcs ct0.49, GREY DIAMOND 28pcs ct0.23, ICE DIAMOND 18pcs ct0.43, RHODOLITE 2pcs ct0.18, RUBY 1pc ct2.0"/>
    <s v="Ms. Nguyen Thanh Mai"/>
    <s v="AS26-584"/>
    <n v="18"/>
    <s v="DIAMONDS 30pcs c"/>
    <n v="171326000"/>
    <s v="U"/>
    <n v="155750909"/>
    <x v="21"/>
    <s v="0902825362"/>
    <n v="76836986"/>
    <x v="0"/>
    <x v="1"/>
  </r>
  <r>
    <x v="4"/>
    <x v="3"/>
    <n v="19"/>
    <s v="SS23"/>
    <s v="NECKLACE"/>
    <s v="SS23"/>
    <n v="41533698"/>
    <n v="35139600"/>
    <d v="2023-05-04T00:00:00"/>
    <n v="186479"/>
    <s v="RWR6785"/>
    <x v="1"/>
    <x v="0"/>
    <s v="WACC"/>
    <n v="6785"/>
    <n v="1"/>
    <s v="Account"/>
    <n v="108493800"/>
    <n v="98630727"/>
    <n v="5"/>
    <n v="5191091"/>
    <n v="5710200"/>
    <s v="Ha_Nguyen"/>
    <s v="RM-PE OLYMPE S ST S DIA BLK 1G CO PE-C-OLYMPE-36 Necklaces - Chain - With Setting Sterling Silver - Black Diamond: 24p, 1.65ct - Cognac Diamonds:188p, 1.70ct"/>
    <s v="Mrs. Phan Lan Phuong"/>
    <s v="PE-001767"/>
    <n v="19"/>
    <s v="Black Diamond, C"/>
    <n v="114204000"/>
    <s v="U"/>
    <n v="103821818"/>
    <x v="6"/>
    <s v="0977317777"/>
    <n v="57097029"/>
    <x v="0"/>
    <x v="1"/>
  </r>
  <r>
    <x v="4"/>
    <x v="3"/>
    <n v="19"/>
    <s v="SS23"/>
    <s v="NECKLACE"/>
    <s v="SS23"/>
    <n v="25020328"/>
    <n v="21310800"/>
    <d v="2023-05-04T00:00:00"/>
    <n v="186475"/>
    <s v="RWR6784"/>
    <x v="1"/>
    <x v="0"/>
    <s v="WACC"/>
    <n v="6784"/>
    <n v="1"/>
    <s v="Account"/>
    <n v="65797950"/>
    <n v="59816318"/>
    <n v="5"/>
    <n v="3148227"/>
    <n v="3463050"/>
    <s v="Ha_Nguyen"/>
    <s v="RM-PE 102G A V S ST DIA IG CO SBL 3R PE-C-102GAV-7 Necklaces - Chain - With Setting Sterling Silver - Icy Grey Diamonds + Cognac Diamonds: 126p, 1.44ct - Blue Sapphires: 18p, 0.23ct"/>
    <s v="Mrs. Phan Lan Phuong"/>
    <s v="PE-001805"/>
    <n v="19"/>
    <s v="Blue Sapphires,"/>
    <n v="69261000"/>
    <s v="U"/>
    <n v="62964545"/>
    <x v="15"/>
    <s v="0977317777"/>
    <n v="34795990"/>
    <x v="0"/>
    <x v="1"/>
  </r>
  <r>
    <x v="4"/>
    <x v="3"/>
    <n v="19"/>
    <s v="SS23"/>
    <s v="EARRINGS"/>
    <s v="SS23"/>
    <n v="9280769"/>
    <n v="8875200"/>
    <d v="2023-05-04T00:00:00"/>
    <n v="186457"/>
    <s v="RWR6784"/>
    <x v="1"/>
    <x v="0"/>
    <s v="WACC"/>
    <n v="6784"/>
    <n v="1"/>
    <s v="Account"/>
    <n v="27402750"/>
    <n v="24911591"/>
    <n v="5"/>
    <n v="1311136"/>
    <n v="1442250"/>
    <s v="Ha_Nguyen"/>
    <s v="RM-BO BELQUIS D ST DIA IG GRT BO-C-BELQUISD-22 Earrings - Setting Each Piece: Sterling Silver - Icy Grey Diamonds: 17p, 0.16ct - Garnet: 1p, 0.98ct"/>
    <s v="Mrs. Phan Lan Phuong"/>
    <s v="BO-000097"/>
    <n v="19"/>
    <s v="Garnet, Icy Grey"/>
    <n v="28845000"/>
    <s v="U"/>
    <n v="26222727"/>
    <x v="15"/>
    <s v="0977317777"/>
    <n v="15630822"/>
    <x v="0"/>
    <x v="1"/>
  </r>
  <r>
    <x v="4"/>
    <x v="3"/>
    <n v="19"/>
    <s v="SS23"/>
    <s v="EARRINGS"/>
    <s v="SS23"/>
    <n v="45734672"/>
    <n v="38700000"/>
    <d v="2023-05-04T00:00:00"/>
    <n v="186460"/>
    <s v="RWR6784"/>
    <x v="1"/>
    <x v="0"/>
    <s v="WACC"/>
    <n v="6784"/>
    <n v="1"/>
    <s v="Account"/>
    <n v="119486250"/>
    <n v="108623864"/>
    <n v="5"/>
    <n v="5717045"/>
    <n v="6288750"/>
    <s v="Ha_Nguyen"/>
    <s v="RM-BO BIKRAM V ST DIA IY GRT IY BO-C-BIKRAMV-4 Earrings - Setting Each Piece: Sterling Silver - Icy Yellow Diamonds: 19p, 0.95ct - Garnet: 1p, 6.42ct - IY : 4p, 0.06ct"/>
    <s v="Mrs. Phan Lan Phuong"/>
    <s v="BO-000142"/>
    <n v="19"/>
    <s v="Garnet, Icy Yell"/>
    <n v="125775000"/>
    <s v="U"/>
    <n v="114340909"/>
    <x v="15"/>
    <s v="0977317777"/>
    <n v="62889192"/>
    <x v="0"/>
    <x v="1"/>
  </r>
  <r>
    <x v="4"/>
    <x v="3"/>
    <n v="19"/>
    <s v="SS23"/>
    <s v="EARRINGS"/>
    <s v="SS23"/>
    <n v="11219376"/>
    <n v="9494400"/>
    <d v="2023-05-04T00:00:00"/>
    <n v="186461"/>
    <s v="RWR6784"/>
    <x v="1"/>
    <x v="0"/>
    <s v="WACC"/>
    <n v="6784"/>
    <n v="1"/>
    <s v="Account"/>
    <n v="29314150"/>
    <n v="26649227"/>
    <n v="5"/>
    <n v="1402591"/>
    <n v="1542850"/>
    <s v="Ha_Nguyen"/>
    <s v="RM-BO SONG 1 F DIA 8X8 BO-H-SONG1F-2 Earrings - Setting Each Piece: Sterling Silver - 8X8 Cut Diamonds: 43p, 0.34ct"/>
    <s v="Mrs. Phan Lan Phuong"/>
    <s v="BO-000324"/>
    <n v="19"/>
    <s v="8x8 Cut Diamonds"/>
    <n v="30857000"/>
    <s v="U"/>
    <n v="28051818"/>
    <x v="15"/>
    <s v="0977317777"/>
    <n v="15429851"/>
    <x v="0"/>
    <x v="1"/>
  </r>
  <r>
    <x v="4"/>
    <x v="3"/>
    <n v="19"/>
    <s v="SS23"/>
    <s v="NECKLACE"/>
    <s v="SS23"/>
    <n v="21455027"/>
    <n v="18163200"/>
    <d v="2023-05-04T00:00:00"/>
    <n v="186476"/>
    <s v="RWR6784"/>
    <x v="1"/>
    <x v="0"/>
    <s v="WACC"/>
    <n v="6784"/>
    <n v="1"/>
    <s v="Account"/>
    <n v="56079450"/>
    <n v="50981318"/>
    <n v="5"/>
    <n v="2683227"/>
    <n v="2951550"/>
    <s v="Ha_Nguyen"/>
    <s v="RM-PE 128 G V ST DIA IG GRT PE-C-128GV-2 Necklaces - Chain - With Setting Sterling Silver - Icy Grey Diamonds: 43p, 0.50ct - Garnet: 1p, 4.61ct"/>
    <s v="Mrs. Phan Lan Phuong"/>
    <s v="PE-001875"/>
    <n v="19"/>
    <s v="Garnet, Icy Grey"/>
    <n v="59031000"/>
    <s v="U"/>
    <n v="53664545"/>
    <x v="15"/>
    <s v="0977317777"/>
    <n v="29526291"/>
    <x v="0"/>
    <x v="1"/>
  </r>
  <r>
    <x v="4"/>
    <x v="3"/>
    <n v="19"/>
    <s v="SS23"/>
    <s v="EARRINGS"/>
    <s v="SS23"/>
    <n v="27250962"/>
    <n v="23065200"/>
    <d v="2023-05-04T00:00:00"/>
    <n v="186454"/>
    <s v="RWR6784"/>
    <x v="1"/>
    <x v="0"/>
    <s v="WACC"/>
    <n v="6784"/>
    <n v="1"/>
    <s v="Account"/>
    <n v="71213900"/>
    <n v="64739909"/>
    <n v="5"/>
    <n v="3407364"/>
    <n v="3748100"/>
    <s v="Ha_Nguyen"/>
    <s v="RM-BO BEGUM S ST C1½ DIA IG SBL BO-C-BEGUM-18 Earrings - Setting Each Piece: Sterling Silver -  Icy Grey Diamonds: 32p, 0.32ct - Blue Sapphires: 50p, 0.7ct - Black"/>
    <s v="Mrs. Phan Lan Phuong"/>
    <s v="BO-000385"/>
    <n v="19"/>
    <s v="Blue Sapphires,"/>
    <n v="74962000"/>
    <s v="U"/>
    <n v="68147273"/>
    <x v="15"/>
    <s v="0977317777"/>
    <n v="37488947"/>
    <x v="0"/>
    <x v="1"/>
  </r>
  <r>
    <x v="4"/>
    <x v="3"/>
    <n v="19"/>
    <s v="SS23"/>
    <s v="EARRINGS"/>
    <s v="SS23"/>
    <n v="36067946"/>
    <n v="35495955"/>
    <d v="2023-05-04T00:00:00"/>
    <n v="181405"/>
    <s v="RWR6784"/>
    <x v="8"/>
    <x v="0"/>
    <s v="WACC"/>
    <n v="6784"/>
    <n v="1"/>
    <s v="Account"/>
    <n v="100742750"/>
    <n v="91584318"/>
    <n v="5"/>
    <n v="4820227"/>
    <n v="5302250"/>
    <s v="Ha_Nguyen"/>
    <s v="NAN - AMETHYST 12pcs ct0.82, DIAMONDS 10pcs ct0.05, LABRADORITE 2pcs ct1.9,TSAVORITE 30pcs ct0.71, GREEN SAPPHIRE 26pcs ct1.13, PINK SAPPHIRE 16pcs ct0.58"/>
    <s v="Mrs. Phan Lan Phuong"/>
    <s v="OS26-584"/>
    <n v="19"/>
    <s v="AMETHYST 12pcs c"/>
    <n v="106045000"/>
    <s v="U"/>
    <n v="96404545"/>
    <x v="15"/>
    <s v="0977317777"/>
    <n v="55516372"/>
    <x v="0"/>
    <x v="1"/>
  </r>
  <r>
    <x v="4"/>
    <x v="3"/>
    <n v="19"/>
    <s v="SS23"/>
    <s v="EARRINGS"/>
    <s v="SS23"/>
    <n v="4196693"/>
    <n v="3780000"/>
    <d v="2023-05-06T00:00:00"/>
    <n v="182244"/>
    <s v="RWT3833"/>
    <x v="7"/>
    <x v="4"/>
    <s v="WACC"/>
    <n v="3833"/>
    <n v="1"/>
    <s v="Credit Card"/>
    <n v="12096000"/>
    <n v="10996364"/>
    <n v="0"/>
    <n v="0"/>
    <n v="0"/>
    <s v="Diem_Nguyen"/>
    <s v="MAL - SILVER EARRINGS WITH NATURAL STONE, EMERALD CUT   CITRINE"/>
    <s v="Mrs. Huynh Thi Kim Hoa"/>
    <s v="OA0135/V2"/>
    <n v="14"/>
    <s v="EMERALD CUT CITR"/>
    <n v="12096000"/>
    <s v="U"/>
    <n v="10996364"/>
    <x v="29"/>
    <s v="0903363131"/>
    <n v="6799671"/>
    <x v="0"/>
    <x v="1"/>
  </r>
  <r>
    <x v="4"/>
    <x v="3"/>
    <n v="21"/>
    <s v="SS23"/>
    <s v="NECKLACE"/>
    <s v="SS23"/>
    <n v="5056788"/>
    <n v="4549500"/>
    <d v="2023-05-16T00:00:00"/>
    <n v="182208"/>
    <s v="RHN2299"/>
    <x v="7"/>
    <x v="1"/>
    <s v="WACC"/>
    <n v="2299"/>
    <n v="1"/>
    <s v="Credit Card"/>
    <n v="14559000"/>
    <n v="13235455"/>
    <n v="0"/>
    <n v="0"/>
    <n v="0"/>
    <s v="Ngoc_Nguyen"/>
    <s v="MAL - SILVER NECKLACE, SHIVA LINGAM, ROUND ENGRAVED LINKS AND BAROQUE PEARLS (WHITE/GRAY) CM 107"/>
    <s v="Mrs. Tran Thi Viet Anh"/>
    <s v="CA0022NW"/>
    <n v="15"/>
    <s v="PEARLS (WHITE/GR"/>
    <n v="14559000"/>
    <s v="U"/>
    <n v="13235455"/>
    <x v="13"/>
    <s v="0903451968"/>
    <n v="8178667"/>
    <x v="0"/>
    <x v="0"/>
  </r>
  <r>
    <x v="4"/>
    <x v="3"/>
    <n v="22"/>
    <s v="FW22"/>
    <s v="NECKLACE"/>
    <s v="FW22"/>
    <n v="1336670"/>
    <n v="1165250"/>
    <d v="2023-05-25T00:00:00"/>
    <n v="174871"/>
    <s v="RHN2347"/>
    <x v="4"/>
    <x v="1"/>
    <s v="WACC"/>
    <n v="2347"/>
    <n v="1"/>
    <s v="Credit Card"/>
    <n v="6490000"/>
    <n v="5900000"/>
    <n v="0"/>
    <n v="0"/>
    <n v="0"/>
    <s v="Ngoc_Nguyen"/>
    <s v="GEO - NECKLACE SODALITE"/>
    <s v="Ms. Nguyen Bao Chi"/>
    <s v="D4"/>
    <n v="13"/>
    <s v="BLACK"/>
    <n v="6490000"/>
    <s v="UN"/>
    <n v="5900000"/>
    <x v="13"/>
    <s v="0906686858"/>
    <n v="4563330"/>
    <x v="0"/>
    <x v="0"/>
  </r>
  <r>
    <x v="4"/>
    <x v="3"/>
    <n v="22"/>
    <s v="SS23"/>
    <s v="RING"/>
    <s v="SS23"/>
    <n v="73816420"/>
    <n v="66713750"/>
    <d v="2023-05-25T00:00:00"/>
    <n v="181419"/>
    <s v="RWR6839"/>
    <x v="6"/>
    <x v="0"/>
    <s v="WACC"/>
    <n v="6839"/>
    <n v="1"/>
    <s v="Account"/>
    <n v="196138900"/>
    <n v="178308091"/>
    <n v="5"/>
    <n v="9384636"/>
    <n v="10323100"/>
    <s v="Ha_Nguyen"/>
    <s v="GVC - PINK GOLD RING 4.3g WITH DIAMOND 1.73CT ( PRINCESS CUT CT 1.14)"/>
    <s v="Mrs. Bui Lan"/>
    <s v="AR17049"/>
    <n v="18"/>
    <s v="PINK"/>
    <n v="206462000"/>
    <n v="12"/>
    <n v="187692727"/>
    <x v="20"/>
    <s v="0903751574"/>
    <n v="104491671"/>
    <x v="0"/>
    <x v="0"/>
  </r>
  <r>
    <x v="4"/>
    <x v="3"/>
    <n v="23"/>
    <s v="SS23"/>
    <s v="NECKLACE"/>
    <s v="SS23"/>
    <n v="26822379"/>
    <n v="22704000"/>
    <d v="2023-05-29T00:00:00"/>
    <n v="186480"/>
    <s v="RWR6852"/>
    <x v="1"/>
    <x v="0"/>
    <s v="WACC"/>
    <n v="6852"/>
    <n v="1"/>
    <s v="Split"/>
    <n v="70098600"/>
    <n v="63726000"/>
    <n v="5"/>
    <n v="3354000"/>
    <n v="3689400"/>
    <s v="Ha_Nguyen"/>
    <s v="RM-PE OLYMPE A V S ST DIA IG 3R RU PE-C-OLYMPEAV-33 Necklaces - Chain - With Setting Sterling Silver - Icy Grey Diamonds: 185p, 1.41ct - Ruby: 1p"/>
    <s v="Mrs. Duong Quynh Huong"/>
    <s v="PE-001770"/>
    <n v="16"/>
    <s v="Ruby, Icy Grey D"/>
    <n v="73788000"/>
    <s v="U"/>
    <n v="67080000"/>
    <x v="15"/>
    <s v="0937369369"/>
    <n v="36903621"/>
    <x v="0"/>
    <x v="1"/>
  </r>
  <r>
    <x v="4"/>
    <x v="3"/>
    <n v="23"/>
    <s v="SS23"/>
    <s v="RING"/>
    <s v="SS23"/>
    <n v="-73816420"/>
    <n v="-66713750"/>
    <d v="2023-05-31T00:00:00"/>
    <n v="181419"/>
    <s v="RWR6857"/>
    <x v="6"/>
    <x v="0"/>
    <s v="WACC"/>
    <n v="6857"/>
    <n v="-1"/>
    <s v="None"/>
    <n v="-196138900"/>
    <n v="-178308091"/>
    <n v="5"/>
    <n v="-9384636"/>
    <n v="-10323100"/>
    <s v="Nghia_Nguyen"/>
    <s v="GVC - PINK GOLD RING 4.3g WITH DIAMOND 1.73CT ( PRINCESS CUT CT 1.14)"/>
    <s v="Mrs. Bui Lan"/>
    <s v="AR17049"/>
    <n v="15"/>
    <s v="PINK"/>
    <n v="-206462000"/>
    <n v="12"/>
    <n v="-187692727"/>
    <x v="20"/>
    <s v="0903751574"/>
    <n v="-104491671"/>
    <x v="0"/>
    <x v="0"/>
  </r>
  <r>
    <x v="4"/>
    <x v="4"/>
    <n v="23"/>
    <s v="FW22"/>
    <s v="NECKLACE"/>
    <s v="FW22"/>
    <n v="1336670"/>
    <n v="1165250"/>
    <d v="2023-06-03T00:00:00"/>
    <n v="174871"/>
    <s v="RWR6869"/>
    <x v="4"/>
    <x v="0"/>
    <s v="WACC"/>
    <n v="6869"/>
    <n v="1"/>
    <s v="Credit Card"/>
    <n v="6490000"/>
    <n v="5900000"/>
    <n v="0"/>
    <n v="0"/>
    <n v="0"/>
    <s v="Ha_Nguyen"/>
    <s v="GEO - NECKLACE SODALITE"/>
    <s v="Mrs. Nguyen Thi Huyen"/>
    <s v="D4"/>
    <n v="11"/>
    <s v="BLACK"/>
    <n v="6490000"/>
    <s v="UN"/>
    <n v="5900000"/>
    <x v="4"/>
    <s v="0903689100"/>
    <n v="4563330"/>
    <x v="0"/>
    <x v="1"/>
  </r>
  <r>
    <x v="4"/>
    <x v="4"/>
    <n v="23"/>
    <s v="FW22"/>
    <s v="NECKLACE"/>
    <s v="FW22"/>
    <n v="1150552"/>
    <n v="1003000"/>
    <d v="2023-06-03T00:00:00"/>
    <n v="174864"/>
    <s v="RWR6869"/>
    <x v="4"/>
    <x v="0"/>
    <s v="WACC"/>
    <n v="6869"/>
    <n v="1"/>
    <s v="Credit Card"/>
    <n v="5605000"/>
    <n v="5095455"/>
    <n v="0"/>
    <n v="0"/>
    <n v="0"/>
    <s v="Ha_Nguyen"/>
    <s v="GEO - NECKLACE MOSS AGATE"/>
    <s v="Mrs. Nguyen Thi Huyen"/>
    <s v="C8"/>
    <n v="11"/>
    <s v="GREEN"/>
    <n v="5605000"/>
    <s v="UN"/>
    <n v="5095455"/>
    <x v="4"/>
    <s v="0903689100"/>
    <n v="3944903"/>
    <x v="0"/>
    <x v="1"/>
  </r>
  <r>
    <x v="4"/>
    <x v="4"/>
    <n v="23"/>
    <s v="FW22"/>
    <s v="NECKLACE"/>
    <s v="FW22"/>
    <n v="1279142"/>
    <n v="1115100"/>
    <d v="2023-06-03T00:00:00"/>
    <n v="174869"/>
    <s v="RWR6869"/>
    <x v="4"/>
    <x v="0"/>
    <s v="WACC"/>
    <n v="6869"/>
    <n v="1"/>
    <s v="Credit Card"/>
    <n v="6195000"/>
    <n v="5631818"/>
    <n v="0"/>
    <n v="0"/>
    <n v="0"/>
    <s v="Ha_Nguyen"/>
    <s v="GEO - NECKLACE PEARL"/>
    <s v="Mrs. Nguyen Thi Huyen"/>
    <s v="D2"/>
    <n v="11"/>
    <s v="WHITE"/>
    <n v="6195000"/>
    <s v="UN"/>
    <n v="5631818"/>
    <x v="4"/>
    <s v="0903689100"/>
    <n v="4352676"/>
    <x v="0"/>
    <x v="1"/>
  </r>
  <r>
    <x v="4"/>
    <x v="4"/>
    <n v="23"/>
    <s v="FW22"/>
    <s v="NECKLACE"/>
    <s v="FW22"/>
    <n v="1336670"/>
    <n v="1165250"/>
    <d v="2023-06-03T00:00:00"/>
    <n v="174874"/>
    <s v="RWR6869"/>
    <x v="4"/>
    <x v="0"/>
    <s v="WACC"/>
    <n v="6869"/>
    <n v="1"/>
    <s v="Credit Card"/>
    <n v="6490000"/>
    <n v="5900000"/>
    <n v="0"/>
    <n v="0"/>
    <n v="0"/>
    <s v="Ha_Nguyen"/>
    <s v="GEO - NECKLACE TORMALINE"/>
    <s v="Mrs. Nguyen Thi Huyen"/>
    <s v="D4"/>
    <n v="11"/>
    <s v="MUTI"/>
    <n v="6490000"/>
    <s v="UN"/>
    <n v="5900000"/>
    <x v="4"/>
    <s v="0903689100"/>
    <n v="4563330"/>
    <x v="0"/>
    <x v="1"/>
  </r>
  <r>
    <x v="4"/>
    <x v="4"/>
    <n v="24"/>
    <s v="SS23"/>
    <s v="RING"/>
    <s v="SS23"/>
    <n v="2098346"/>
    <n v="1890000"/>
    <d v="2023-06-09T00:00:00"/>
    <n v="182166"/>
    <s v="RHN2411"/>
    <x v="7"/>
    <x v="1"/>
    <s v="WACC"/>
    <n v="2411"/>
    <n v="1"/>
    <s v="Check"/>
    <n v="6048000"/>
    <n v="5498182"/>
    <n v="0"/>
    <n v="0"/>
    <n v="0"/>
    <s v="Ngoc_Nguyen"/>
    <s v="MAL - SILVER ENGRAVED RING &quot;SOLITAIRE&quot; WITH FACETED STONE 8MM - BLACK SPINEL   TG 12"/>
    <s v="Le Hoang Phuong"/>
    <s v="AA0050"/>
    <n v="14"/>
    <s v="BLACK SPINEL"/>
    <n v="6048000"/>
    <n v="12"/>
    <n v="5498182"/>
    <x v="10"/>
    <s v="0388883333"/>
    <n v="3399836"/>
    <x v="0"/>
    <x v="1"/>
  </r>
  <r>
    <x v="4"/>
    <x v="4"/>
    <n v="26"/>
    <s v="SS23"/>
    <s v="RING"/>
    <s v="SS23"/>
    <n v="-1798582"/>
    <n v="-1620000"/>
    <d v="2023-06-19T00:00:00"/>
    <n v="182192"/>
    <s v="RWR6934"/>
    <x v="7"/>
    <x v="0"/>
    <s v="WACC"/>
    <n v="6934"/>
    <n v="-1"/>
    <s v="Credit Card"/>
    <n v="-5184000"/>
    <n v="-4712727"/>
    <n v="0"/>
    <n v="0"/>
    <n v="0"/>
    <s v="Nghia_Nguyen"/>
    <s v="MAL - ENGRAVED SILVER RING, SHRI CAPSULE, ONE NATURAL STONE EMERALD CUT (6X6)  SKY TOPAZ   TG 12"/>
    <s v="Tourist"/>
    <s v="AA0118/V1/12"/>
    <n v="19"/>
    <s v="SKY TOPAZ"/>
    <n v="-5184000"/>
    <n v="12"/>
    <n v="-4712727"/>
    <x v="31"/>
    <m/>
    <n v="-2914145"/>
    <x v="0"/>
    <x v="0"/>
  </r>
  <r>
    <x v="4"/>
    <x v="4"/>
    <n v="26"/>
    <s v="SS23"/>
    <s v="RING"/>
    <s v="SS23"/>
    <n v="1798582"/>
    <n v="1620000"/>
    <d v="2023-06-19T00:00:00"/>
    <n v="182192"/>
    <s v="RWR6933"/>
    <x v="7"/>
    <x v="0"/>
    <s v="WACC"/>
    <n v="6933"/>
    <n v="1"/>
    <s v="Credit Card"/>
    <n v="5184000"/>
    <n v="4712727"/>
    <n v="0"/>
    <n v="0"/>
    <n v="0"/>
    <s v="Ha_Nguyen"/>
    <s v="MAL - ENGRAVED SILVER RING, SHRI CAPSULE, ONE NATURAL STONE EMERALD CUT (6X6)  SKY TOPAZ   TG 12"/>
    <s v="Tourist"/>
    <s v="AA0118/V1/12"/>
    <n v="16"/>
    <s v="SKY TOPAZ"/>
    <n v="5184000"/>
    <n v="12"/>
    <n v="4712727"/>
    <x v="31"/>
    <m/>
    <n v="2914145"/>
    <x v="0"/>
    <x v="0"/>
  </r>
  <r>
    <x v="4"/>
    <x v="4"/>
    <n v="26"/>
    <s v="SS23"/>
    <s v="RING"/>
    <s v="SS23"/>
    <n v="1798582"/>
    <n v="1620000"/>
    <d v="2023-06-19T00:00:00"/>
    <n v="182192"/>
    <s v="RWR6935"/>
    <x v="7"/>
    <x v="0"/>
    <s v="WACC"/>
    <n v="6935"/>
    <n v="1"/>
    <s v="Credit Card"/>
    <n v="5184000"/>
    <n v="4712727"/>
    <n v="0"/>
    <n v="0"/>
    <n v="0"/>
    <s v="Ha_Nguyen"/>
    <s v="MAL - ENGRAVED SILVER RING, SHRI CAPSULE, ONE NATURAL STONE EMERALD CUT (6X6)  SKY TOPAZ   TG 12"/>
    <s v="Tourist"/>
    <s v="AA0118/V1/12"/>
    <n v="19"/>
    <s v="SKY TOPAZ"/>
    <n v="5184000"/>
    <n v="12"/>
    <n v="4712727"/>
    <x v="23"/>
    <m/>
    <n v="2914145"/>
    <x v="0"/>
    <x v="1"/>
  </r>
  <r>
    <x v="4"/>
    <x v="4"/>
    <n v="26"/>
    <s v="SS23"/>
    <s v="NECKLACE"/>
    <s v="SS23"/>
    <n v="2697875"/>
    <n v="2430000"/>
    <d v="2023-06-19T00:00:00"/>
    <n v="182231"/>
    <s v="RWT4137"/>
    <x v="7"/>
    <x v="4"/>
    <s v="WACC"/>
    <n v="4137"/>
    <n v="1"/>
    <s v="Credit Card"/>
    <n v="7776000"/>
    <n v="7069091"/>
    <n v="0"/>
    <n v="0"/>
    <n v="0"/>
    <s v="Diem_Nguyen"/>
    <s v="MAL - ENGRAVED SILVER 13G NECKLACE WITH SMALL CROSS, 5 STONES EMERALD CUT (4X6 MM) AND ONE ROUND CUT STONE (6 MM).   SKY TOPAZ"/>
    <s v="Mrs. Jamie Lee"/>
    <s v="CA0227/V1/SKY TOPAZ"/>
    <n v="17"/>
    <s v="SKY TOPAZ"/>
    <n v="7776000"/>
    <s v="U"/>
    <n v="7069091"/>
    <x v="32"/>
    <m/>
    <n v="4371216"/>
    <x v="0"/>
    <x v="0"/>
  </r>
  <r>
    <x v="4"/>
    <x v="4"/>
    <n v="27"/>
    <s v="SS23"/>
    <s v="BRACELET"/>
    <s v="SS23"/>
    <n v="3383434"/>
    <n v="3435750"/>
    <d v="2023-06-28T00:00:00"/>
    <n v="182205"/>
    <s v="RWT4194"/>
    <x v="7"/>
    <x v="4"/>
    <s v="WACC"/>
    <n v="4194"/>
    <n v="1"/>
    <s v="Credit Card"/>
    <n v="10995000"/>
    <n v="9995455"/>
    <n v="0"/>
    <n v="0"/>
    <n v="0"/>
    <s v="Diem_Nguyen"/>
    <s v="MAL - ENGRAVED SILVER BANGLE WITH 2 NATURAL STONES, DROP CUT (7X10)  ROCK CRYSTAL - SMOKEY QUARTZ"/>
    <s v="Ms. Duong Thi Minh Chau"/>
    <s v="BA0143/SMOKEY QUARTZ"/>
    <n v="14"/>
    <s v="SMOKEY QUARTZ -"/>
    <n v="10995000"/>
    <s v="U"/>
    <n v="9995455"/>
    <x v="29"/>
    <s v="0903618988"/>
    <n v="6612021"/>
    <x v="0"/>
    <x v="1"/>
  </r>
  <r>
    <x v="4"/>
    <x v="4"/>
    <n v="27"/>
    <s v="SS23"/>
    <s v="RING"/>
    <s v="SS23"/>
    <n v="2098346"/>
    <n v="1890000"/>
    <d v="2023-06-28T00:00:00"/>
    <n v="182165"/>
    <s v="RWT4194"/>
    <x v="7"/>
    <x v="4"/>
    <s v="WACC"/>
    <n v="4194"/>
    <n v="1"/>
    <s v="Credit Card"/>
    <n v="6048000"/>
    <n v="5498182"/>
    <n v="0"/>
    <n v="0"/>
    <n v="0"/>
    <s v="Diem_Nguyen"/>
    <s v="MAL - SILVER ENGRAVED RING &quot;SOLITAIRE&quot; WITH FACETED STONE 8MM - SMOKEY QUARTZ  TG 12"/>
    <s v="Ms. Duong Thi Minh Chau"/>
    <s v="AA0050/12"/>
    <n v="14"/>
    <s v="SMOKEY QUARTZ"/>
    <n v="6048000"/>
    <n v="12"/>
    <n v="5498182"/>
    <x v="29"/>
    <s v="0903618988"/>
    <n v="3399836"/>
    <x v="0"/>
    <x v="1"/>
  </r>
  <r>
    <x v="4"/>
    <x v="10"/>
    <n v="30"/>
    <s v="SS23"/>
    <s v="EARRINGS"/>
    <s v="SS23"/>
    <n v="5845393"/>
    <n v="5265000"/>
    <d v="2023-07-20T00:00:00"/>
    <n v="182242"/>
    <s v="RWT4316"/>
    <x v="7"/>
    <x v="4"/>
    <s v="WACC"/>
    <n v="4316"/>
    <n v="1"/>
    <s v="Credit Card"/>
    <n v="16848000"/>
    <n v="15600000"/>
    <n v="0"/>
    <n v="0"/>
    <n v="0"/>
    <s v="Diem_Nguyen"/>
    <s v="MAL - SILVER EARRINGS WITH ROUND NATURAL STONE  LEMON"/>
    <s v="Ms. Le Thi Thanh Mai"/>
    <s v="OA0133/V2"/>
    <n v="14"/>
    <s v="NATURAL STONE  L"/>
    <n v="16848000"/>
    <s v="U"/>
    <n v="15600000"/>
    <x v="22"/>
    <s v="0933530066"/>
    <n v="9754607"/>
    <x v="0"/>
    <x v="0"/>
  </r>
  <r>
    <x v="4"/>
    <x v="10"/>
    <n v="30"/>
    <s v="SS23"/>
    <s v="BRACELET"/>
    <s v="SS23"/>
    <n v="51022948"/>
    <n v="50213790"/>
    <d v="2023-07-21T00:00:00"/>
    <n v="181402"/>
    <s v="RWD7"/>
    <x v="8"/>
    <x v="6"/>
    <s v="WACC"/>
    <n v="7"/>
    <n v="1"/>
    <s v="Credit Card"/>
    <n v="138013000"/>
    <n v="127789815"/>
    <n v="0"/>
    <n v="0"/>
    <n v="0"/>
    <s v="Diem_NguyenSM"/>
    <s v="NAN - DIAMONDS 2pcs ct0.04, RUTILE QUARTZ 16pcs ct32.38"/>
    <s v="Mrs. Lu Bich Van"/>
    <s v="BS7-515"/>
    <n v="18"/>
    <s v="DIAMONDS 2pcs ct"/>
    <n v="138013000"/>
    <s v="U"/>
    <n v="127789815"/>
    <x v="33"/>
    <s v="0903733111"/>
    <n v="76766867"/>
    <x v="0"/>
    <x v="2"/>
  </r>
  <r>
    <x v="4"/>
    <x v="10"/>
    <n v="30"/>
    <s v="SS23"/>
    <s v="NECKLACE"/>
    <s v="SS23"/>
    <n v="29243560"/>
    <n v="28779795"/>
    <d v="2023-07-21T00:00:00"/>
    <n v="181404"/>
    <s v="RWD7"/>
    <x v="8"/>
    <x v="6"/>
    <s v="WACC"/>
    <n v="7"/>
    <n v="1"/>
    <s v="Credit Card"/>
    <n v="96298000"/>
    <n v="89164815"/>
    <n v="0"/>
    <n v="0"/>
    <n v="0"/>
    <s v="Diem_NguyenSM"/>
    <s v="NAN - DIAMONDS 4pcs ct0.08, RUTILE QUARTZ 7pcs ct16.4"/>
    <s v="Mrs. Lu Bich Van"/>
    <s v="CS34-515"/>
    <n v="18"/>
    <s v="DIAMONDS 4pcs ct"/>
    <n v="96298000"/>
    <s v="U"/>
    <n v="89164815"/>
    <x v="33"/>
    <s v="0903733111"/>
    <n v="59921255"/>
    <x v="0"/>
    <x v="2"/>
  </r>
  <r>
    <x v="4"/>
    <x v="10"/>
    <n v="31"/>
    <s v="FW22"/>
    <s v="NECKLACE"/>
    <s v="FW22"/>
    <n v="1150551"/>
    <n v="1003000"/>
    <d v="2023-07-25T00:00:00"/>
    <n v="174862"/>
    <s v="RWR7028"/>
    <x v="4"/>
    <x v="0"/>
    <s v="WACC"/>
    <n v="7028"/>
    <n v="1"/>
    <s v="Credit Card"/>
    <n v="5605000"/>
    <n v="5189815"/>
    <n v="0"/>
    <n v="0"/>
    <n v="0"/>
    <s v="Nghia_Nguyen"/>
    <s v="GEO - NECKLACE CORNELIAN"/>
    <s v="Mrs. Nguyen Thi Huyen"/>
    <s v="C8"/>
    <n v="11"/>
    <s v="RED"/>
    <n v="5605000"/>
    <s v="UN"/>
    <n v="5189815"/>
    <x v="17"/>
    <s v="0903689100"/>
    <n v="4039264"/>
    <x v="0"/>
    <x v="0"/>
  </r>
  <r>
    <x v="4"/>
    <x v="5"/>
    <n v="32"/>
    <s v="SS23"/>
    <s v="EARRINGS"/>
    <s v="SS23"/>
    <n v="2727850"/>
    <n v="2457000"/>
    <d v="2023-08-01T00:00:00"/>
    <n v="182237"/>
    <s v="RHN2652"/>
    <x v="7"/>
    <x v="1"/>
    <s v="WACC"/>
    <n v="2652"/>
    <n v="1"/>
    <s v="Credit Card"/>
    <n v="7863000"/>
    <n v="7280556"/>
    <n v="0"/>
    <n v="0"/>
    <n v="0"/>
    <s v="Ngoc_Nguyen"/>
    <s v="MAL - ENGRAVED SILVER 7.9G EARRINGS WITH FACETED DROP (8X30 MM)  FACETED ONYX"/>
    <s v="Mrs. Do Thanh Hoa"/>
    <s v="OA0042"/>
    <n v="11"/>
    <s v="FACETED ONYX"/>
    <n v="7863000"/>
    <s v="U"/>
    <n v="7280556"/>
    <x v="30"/>
    <s v="0904374728"/>
    <n v="4552706"/>
    <x v="0"/>
    <x v="2"/>
  </r>
  <r>
    <x v="4"/>
    <x v="5"/>
    <n v="34"/>
    <s v="FW22"/>
    <s v="NECKLACE"/>
    <s v="FW22"/>
    <n v="1336670"/>
    <n v="1165250"/>
    <d v="2023-08-15T00:00:00"/>
    <n v="174866"/>
    <s v="RWT4446"/>
    <x v="4"/>
    <x v="4"/>
    <s v="WACC"/>
    <n v="4446"/>
    <n v="1"/>
    <s v="Cash"/>
    <n v="6490000"/>
    <n v="6009259"/>
    <n v="0"/>
    <n v="0"/>
    <n v="0"/>
    <s v="Chau_Vuong"/>
    <s v="GEO - NECKLACE FIRE AGATE"/>
    <s v="Tourist"/>
    <s v="D4"/>
    <n v="13"/>
    <s v="BROWN"/>
    <n v="6490000"/>
    <s v="UN"/>
    <n v="6009259"/>
    <x v="26"/>
    <m/>
    <n v="4672589"/>
    <x v="0"/>
    <x v="0"/>
  </r>
  <r>
    <x v="4"/>
    <x v="5"/>
    <n v="34"/>
    <s v="SS23"/>
    <s v="BRACELET"/>
    <s v="SS23"/>
    <n v="3383434"/>
    <n v="3435750"/>
    <d v="2023-08-18T00:00:00"/>
    <n v="182205"/>
    <s v="RWD107"/>
    <x v="7"/>
    <x v="6"/>
    <s v="WACC"/>
    <n v="107"/>
    <n v="1"/>
    <s v="Credit Card"/>
    <n v="10995000"/>
    <n v="10180556"/>
    <n v="0"/>
    <n v="0"/>
    <n v="0"/>
    <s v="Diem_NguyenSM"/>
    <s v="MAL - ENGRAVED SILVER BANGLE WITH 2 NATURAL STONES, DROP CUT (7X10)  ROCK CRYSTAL - SMOKEY QUARTZ"/>
    <s v="Ms. Cao Thi Thanh Yen"/>
    <s v="BA0143/SMOKEY QUARTZ"/>
    <n v="20"/>
    <s v="SMOKEY QUARTZ -"/>
    <n v="10995000"/>
    <s v="U"/>
    <n v="10180556"/>
    <x v="34"/>
    <s v="0903333829"/>
    <n v="6797122"/>
    <x v="0"/>
    <x v="2"/>
  </r>
  <r>
    <x v="4"/>
    <x v="5"/>
    <n v="35"/>
    <s v="SS23"/>
    <s v="RING"/>
    <s v="SS23"/>
    <n v="2098348"/>
    <n v="1890000"/>
    <d v="2023-08-24T00:00:00"/>
    <n v="182159"/>
    <s v="RWD141"/>
    <x v="7"/>
    <x v="6"/>
    <s v="WACC"/>
    <n v="141"/>
    <n v="1"/>
    <s v="Credit Card"/>
    <n v="5443200"/>
    <n v="5040000"/>
    <n v="10"/>
    <n v="560000"/>
    <n v="604800"/>
    <s v="Vuong_Vo"/>
    <s v="MAL - SILVER ENGRAVED RING &quot;SOLITAIRE&quot; WITH FACETED STONE 8MM -  SMOKEY QUARTZ   TG 13"/>
    <s v="Nguyen Kim Chi"/>
    <s v="AA0050/13"/>
    <n v="21"/>
    <s v="SMOKEY QUARTZ"/>
    <n v="6048000"/>
    <n v="13"/>
    <n v="5600000"/>
    <x v="35"/>
    <s v="0934383838"/>
    <n v="2941652"/>
    <x v="0"/>
    <x v="0"/>
  </r>
  <r>
    <x v="4"/>
    <x v="5"/>
    <n v="35"/>
    <s v="SS23"/>
    <s v="RING"/>
    <s v="SS23"/>
    <n v="4046814"/>
    <n v="3645000"/>
    <d v="2023-08-24T00:00:00"/>
    <n v="182158"/>
    <s v="RWD141"/>
    <x v="7"/>
    <x v="6"/>
    <s v="WACC"/>
    <n v="141"/>
    <n v="1"/>
    <s v="Credit Card"/>
    <n v="10497600"/>
    <n v="9720000"/>
    <n v="10"/>
    <n v="1080000"/>
    <n v="1166400"/>
    <s v="Vuong_Vo"/>
    <s v="MAL - SILVER ENGRAVED RING &quot;SOLITAIRE&quot; WITH FACETED STONE 8MM - LONDON  TG 13"/>
    <s v="Nguyen Kim Chi"/>
    <s v="AA0050/LO/13"/>
    <n v="21"/>
    <s v="LONDON"/>
    <n v="11664000"/>
    <n v="13"/>
    <n v="10800000"/>
    <x v="35"/>
    <s v="0934383838"/>
    <n v="5673186"/>
    <x v="0"/>
    <x v="0"/>
  </r>
  <r>
    <x v="4"/>
    <x v="5"/>
    <n v="35"/>
    <s v="SS23"/>
    <s v="RING"/>
    <s v="SS23"/>
    <n v="44090812"/>
    <n v="37306800"/>
    <d v="2023-08-24T00:00:00"/>
    <n v="186471"/>
    <s v="RWD141"/>
    <x v="1"/>
    <x v="6"/>
    <s v="WACC"/>
    <n v="141"/>
    <n v="1"/>
    <s v="Credit Card"/>
    <n v="109123200"/>
    <n v="101040000"/>
    <n v="10"/>
    <n v="11226667"/>
    <n v="12124800"/>
    <s v="Vuong_Vo"/>
    <s v="RM-NASHKA B1 S PGY DIA BRN (53) R-H-NASHKAB1-7 Rings - With Setting Sterling Silver - Yellow Gold:18k -  Brown Diamond: 28p, 3.92ct"/>
    <s v="Nguyen Kim Chi"/>
    <s v="RG-074593"/>
    <n v="21"/>
    <s v="Brown Diamond, Y"/>
    <n v="121248000"/>
    <n v="53"/>
    <n v="112266667"/>
    <x v="35"/>
    <s v="0934383838"/>
    <n v="56949188"/>
    <x v="0"/>
    <x v="0"/>
  </r>
  <r>
    <x v="4"/>
    <x v="5"/>
    <n v="35"/>
    <s v="SS23"/>
    <s v="RING"/>
    <s v="SS23"/>
    <n v="13235729"/>
    <n v="11197200"/>
    <d v="2023-08-24T00:00:00"/>
    <n v="186493"/>
    <s v="RWD141"/>
    <x v="1"/>
    <x v="6"/>
    <s v="WACC"/>
    <n v="141"/>
    <n v="1"/>
    <s v="Credit Card"/>
    <n v="32751900"/>
    <n v="30325833"/>
    <n v="10"/>
    <n v="3369537"/>
    <n v="3639100"/>
    <s v="Vuong_Vo"/>
    <s v="RM-TOURIA R TB S ST DIA CO (52) R-C-TOURIARTB-4 Rings - With Setting Sterling Silver - Cognac Diamonds: 83p, 0.72ct"/>
    <s v="Nguyen Kim Chi"/>
    <s v="RG-024226"/>
    <n v="21"/>
    <s v="Cognac Diamonds"/>
    <n v="36391000"/>
    <s v="52/G4"/>
    <n v="33695370"/>
    <x v="35"/>
    <s v="0934383838"/>
    <n v="17090104"/>
    <x v="0"/>
    <x v="0"/>
  </r>
  <r>
    <x v="4"/>
    <x v="5"/>
    <n v="35"/>
    <s v="SS23"/>
    <s v="RING"/>
    <s v="SS23"/>
    <n v="21216286"/>
    <n v="17956800"/>
    <d v="2023-08-24T00:00:00"/>
    <n v="186467"/>
    <s v="RWD133"/>
    <x v="1"/>
    <x v="6"/>
    <s v="WACC"/>
    <n v="133"/>
    <n v="1"/>
    <s v="Credit Card"/>
    <n v="55442000"/>
    <n v="51335185"/>
    <n v="5"/>
    <n v="2701852"/>
    <n v="2918000"/>
    <s v="Vuong_Vo"/>
    <s v="RM-LESLIE P VP S ST ST DIA IG RU (53) R-C-LESLIEPVP-7 Rings - With Setting Sterling Silver - Icy Grey Diamonds: 80p, 0.64ct - Rubies: 13p, 0.13ct"/>
    <s v="Ms. Nguyen Thanh Mai"/>
    <s v="RG-075398"/>
    <n v="13"/>
    <s v="Ruby, Icy Grey D"/>
    <n v="58360000"/>
    <s v="53/G7"/>
    <n v="54037037"/>
    <x v="36"/>
    <s v="0902825362"/>
    <n v="30118899"/>
    <x v="0"/>
    <x v="2"/>
  </r>
  <r>
    <x v="4"/>
    <x v="5"/>
    <n v="35"/>
    <s v="SS23"/>
    <s v="RING"/>
    <s v="SS23"/>
    <n v="-10910164"/>
    <n v="-9236400"/>
    <d v="2023-08-27T00:00:00"/>
    <n v="186446"/>
    <s v="RWD169"/>
    <x v="1"/>
    <x v="6"/>
    <s v="WACC"/>
    <n v="169"/>
    <n v="-1"/>
    <s v="Credit Card"/>
    <n v="-27017100"/>
    <n v="-25015833"/>
    <n v="10"/>
    <n v="-2779537"/>
    <n v="-3001900"/>
    <s v="Diem_NguyenSM"/>
    <s v="RM-BEGUM R TB S ST DIA SBL SRP (51) R-C-BEGUMRTB-75 Rings - With Setting Sterling Silver - Blue Sapphires: 29p, 0.34ct - Serpentine: 1p, 3.83ct"/>
    <s v="Nguyen Kim Chi"/>
    <s v="RG-074935"/>
    <n v="19"/>
    <s v="Blue Sapphires,"/>
    <n v="-30019000"/>
    <s v="51/G1"/>
    <n v="-27795370"/>
    <x v="37"/>
    <s v="0934383838"/>
    <n v="-14105669"/>
    <x v="0"/>
    <x v="1"/>
  </r>
  <r>
    <x v="4"/>
    <x v="5"/>
    <n v="35"/>
    <s v="SS23"/>
    <s v="RING"/>
    <s v="SS23"/>
    <n v="-31882678"/>
    <n v="-31377060"/>
    <d v="2023-08-27T00:00:00"/>
    <n v="181394"/>
    <s v="RWD169"/>
    <x v="8"/>
    <x v="6"/>
    <s v="WACC"/>
    <n v="169"/>
    <n v="-1"/>
    <s v="Credit Card"/>
    <n v="-101238300"/>
    <n v="-93739167"/>
    <n v="10"/>
    <n v="-10415463"/>
    <n v="-11248700"/>
    <s v="Diem_NguyenSM"/>
    <s v="NAN - NATURAL STONES 8pcs ct3.2, RUTILE QUARTZ 6pcs ct 16.25"/>
    <s v="Nguyen Kim Chi"/>
    <s v="AH23-515"/>
    <n v="19"/>
    <s v="NATURAL STONES 8"/>
    <n v="-112487000"/>
    <s v="U"/>
    <n v="-104154630"/>
    <x v="37"/>
    <s v="0934383838"/>
    <n v="-61856489"/>
    <x v="0"/>
    <x v="1"/>
  </r>
  <r>
    <x v="4"/>
    <x v="5"/>
    <n v="35"/>
    <s v="SS23"/>
    <s v="RING"/>
    <s v="SS23"/>
    <n v="10910164"/>
    <n v="9236400"/>
    <d v="2023-08-27T00:00:00"/>
    <n v="186446"/>
    <s v="RWD168"/>
    <x v="1"/>
    <x v="6"/>
    <s v="WACC"/>
    <n v="168"/>
    <n v="1"/>
    <s v="Credit Card"/>
    <n v="27017100"/>
    <n v="25015833"/>
    <n v="10"/>
    <n v="2779537"/>
    <n v="3001900"/>
    <s v="Vuong_Vo"/>
    <s v="RM-BEGUM R TB S ST DIA SBL SRP (51) R-C-BEGUMRTB-75 Rings - With Setting Sterling Silver - Blue Sapphires: 29p, 0.34ct - Serpentine: 1p, 3.83ct"/>
    <s v="Nguyen Kim Chi"/>
    <s v="RG-074935"/>
    <n v="17"/>
    <s v="Blue Sapphires,"/>
    <n v="30019000"/>
    <s v="51/G1"/>
    <n v="27795370"/>
    <x v="37"/>
    <s v="0934383838"/>
    <n v="14105669"/>
    <x v="0"/>
    <x v="1"/>
  </r>
  <r>
    <x v="4"/>
    <x v="5"/>
    <n v="35"/>
    <s v="SS23"/>
    <s v="RING"/>
    <s v="SS23"/>
    <n v="31882678"/>
    <n v="31377060"/>
    <d v="2023-08-27T00:00:00"/>
    <n v="181394"/>
    <s v="RWD168"/>
    <x v="8"/>
    <x v="6"/>
    <s v="WACC"/>
    <n v="168"/>
    <n v="1"/>
    <s v="Credit Card"/>
    <n v="101238300"/>
    <n v="93739167"/>
    <n v="10"/>
    <n v="10415463"/>
    <n v="11248700"/>
    <s v="Vuong_Vo"/>
    <s v="NAN - NATURAL STONES 8pcs ct3.2, RUTILE QUARTZ 6pcs ct 16.25"/>
    <s v="Nguyen Kim Chi"/>
    <s v="AH23-515"/>
    <n v="17"/>
    <s v="NATURAL STONES 8"/>
    <n v="112487000"/>
    <s v="U"/>
    <n v="104154630"/>
    <x v="37"/>
    <s v="0934383838"/>
    <n v="61856489"/>
    <x v="0"/>
    <x v="1"/>
  </r>
  <r>
    <x v="4"/>
    <x v="5"/>
    <n v="35"/>
    <s v="SS23"/>
    <s v="RING"/>
    <s v="SS23"/>
    <n v="-10910164"/>
    <n v="-9236400"/>
    <d v="2023-08-27T00:00:00"/>
    <n v="186446"/>
    <s v="RWD176"/>
    <x v="1"/>
    <x v="6"/>
    <s v="WACC"/>
    <n v="176"/>
    <n v="-1"/>
    <s v="Credit Card"/>
    <n v="-27017100"/>
    <n v="-25015833"/>
    <n v="10"/>
    <n v="-2779537"/>
    <n v="-3001900"/>
    <s v="Diem_NguyenSM"/>
    <s v="RM-BEGUM R TB S ST DIA SBL SRP (51) R-C-BEGUMRTB-75 Rings - With Setting Sterling Silver - Blue Sapphires: 29p, 0.34ct - Serpentine: 1p, 3.83ct"/>
    <s v="Nguyen Kim Chi"/>
    <s v="RG-074935"/>
    <n v="20"/>
    <s v="Blue Sapphires,"/>
    <n v="-30019000"/>
    <s v="51/G1"/>
    <n v="-27795370"/>
    <x v="37"/>
    <s v="0934383838"/>
    <n v="-14105669"/>
    <x v="0"/>
    <x v="1"/>
  </r>
  <r>
    <x v="4"/>
    <x v="5"/>
    <n v="35"/>
    <s v="SS23"/>
    <s v="RING"/>
    <s v="SS23"/>
    <n v="-31882678"/>
    <n v="-31377060"/>
    <d v="2023-08-27T00:00:00"/>
    <n v="181394"/>
    <s v="RWD176"/>
    <x v="8"/>
    <x v="6"/>
    <s v="WACC"/>
    <n v="176"/>
    <n v="-1"/>
    <s v="Credit Card"/>
    <n v="-101238300"/>
    <n v="-93739167"/>
    <n v="10"/>
    <n v="-10415463"/>
    <n v="-11248700"/>
    <s v="Diem_NguyenSM"/>
    <s v="NAN - NATURAL STONES 8pcs ct3.2, RUTILE QUARTZ 6pcs ct 16.25"/>
    <s v="Nguyen Kim Chi"/>
    <s v="AH23-515"/>
    <n v="20"/>
    <s v="NATURAL STONES 8"/>
    <n v="-112487000"/>
    <s v="U"/>
    <n v="-104154630"/>
    <x v="37"/>
    <s v="0934383838"/>
    <n v="-61856489"/>
    <x v="0"/>
    <x v="1"/>
  </r>
  <r>
    <x v="4"/>
    <x v="5"/>
    <n v="35"/>
    <s v="SS23"/>
    <s v="RING"/>
    <s v="SS23"/>
    <n v="10910164"/>
    <n v="9236400"/>
    <d v="2023-08-27T00:00:00"/>
    <n v="186446"/>
    <s v="RWD177"/>
    <x v="1"/>
    <x v="6"/>
    <s v="WACC"/>
    <n v="177"/>
    <n v="1"/>
    <s v="Credit Card"/>
    <n v="27017100"/>
    <n v="25015833"/>
    <n v="10"/>
    <n v="2779537"/>
    <n v="3001900"/>
    <s v="Diem_NguyenSM"/>
    <s v="RM-BEGUM R TB S ST DIA SBL SRP (51) R-C-BEGUMRTB-75 Rings - With Setting Sterling Silver - Blue Sapphires: 29p, 0.34ct - Serpentine: 1p, 3.83ct"/>
    <s v="Nguyen Kim Chi"/>
    <s v="RG-074935"/>
    <n v="20"/>
    <s v="Blue Sapphires,"/>
    <n v="30019000"/>
    <s v="51/G1"/>
    <n v="27795370"/>
    <x v="37"/>
    <s v="0934383838"/>
    <n v="14105669"/>
    <x v="0"/>
    <x v="1"/>
  </r>
  <r>
    <x v="4"/>
    <x v="5"/>
    <n v="35"/>
    <s v="SS23"/>
    <s v="RING"/>
    <s v="SS23"/>
    <n v="31882678"/>
    <n v="31377060"/>
    <d v="2023-08-27T00:00:00"/>
    <n v="181394"/>
    <s v="RWD177"/>
    <x v="8"/>
    <x v="6"/>
    <s v="WACC"/>
    <n v="177"/>
    <n v="1"/>
    <s v="Credit Card"/>
    <n v="101238300"/>
    <n v="93739167"/>
    <n v="10"/>
    <n v="10415463"/>
    <n v="11248700"/>
    <s v="Diem_NguyenSM"/>
    <s v="NAN - NATURAL STONES 8pcs ct3.2, RUTILE QUARTZ 6pcs ct 16.25"/>
    <s v="Nguyen Kim Chi"/>
    <s v="AH23-515"/>
    <n v="20"/>
    <s v="NATURAL STONES 8"/>
    <n v="112487000"/>
    <s v="U"/>
    <n v="104154630"/>
    <x v="37"/>
    <s v="0934383838"/>
    <n v="61856489"/>
    <x v="0"/>
    <x v="1"/>
  </r>
  <r>
    <x v="4"/>
    <x v="5"/>
    <n v="35"/>
    <s v="SS23"/>
    <s v="RING"/>
    <s v="SS23"/>
    <n v="10910164"/>
    <n v="9236400"/>
    <d v="2023-08-27T00:00:00"/>
    <n v="186446"/>
    <s v="RWD175"/>
    <x v="1"/>
    <x v="6"/>
    <s v="WACC"/>
    <n v="175"/>
    <n v="1"/>
    <s v="Credit Card"/>
    <n v="27017100"/>
    <n v="25015833"/>
    <n v="10"/>
    <n v="2779537"/>
    <n v="3001900"/>
    <s v="Diem_NguyenSM"/>
    <s v="RM-BEGUM R TB S ST DIA SBL SRP (51) R-C-BEGUMRTB-75 Rings - With Setting Sterling Silver - Blue Sapphires: 29p, 0.34ct - Serpentine: 1p, 3.83ct"/>
    <s v="Nguyen Kim Chi"/>
    <s v="RG-074935"/>
    <n v="20"/>
    <s v="Blue Sapphires,"/>
    <n v="30019000"/>
    <s v="51/G1"/>
    <n v="27795370"/>
    <x v="37"/>
    <s v="0934383838"/>
    <n v="14105669"/>
    <x v="0"/>
    <x v="1"/>
  </r>
  <r>
    <x v="4"/>
    <x v="5"/>
    <n v="35"/>
    <s v="SS23"/>
    <s v="RING"/>
    <s v="SS23"/>
    <n v="31882678"/>
    <n v="31377060"/>
    <d v="2023-08-27T00:00:00"/>
    <n v="181394"/>
    <s v="RWD175"/>
    <x v="8"/>
    <x v="6"/>
    <s v="WACC"/>
    <n v="175"/>
    <n v="1"/>
    <s v="Credit Card"/>
    <n v="101238300"/>
    <n v="93739167"/>
    <n v="10"/>
    <n v="10415463"/>
    <n v="11248700"/>
    <s v="Diem_NguyenSM"/>
    <s v="NAN - NATURAL STONES 8pcs ct3.2, RUTILE QUARTZ 6pcs ct 16.25"/>
    <s v="Nguyen Kim Chi"/>
    <s v="AH23-515"/>
    <n v="20"/>
    <s v="NATURAL STONES 8"/>
    <n v="112487000"/>
    <s v="U"/>
    <n v="104154630"/>
    <x v="37"/>
    <s v="0934383838"/>
    <n v="61856489"/>
    <x v="0"/>
    <x v="1"/>
  </r>
  <r>
    <x v="4"/>
    <x v="6"/>
    <n v="38"/>
    <s v="SS23"/>
    <s v="EARRINGS"/>
    <s v="SS23"/>
    <n v="2233240"/>
    <n v="2011500"/>
    <d v="2023-09-12T00:00:00"/>
    <n v="182236"/>
    <s v="RWD273"/>
    <x v="7"/>
    <x v="6"/>
    <s v="WACC"/>
    <n v="273"/>
    <n v="1"/>
    <s v="Credit Card"/>
    <n v="6115150"/>
    <n v="5662176"/>
    <n v="5"/>
    <n v="298009"/>
    <n v="321850"/>
    <s v="Diem_NguyenSM"/>
    <s v="MAL - SILVER EARRINGS WITH ONE ENGRAVED SMALL SHPERE AND ONE WHITE PEARL, DIAMETER 9 MM  WHITE PEARL"/>
    <s v="Ms. Nguyen Thanh Mai"/>
    <s v="OA0034/P"/>
    <n v="16"/>
    <s v="WHITE PEARL"/>
    <n v="6437000"/>
    <s v="U"/>
    <n v="5960185"/>
    <x v="29"/>
    <s v="0902825362"/>
    <n v="3428936"/>
    <x v="0"/>
    <x v="1"/>
  </r>
  <r>
    <x v="4"/>
    <x v="6"/>
    <n v="38"/>
    <s v="SS23"/>
    <s v="EARRINGS"/>
    <s v="SS23"/>
    <n v="-40972974"/>
    <n v="-40323195"/>
    <d v="2023-09-17T00:00:00"/>
    <n v="181408"/>
    <s v="RWD289"/>
    <x v="8"/>
    <x v="6"/>
    <s v="WACC"/>
    <n v="289"/>
    <n v="-1"/>
    <s v="Credit Card"/>
    <n v="-114442700"/>
    <n v="-105965463"/>
    <n v="5"/>
    <n v="-5577130"/>
    <n v="-6023300"/>
    <s v="Diem_NguyenSM"/>
    <s v="NAN - DIAMONDS 6pcs ct0.12, RUTILE QUARTZ 6pcs ct20.35"/>
    <s v="Ms. Nguyen Thi Xuan Hong"/>
    <s v="OS36-515"/>
    <n v="19"/>
    <s v="DIAMONDS 6pcs ct"/>
    <n v="-120466000"/>
    <s v="U"/>
    <n v="-111542593"/>
    <x v="23"/>
    <s v="0908140263"/>
    <n v="-64992489"/>
    <x v="0"/>
    <x v="1"/>
  </r>
  <r>
    <x v="4"/>
    <x v="6"/>
    <n v="38"/>
    <s v="FW23"/>
    <s v="RING"/>
    <s v="FW23"/>
    <n v="-51932279"/>
    <n v="-46285200"/>
    <d v="2023-09-17T00:00:00"/>
    <n v="193098"/>
    <s v="RWD289"/>
    <x v="0"/>
    <x v="6"/>
    <s v="WACC"/>
    <n v="289"/>
    <n v="-1"/>
    <s v="Credit Card"/>
    <n v="-109927350"/>
    <n v="-101784583"/>
    <n v="5"/>
    <n v="-5357083"/>
    <n v="-5785650"/>
    <s v="Diem_NguyenSM"/>
    <s v="SPK - CUSTOMS TAURUS -Three linked rings comprised of 18K yellow gold and sterling silver with U-pave grey diamonds and yellow gold connectors (approx 1.2ct TW)"/>
    <s v="Ms. Nguyen Thi Xuan Hong"/>
    <s v="G3-TAUSGGR"/>
    <n v="19"/>
    <s v="SILVER + GOLD +"/>
    <n v="-115713000"/>
    <n v="6.75"/>
    <n v="-107141667"/>
    <x v="23"/>
    <s v="0908140263"/>
    <n v="-49852304"/>
    <x v="0"/>
    <x v="1"/>
  </r>
  <r>
    <x v="4"/>
    <x v="6"/>
    <n v="38"/>
    <s v="SS23"/>
    <s v="EARRINGS"/>
    <s v="SS23"/>
    <n v="40972974"/>
    <n v="40323195"/>
    <d v="2023-09-17T00:00:00"/>
    <n v="181408"/>
    <s v="RWD288"/>
    <x v="8"/>
    <x v="6"/>
    <s v="WACC"/>
    <n v="288"/>
    <n v="1"/>
    <s v="Credit Card"/>
    <n v="114442700"/>
    <n v="105965463"/>
    <n v="5"/>
    <n v="5577130"/>
    <n v="6023300"/>
    <s v="Vuong_Vo"/>
    <s v="NAN - DIAMONDS 6pcs ct0.12, RUTILE QUARTZ 6pcs ct20.35"/>
    <s v="Ms. Nguyen Thi Xuan Hong"/>
    <s v="OS36-515"/>
    <n v="18"/>
    <s v="DIAMONDS 6pcs ct"/>
    <n v="120466000"/>
    <s v="U"/>
    <n v="111542593"/>
    <x v="23"/>
    <s v="0908140263"/>
    <n v="64992489"/>
    <x v="0"/>
    <x v="1"/>
  </r>
  <r>
    <x v="4"/>
    <x v="6"/>
    <n v="38"/>
    <s v="FW23"/>
    <s v="RING"/>
    <s v="FW23"/>
    <n v="51932279"/>
    <n v="46285200"/>
    <d v="2023-09-17T00:00:00"/>
    <n v="193098"/>
    <s v="RWD288"/>
    <x v="0"/>
    <x v="6"/>
    <s v="WACC"/>
    <n v="288"/>
    <n v="1"/>
    <s v="Credit Card"/>
    <n v="109927350"/>
    <n v="101784583"/>
    <n v="5"/>
    <n v="5357083"/>
    <n v="5785650"/>
    <s v="Vuong_Vo"/>
    <s v="SPK - CUSTOMS TAURUS -Three linked rings comprised of 18K yellow gold and sterling silver with U-pave grey diamonds and yellow gold connectors (approx 1.2ct TW)"/>
    <s v="Ms. Nguyen Thi Xuan Hong"/>
    <s v="G3-TAUSGGR"/>
    <n v="18"/>
    <s v="SILVER + GOLD +"/>
    <n v="115713000"/>
    <n v="6.75"/>
    <n v="107141667"/>
    <x v="23"/>
    <s v="0908140263"/>
    <n v="49852304"/>
    <x v="0"/>
    <x v="1"/>
  </r>
  <r>
    <x v="4"/>
    <x v="6"/>
    <n v="38"/>
    <s v="SS23"/>
    <s v="EARRINGS"/>
    <s v="SS23"/>
    <n v="40972974"/>
    <n v="40323195"/>
    <d v="2023-09-17T00:00:00"/>
    <n v="181408"/>
    <s v="RWD290"/>
    <x v="8"/>
    <x v="6"/>
    <s v="WACC"/>
    <n v="290"/>
    <n v="1"/>
    <s v="Credit Card"/>
    <n v="114442700"/>
    <n v="105965463"/>
    <n v="5"/>
    <n v="5577130"/>
    <n v="6023300"/>
    <s v="Diem_NguyenSM"/>
    <s v="NAN - DIAMONDS 6pcs ct0.12, RUTILE QUARTZ 6pcs ct20.35"/>
    <s v="Ms. Nguyen Thi Xuan Hong"/>
    <s v="OS36-515"/>
    <n v="19"/>
    <s v="DIAMONDS 6pcs ct"/>
    <n v="120466000"/>
    <s v="U"/>
    <n v="111542593"/>
    <x v="37"/>
    <s v="0908140263"/>
    <n v="64992489"/>
    <x v="0"/>
    <x v="1"/>
  </r>
  <r>
    <x v="4"/>
    <x v="6"/>
    <n v="38"/>
    <s v="FW23"/>
    <s v="RING"/>
    <s v="FW23"/>
    <n v="51932279"/>
    <n v="46285200"/>
    <d v="2023-09-17T00:00:00"/>
    <n v="193098"/>
    <s v="RWD290"/>
    <x v="0"/>
    <x v="6"/>
    <s v="WACC"/>
    <n v="290"/>
    <n v="1"/>
    <s v="Credit Card"/>
    <n v="109927350"/>
    <n v="101784583"/>
    <n v="5"/>
    <n v="5357083"/>
    <n v="5785650"/>
    <s v="Diem_NguyenSM"/>
    <s v="SPK - CUSTOMS TAURUS -Three linked rings comprised of 18K yellow gold and sterling silver with U-pave grey diamonds and yellow gold connectors (approx 1.2ct TW)"/>
    <s v="Ms. Nguyen Thi Xuan Hong"/>
    <s v="G3-TAUSGGR"/>
    <n v="19"/>
    <s v="SILVER + GOLD +"/>
    <n v="115713000"/>
    <n v="6.75"/>
    <n v="107141667"/>
    <x v="37"/>
    <s v="0908140263"/>
    <n v="49852304"/>
    <x v="0"/>
    <x v="1"/>
  </r>
  <r>
    <x v="4"/>
    <x v="7"/>
    <n v="41"/>
    <s v="FW22"/>
    <s v="NECKLACE"/>
    <s v="FW22"/>
    <n v="1279142"/>
    <n v="1115100"/>
    <d v="2023-10-02T00:00:00"/>
    <n v="174867"/>
    <s v="RWR7293"/>
    <x v="4"/>
    <x v="0"/>
    <s v="WACC"/>
    <n v="7293"/>
    <n v="1"/>
    <s v="Check"/>
    <n v="6195000"/>
    <n v="5736111"/>
    <n v="0"/>
    <n v="0"/>
    <n v="0"/>
    <s v="Ha_Nguyen"/>
    <s v="GEO - NECKLACE MOSS AGATE"/>
    <s v="Nguyen Thanh Van"/>
    <s v="D2"/>
    <n v="16"/>
    <s v="GREEN"/>
    <n v="6195000"/>
    <s v="UN"/>
    <n v="5736111"/>
    <x v="17"/>
    <s v="0915686788"/>
    <n v="4456969"/>
    <x v="0"/>
    <x v="0"/>
  </r>
  <r>
    <x v="4"/>
    <x v="7"/>
    <n v="41"/>
    <s v="SS23"/>
    <s v="NECKLACE"/>
    <s v="SS23"/>
    <n v="5455701"/>
    <n v="4914000"/>
    <d v="2023-10-07T00:00:00"/>
    <n v="182209"/>
    <s v="RHN3013"/>
    <x v="7"/>
    <x v="1"/>
    <s v="WACC"/>
    <n v="3013"/>
    <n v="1"/>
    <s v="Check"/>
    <n v="15725000"/>
    <n v="14560185"/>
    <n v="0"/>
    <n v="0"/>
    <n v="0"/>
    <s v="Nghia_NguyenHN"/>
    <s v="MAL - SILVER NECKLACE WITH ENGRAVED LILIUM AND WHITE PEARLS"/>
    <s v="Vu Thi Phuong"/>
    <s v="CA0039/PT"/>
    <n v="18"/>
    <s v="LILIUM AND WHITE"/>
    <n v="15725000"/>
    <s v="U"/>
    <n v="14560185"/>
    <x v="18"/>
    <s v="0903485499"/>
    <n v="9104484"/>
    <x v="0"/>
    <x v="2"/>
  </r>
  <r>
    <x v="4"/>
    <x v="7"/>
    <n v="42"/>
    <s v="SS23"/>
    <s v="NECKLACE"/>
    <s v="SS23"/>
    <n v="4436504"/>
    <n v="3996000"/>
    <d v="2023-10-10T00:00:00"/>
    <n v="182222"/>
    <s v="RWR7313"/>
    <x v="7"/>
    <x v="0"/>
    <s v="WACC"/>
    <n v="7313"/>
    <n v="1"/>
    <s v="Credit Card"/>
    <n v="12788000"/>
    <n v="11840741"/>
    <n v="0"/>
    <n v="0"/>
    <n v="0"/>
    <s v="Ha_Nguyen"/>
    <s v="MAL - SILVER NECKLACE, FORZATINA CHAIN, WITH 1 SHIVA LINGAM AND ONE ENGRAVED LARGE HEART (3X3CM)  NECKLACE LENGHT: 90 CM"/>
    <s v="Mrs. Trinh Vinh Trinh"/>
    <s v="CA0176"/>
    <n v="17"/>
    <s v="1 SHIVA LINGAM A"/>
    <n v="12788000"/>
    <s v="U"/>
    <n v="11840741"/>
    <x v="24"/>
    <s v="0909977953"/>
    <n v="7404237"/>
    <x v="0"/>
    <x v="1"/>
  </r>
  <r>
    <x v="4"/>
    <x v="7"/>
    <n v="43"/>
    <s v="FW23"/>
    <s v="EARRINGS"/>
    <s v="FW23"/>
    <n v="139997498"/>
    <n v="128174400"/>
    <d v="2023-10-17T00:00:00"/>
    <n v="193095"/>
    <s v="RWD396"/>
    <x v="0"/>
    <x v="6"/>
    <s v="WACC"/>
    <n v="396"/>
    <n v="1"/>
    <s v="Account"/>
    <n v="288392400"/>
    <n v="267030000"/>
    <n v="10"/>
    <n v="29670000"/>
    <n v="32043600"/>
    <s v="Diem_NguyenSM"/>
    <s v="SPK - CUSTOM TARYN - 18k gold, Theano YG Bottom hoops (2.8mm x 20mm), with channel set WD, YG Connector (2mm x 6mm), YG Micro Hoop (2mm x 9mm)"/>
    <s v="Mrs. Duong Minh Ha"/>
    <s v="E-TARYNYG"/>
    <n v="14"/>
    <s v="GOLD"/>
    <n v="320436000"/>
    <s v="OS"/>
    <n v="296700000"/>
    <x v="37"/>
    <s v="0903811856"/>
    <n v="127032502"/>
    <x v="0"/>
    <x v="1"/>
  </r>
  <r>
    <x v="4"/>
    <x v="7"/>
    <n v="43"/>
    <s v="FW23"/>
    <s v="RING"/>
    <s v="FW23"/>
    <n v="51932279"/>
    <n v="46285200"/>
    <d v="2023-10-20T00:00:00"/>
    <n v="193099"/>
    <s v="RWD412"/>
    <x v="0"/>
    <x v="6"/>
    <s v="WACC"/>
    <n v="412"/>
    <n v="1"/>
    <s v="Credit Card"/>
    <n v="109927350"/>
    <n v="101784583"/>
    <n v="5"/>
    <n v="5357083"/>
    <n v="5785650"/>
    <s v="Vuong_Vo"/>
    <s v="SPK - CUSTOM JANSSEN - Four linked rings in sterling silver with U-pavé grey diamonds and yellow and rose gold connectors (approx. 1.2ct TW)"/>
    <s v="Ms. Le Thi Thanh Mai"/>
    <s v="G4-JANSGGR"/>
    <n v="18"/>
    <s v="SILVER + GOLD +"/>
    <n v="115713000"/>
    <n v="6.5"/>
    <n v="107141667"/>
    <x v="22"/>
    <s v="0933530066"/>
    <n v="49852304"/>
    <x v="0"/>
    <x v="0"/>
  </r>
  <r>
    <x v="4"/>
    <x v="7"/>
    <n v="43"/>
    <s v="SS23"/>
    <s v="RING"/>
    <s v="SS23"/>
    <n v="7193862"/>
    <n v="6088800"/>
    <d v="2023-10-20T00:00:00"/>
    <n v="186447"/>
    <s v="RWD410"/>
    <x v="1"/>
    <x v="6"/>
    <s v="WACC"/>
    <n v="410"/>
    <n v="1"/>
    <s v="Credit Card"/>
    <n v="15831200"/>
    <n v="14658519"/>
    <n v="20"/>
    <n v="3664630"/>
    <n v="3957800"/>
    <s v="Vuong_Vo"/>
    <s v="RM-BELQUIS TB S ST DIA CO GLD RQTZ (53) R-C-BELQUISTB-94 Rings - With Setting Sterling Silver - Cognac Diamonds: 17p, 0.2ct - Golden Rutilated Quartz: 1p, 0.81ct"/>
    <s v="CHI QUYNH"/>
    <s v="RG-070607"/>
    <n v="14"/>
    <s v="Golden Rutilated"/>
    <n v="19789000"/>
    <s v="53/G3"/>
    <n v="18323148"/>
    <x v="37"/>
    <m/>
    <n v="7464657"/>
    <x v="0"/>
    <x v="1"/>
  </r>
  <r>
    <x v="4"/>
    <x v="7"/>
    <n v="43"/>
    <s v="FW22"/>
    <s v="NECKLACE"/>
    <s v="FW22"/>
    <n v="1150552"/>
    <n v="1003000"/>
    <d v="2023-10-21T00:00:00"/>
    <n v="174864"/>
    <s v="RWT4844"/>
    <x v="4"/>
    <x v="4"/>
    <s v="WACC"/>
    <n v="4844"/>
    <n v="1"/>
    <s v="Credit Card"/>
    <n v="5605000"/>
    <n v="5189815"/>
    <n v="0"/>
    <n v="0"/>
    <n v="0"/>
    <s v="Chau_Vuong"/>
    <s v="GEO - NECKLACE MOSS AGATE"/>
    <s v="Mrs. Huynh Kim Quyen"/>
    <s v="C8"/>
    <n v="13"/>
    <s v="GREEN"/>
    <n v="5605000"/>
    <s v="UN"/>
    <n v="5189815"/>
    <x v="38"/>
    <s v="0934143333"/>
    <n v="4039263"/>
    <x v="0"/>
    <x v="2"/>
  </r>
  <r>
    <x v="4"/>
    <x v="7"/>
    <n v="44"/>
    <s v="SS23"/>
    <s v="NECKLACE"/>
    <s v="SS23"/>
    <n v="6759673"/>
    <n v="6088500"/>
    <d v="2023-10-26T00:00:00"/>
    <n v="182225"/>
    <s v="RHN3117"/>
    <x v="7"/>
    <x v="1"/>
    <s v="WACC"/>
    <n v="3117"/>
    <n v="1"/>
    <s v="Credit Card"/>
    <n v="19484000"/>
    <n v="18040741"/>
    <n v="0"/>
    <n v="0"/>
    <n v="0"/>
    <s v="Ngoc_Nguyen"/>
    <s v="MAL - SHRI CAPSULE NECKLACE IN SILVER WITH 17 NATURAL STONES (4 NAVETTE STONES 10X5 - 6 NAVETTE STONES 8X4, 7 ROUND CUT 4 MM) AND CLOSURE AT 95 CM.  CITRINE"/>
    <s v="Ms. Duong thi Hong Hanh"/>
    <s v="CA0192/V1"/>
    <n v="17"/>
    <s v="CITRINE"/>
    <n v="19484000"/>
    <s v="U"/>
    <n v="18040741"/>
    <x v="12"/>
    <s v="0942388869"/>
    <n v="11281068"/>
    <x v="0"/>
    <x v="2"/>
  </r>
  <r>
    <x v="4"/>
    <x v="7"/>
    <n v="45"/>
    <s v="SS23"/>
    <s v="EARRINGS"/>
    <s v="SS23"/>
    <n v="50648619"/>
    <n v="58800000"/>
    <d v="2023-10-31T00:00:00"/>
    <n v="180396"/>
    <s v="RWD457"/>
    <x v="5"/>
    <x v="6"/>
    <s v="WACC"/>
    <n v="457"/>
    <n v="1"/>
    <s v="Account"/>
    <n v="93231683.989999995"/>
    <n v="86325633"/>
    <n v="28.28"/>
    <n v="34044737"/>
    <n v="36768316.009999998"/>
    <s v="Vuong_Vo"/>
    <s v="ATS - PG Pr. of Earrings: dia 0,92ct G/VS"/>
    <s v="Mrs. Tran Thi Hoai Anh"/>
    <s v="88/01387R/B"/>
    <n v="16"/>
    <s v="DIA"/>
    <n v="130000000"/>
    <s v="O/S"/>
    <n v="120370370"/>
    <x v="37"/>
    <s v="0908039899"/>
    <n v="35677014"/>
    <x v="0"/>
    <x v="1"/>
  </r>
  <r>
    <x v="4"/>
    <x v="7"/>
    <n v="45"/>
    <s v="FW23"/>
    <s v="RING"/>
    <s v="FW23"/>
    <n v="45407407"/>
    <n v="40469880"/>
    <d v="2023-10-31T00:00:00"/>
    <n v="193100"/>
    <s v="RWD457"/>
    <x v="0"/>
    <x v="6"/>
    <s v="WACC"/>
    <n v="457"/>
    <n v="1"/>
    <s v="Account"/>
    <n v="72559350.989999995"/>
    <n v="67184584"/>
    <n v="28.28"/>
    <n v="26495971"/>
    <n v="28615649.010000002"/>
    <s v="Vuong_Vo"/>
    <s v="SPK - CUSTOM ENZO  -2.8mm silver, 3.6mm silver black diamonds, 3.8mm silver with burnished black diamonds, yellow gold connectors"/>
    <s v="Mrs. Tran Thi Hoai Anh"/>
    <s v="G2-ENZSGNOIRCUST"/>
    <n v="16"/>
    <s v="BLACK + SILVER +"/>
    <n v="101175000"/>
    <n v="6.5"/>
    <n v="93680556"/>
    <x v="37"/>
    <s v="0908039899"/>
    <n v="21777177"/>
    <x v="0"/>
    <x v="1"/>
  </r>
  <r>
    <x v="4"/>
    <x v="11"/>
    <n v="45"/>
    <s v="SS23"/>
    <s v="RING"/>
    <s v="SS23"/>
    <n v="10910164"/>
    <n v="9236400"/>
    <d v="2023-11-01T00:00:00"/>
    <n v="186494"/>
    <s v="RWD459"/>
    <x v="1"/>
    <x v="6"/>
    <s v="WACC"/>
    <n v="459"/>
    <n v="1"/>
    <s v="Credit Card"/>
    <n v="28217860"/>
    <n v="26127648"/>
    <n v="6"/>
    <n v="1667722"/>
    <n v="1801140"/>
    <s v="Ngoc_Phan"/>
    <s v="RM-TZIGANE R S ST DIA CO (size 52) R-C-TZIGANER-8 Rings - With Setting Sterling Silver - Cognac Diamonds: 55p, 0.56ct"/>
    <s v="Ms. Le Thi Thanh Mai"/>
    <s v="RG-004782"/>
    <n v="11"/>
    <s v="Cognac Diamonds"/>
    <n v="30019000"/>
    <s v="52/G2"/>
    <n v="27795370"/>
    <x v="23"/>
    <s v="0933530066"/>
    <n v="15217484"/>
    <x v="0"/>
    <x v="1"/>
  </r>
  <r>
    <x v="4"/>
    <x v="11"/>
    <n v="45"/>
    <s v="SS23"/>
    <s v="RING"/>
    <s v="SS23"/>
    <n v="4868298"/>
    <n v="4128000"/>
    <d v="2023-11-01T00:00:00"/>
    <n v="186470"/>
    <s v="RWD459"/>
    <x v="1"/>
    <x v="6"/>
    <s v="WACC"/>
    <n v="459"/>
    <n v="1"/>
    <s v="Credit Card"/>
    <n v="12611040"/>
    <n v="11676889"/>
    <n v="6"/>
    <n v="745333"/>
    <n v="804960"/>
    <s v="Ngoc_Phan"/>
    <s v="RM-MORGANE R (51) R-C-MORGANER-1 Rings - No Setting Sterling Silver"/>
    <s v="Ms. Le Thi Thanh Mai"/>
    <s v="RG-045542"/>
    <n v="11"/>
    <s v="STERLING SILVER"/>
    <n v="13416000"/>
    <s v="51/G5"/>
    <n v="12422222"/>
    <x v="23"/>
    <s v="0933530066"/>
    <n v="6808591"/>
    <x v="0"/>
    <x v="1"/>
  </r>
  <r>
    <x v="4"/>
    <x v="11"/>
    <n v="45"/>
    <s v="SS23"/>
    <s v="RING"/>
    <s v="SS23"/>
    <n v="9448956"/>
    <n v="7998000"/>
    <d v="2023-11-01T00:00:00"/>
    <n v="186448"/>
    <s v="RWD459"/>
    <x v="1"/>
    <x v="6"/>
    <s v="WACC"/>
    <n v="459"/>
    <n v="1"/>
    <s v="Credit Card"/>
    <n v="24434360"/>
    <n v="22624407"/>
    <n v="6"/>
    <n v="1444111"/>
    <n v="1559640"/>
    <s v="Ngoc_Phan"/>
    <s v="RM-BERIL TH S ST DIA 8X8 GRN RQTZ (51) R-C-BERILTH-7 Rings - With Setting Sterling Silver - 8X8 Cut Diamonds: 17p, 0.39ct - Green Rutilated Quartz: 1p, 1.52ct"/>
    <s v="Ms. Le Thi Thanh Mai"/>
    <s v="RG-046744"/>
    <n v="11"/>
    <s v="Green Rutilated"/>
    <n v="25994000"/>
    <s v="51/G1"/>
    <n v="24068519"/>
    <x v="23"/>
    <s v="0933530066"/>
    <n v="13175451"/>
    <x v="0"/>
    <x v="1"/>
  </r>
  <r>
    <x v="4"/>
    <x v="11"/>
    <n v="45"/>
    <s v="SS23"/>
    <s v="RING"/>
    <s v="SS23"/>
    <n v="10910164"/>
    <n v="9236400"/>
    <d v="2023-11-01T00:00:00"/>
    <n v="186494"/>
    <s v="RWD462"/>
    <x v="1"/>
    <x v="6"/>
    <s v="WACC"/>
    <n v="462"/>
    <n v="1"/>
    <s v="Credit Card"/>
    <n v="28217860"/>
    <n v="26127648"/>
    <n v="6"/>
    <n v="1667722"/>
    <n v="1801140"/>
    <s v="Diem_NguyenSM"/>
    <s v="RM-TZIGANE R S ST DIA CO (size 52) R-C-TZIGANER-8 Rings - With Setting Sterling Silver - Cognac Diamonds: 55p, 0.56ct"/>
    <s v="Ms. Le Thi Thanh Mai"/>
    <s v="RG-004782"/>
    <n v="13"/>
    <s v="Cognac Diamonds"/>
    <n v="30019000"/>
    <s v="52/G2"/>
    <n v="27795370"/>
    <x v="23"/>
    <s v="0933530066"/>
    <n v="15217484"/>
    <x v="0"/>
    <x v="1"/>
  </r>
  <r>
    <x v="4"/>
    <x v="11"/>
    <n v="45"/>
    <s v="SS23"/>
    <s v="RING"/>
    <s v="SS23"/>
    <n v="4868298"/>
    <n v="4128000"/>
    <d v="2023-11-01T00:00:00"/>
    <n v="186470"/>
    <s v="RWD462"/>
    <x v="1"/>
    <x v="6"/>
    <s v="WACC"/>
    <n v="462"/>
    <n v="1"/>
    <s v="Credit Card"/>
    <n v="12611040"/>
    <n v="11676889"/>
    <n v="6"/>
    <n v="745333"/>
    <n v="804960"/>
    <s v="Diem_NguyenSM"/>
    <s v="RM-MORGANE R (51) R-C-MORGANER-1 Rings - No Setting Sterling Silver"/>
    <s v="Ms. Le Thi Thanh Mai"/>
    <s v="RG-045542"/>
    <n v="13"/>
    <s v="STERLING SILVER"/>
    <n v="13416000"/>
    <s v="51/G5"/>
    <n v="12422222"/>
    <x v="23"/>
    <s v="0933530066"/>
    <n v="6808591"/>
    <x v="0"/>
    <x v="1"/>
  </r>
  <r>
    <x v="4"/>
    <x v="11"/>
    <n v="45"/>
    <s v="SS23"/>
    <s v="RING"/>
    <s v="SS23"/>
    <n v="9448956"/>
    <n v="7998000"/>
    <d v="2023-11-01T00:00:00"/>
    <n v="186448"/>
    <s v="RWD462"/>
    <x v="1"/>
    <x v="6"/>
    <s v="WACC"/>
    <n v="462"/>
    <n v="1"/>
    <s v="Credit Card"/>
    <n v="24434360"/>
    <n v="22624407"/>
    <n v="6"/>
    <n v="1444111"/>
    <n v="1559640"/>
    <s v="Diem_NguyenSM"/>
    <s v="RM-BERIL TH S ST DIA 8X8 GRN RQTZ (51) R-C-BERILTH-7 Rings - With Setting Sterling Silver - 8X8 Cut Diamonds: 17p, 0.39ct - Green Rutilated Quartz: 1p, 1.52ct"/>
    <s v="Ms. Le Thi Thanh Mai"/>
    <s v="RG-046744"/>
    <n v="13"/>
    <s v="Green Rutilated"/>
    <n v="25994000"/>
    <s v="51/G1"/>
    <n v="24068519"/>
    <x v="23"/>
    <s v="0933530066"/>
    <n v="13175451"/>
    <x v="0"/>
    <x v="1"/>
  </r>
  <r>
    <x v="4"/>
    <x v="11"/>
    <n v="45"/>
    <s v="SS23"/>
    <s v="RING"/>
    <s v="SS23"/>
    <n v="8718351"/>
    <n v="7378800"/>
    <d v="2023-11-01T00:00:00"/>
    <n v="186443"/>
    <s v="RWD462"/>
    <x v="1"/>
    <x v="6"/>
    <s v="WACC"/>
    <n v="462"/>
    <n v="1"/>
    <s v="Credit Card"/>
    <n v="22543080"/>
    <n v="20873222"/>
    <n v="6"/>
    <n v="1332333"/>
    <n v="1438920"/>
    <s v="Diem_NguyenSM"/>
    <s v="RM-BEENU TB S ST DIA IG SWQTZ (size 52) R-C-BEENUTB-39 Rings - With Setting Sterling Silver - Icy Grey Diamonds: 22p, 0.24ct - Strawberry Quartz: 1p, 1.70ct"/>
    <s v="Ms. Le Thi Thanh Mai"/>
    <s v="RG-001380"/>
    <n v="13"/>
    <s v="Strawberry Quart"/>
    <n v="23982000"/>
    <s v="52/G2"/>
    <n v="22205556"/>
    <x v="23"/>
    <s v="0933530066"/>
    <n v="12154871"/>
    <x v="0"/>
    <x v="1"/>
  </r>
  <r>
    <x v="4"/>
    <x v="11"/>
    <n v="45"/>
    <s v="SS23"/>
    <s v="RING"/>
    <s v="SS23"/>
    <n v="-10910164"/>
    <n v="-9236400"/>
    <d v="2023-11-01T00:00:00"/>
    <n v="186494"/>
    <s v="RWD460"/>
    <x v="1"/>
    <x v="6"/>
    <s v="WACC"/>
    <n v="460"/>
    <n v="-1"/>
    <s v="Credit Card"/>
    <n v="-28217860"/>
    <n v="-26127648"/>
    <n v="6"/>
    <n v="-1667722"/>
    <n v="-1801140"/>
    <s v="Diem_NguyenSM"/>
    <s v="RM-TZIGANE R S ST DIA CO (size 52) R-C-TZIGANER-8 Rings - With Setting Sterling Silver - Cognac Diamonds: 55p, 0.56ct"/>
    <s v="Ms. Le Thi Thanh Mai"/>
    <s v="RG-004782"/>
    <n v="12"/>
    <s v="Cognac Diamonds"/>
    <n v="-30019000"/>
    <s v="52/G2"/>
    <n v="-27795370"/>
    <x v="23"/>
    <s v="0933530066"/>
    <n v="-15217484"/>
    <x v="0"/>
    <x v="1"/>
  </r>
  <r>
    <x v="4"/>
    <x v="11"/>
    <n v="45"/>
    <s v="SS23"/>
    <s v="RING"/>
    <s v="SS23"/>
    <n v="-4868298"/>
    <n v="-4128000"/>
    <d v="2023-11-01T00:00:00"/>
    <n v="186470"/>
    <s v="RWD460"/>
    <x v="1"/>
    <x v="6"/>
    <s v="WACC"/>
    <n v="460"/>
    <n v="-1"/>
    <s v="Credit Card"/>
    <n v="-12611040"/>
    <n v="-11676889"/>
    <n v="6"/>
    <n v="-745333"/>
    <n v="-804960"/>
    <s v="Diem_NguyenSM"/>
    <s v="RM-MORGANE R (51) R-C-MORGANER-1 Rings - No Setting Sterling Silver"/>
    <s v="Ms. Le Thi Thanh Mai"/>
    <s v="RG-045542"/>
    <n v="12"/>
    <s v="STERLING SILVER"/>
    <n v="-13416000"/>
    <s v="51/G5"/>
    <n v="-12422222"/>
    <x v="23"/>
    <s v="0933530066"/>
    <n v="-6808591"/>
    <x v="0"/>
    <x v="1"/>
  </r>
  <r>
    <x v="4"/>
    <x v="11"/>
    <n v="45"/>
    <s v="SS23"/>
    <s v="RING"/>
    <s v="SS23"/>
    <n v="-9448956"/>
    <n v="-7998000"/>
    <d v="2023-11-01T00:00:00"/>
    <n v="186448"/>
    <s v="RWD460"/>
    <x v="1"/>
    <x v="6"/>
    <s v="WACC"/>
    <n v="460"/>
    <n v="-1"/>
    <s v="Credit Card"/>
    <n v="-24434360"/>
    <n v="-22624407"/>
    <n v="6"/>
    <n v="-1444111"/>
    <n v="-1559640"/>
    <s v="Diem_NguyenSM"/>
    <s v="RM-BERIL TH S ST DIA 8X8 GRN RQTZ (51) R-C-BERILTH-7 Rings - With Setting Sterling Silver - 8X8 Cut Diamonds: 17p, 0.39ct - Green Rutilated Quartz: 1p, 1.52ct"/>
    <s v="Ms. Le Thi Thanh Mai"/>
    <s v="RG-046744"/>
    <n v="12"/>
    <s v="Green Rutilated"/>
    <n v="-25994000"/>
    <s v="51/G1"/>
    <n v="-24068519"/>
    <x v="23"/>
    <s v="0933530066"/>
    <n v="-13175451"/>
    <x v="0"/>
    <x v="1"/>
  </r>
  <r>
    <x v="4"/>
    <x v="11"/>
    <n v="45"/>
    <s v="SS23"/>
    <s v="EARRINGS"/>
    <s v="SS23"/>
    <n v="1139103"/>
    <n v="1026000"/>
    <d v="2023-11-05T00:00:00"/>
    <n v="182238"/>
    <s v="RWD476"/>
    <x v="7"/>
    <x v="6"/>
    <s v="WACC"/>
    <n v="476"/>
    <n v="1"/>
    <s v="Cash"/>
    <n v="3284000"/>
    <n v="3040741"/>
    <n v="0"/>
    <n v="0"/>
    <n v="0"/>
    <s v="Diem_NguyenSM"/>
    <s v="MAL - SILVER 4.5G, LOBE EARRINGS WITH PEARLS"/>
    <s v="Mrs. Nguyen Thi Mai Huong"/>
    <s v="OA0052"/>
    <n v="15"/>
    <s v="PEARLS"/>
    <n v="3284000"/>
    <s v="U"/>
    <n v="3040741"/>
    <x v="39"/>
    <s v="0908402668"/>
    <n v="1901638"/>
    <x v="0"/>
    <x v="1"/>
  </r>
  <r>
    <x v="4"/>
    <x v="11"/>
    <n v="46"/>
    <s v="FW23"/>
    <s v="EARRINGS"/>
    <s v="FW23"/>
    <n v="19583140"/>
    <n v="17968500"/>
    <d v="2023-11-06T00:00:00"/>
    <n v="193279"/>
    <s v="RHN3164"/>
    <x v="8"/>
    <x v="1"/>
    <s v="WACC"/>
    <n v="3164"/>
    <n v="1"/>
    <s v="Check"/>
    <n v="52469000"/>
    <n v="48582407"/>
    <n v="0"/>
    <n v="0"/>
    <n v="0"/>
    <s v="Ngoc_Nguyen"/>
    <s v="NAN - EARRINGS DIAMONDS pcs 10 ct 0.08 ACQUAMARINE pcs 2 ct 25"/>
    <s v="Ms. Nguyen Thi Nhung"/>
    <s v="OS16-587"/>
    <n v="12"/>
    <s v="GG"/>
    <n v="52469000"/>
    <s v="U"/>
    <n v="48582407"/>
    <x v="13"/>
    <s v="0906797121"/>
    <n v="28999267"/>
    <x v="0"/>
    <x v="0"/>
  </r>
  <r>
    <x v="4"/>
    <x v="11"/>
    <n v="46"/>
    <s v="SS17"/>
    <s v="JEWELRY"/>
    <s v="SS17"/>
    <n v="42124791"/>
    <n v="32782500"/>
    <d v="2023-11-08T00:00:00"/>
    <n v="109922"/>
    <s v="RHN3175"/>
    <x v="2"/>
    <x v="1"/>
    <s v="WACC"/>
    <n v="3175"/>
    <n v="1"/>
    <s v="Split"/>
    <n v="91063000"/>
    <n v="84317593"/>
    <n v="0"/>
    <n v="0"/>
    <n v="0"/>
    <s v="Ngoc_Nguyen"/>
    <s v="NAK STUDS: 1.84CTS RECLAIMED MOGHUL-CUT BLACK DIAMOND, 0.48CTS PRINCESS-CUT WHITE DIAMOND AND RECYCLED 20K ROSE GOLD; 9.6MM IN DIAMETER; 7MM IN DIAMETER"/>
    <s v="Tran Thi Minh Vy"/>
    <s v="10290-BD-20R"/>
    <n v="11"/>
    <s v="ROSE GOLD"/>
    <n v="91063000"/>
    <s v="U"/>
    <n v="84317593"/>
    <x v="14"/>
    <s v="0904399159"/>
    <n v="42192802"/>
    <x v="0"/>
    <x v="1"/>
  </r>
  <r>
    <x v="4"/>
    <x v="11"/>
    <n v="46"/>
    <s v="FW23"/>
    <s v="NECKLACE"/>
    <s v="FW23"/>
    <n v="18396283"/>
    <n v="16879500"/>
    <d v="2023-11-11T00:00:00"/>
    <n v="193277"/>
    <s v="RWR7428"/>
    <x v="8"/>
    <x v="0"/>
    <s v="WACC"/>
    <n v="7428"/>
    <n v="1"/>
    <s v="Account"/>
    <n v="44360100"/>
    <n v="41074167"/>
    <n v="10"/>
    <n v="4563796"/>
    <n v="4928900"/>
    <s v="Ha_Nguyen"/>
    <s v="NAN - NECKLACE ACQUAMARINE pcs 21 ct 0.19"/>
    <s v="Mrs. Le Thi Van"/>
    <s v="CS34-583"/>
    <n v="18"/>
    <s v="GG"/>
    <n v="49289000"/>
    <n v="395"/>
    <n v="45637963"/>
    <x v="6"/>
    <s v="0903803780"/>
    <n v="22677884"/>
    <x v="0"/>
    <x v="1"/>
  </r>
  <r>
    <x v="4"/>
    <x v="11"/>
    <n v="47"/>
    <s v="FW22"/>
    <s v="NECKLACE"/>
    <s v="FW22"/>
    <n v="1759667"/>
    <n v="1534000"/>
    <d v="2023-11-14T00:00:00"/>
    <n v="174891"/>
    <s v="RHN3196"/>
    <x v="4"/>
    <x v="1"/>
    <s v="WACC"/>
    <n v="3196"/>
    <n v="1"/>
    <s v="Cash"/>
    <n v="8555000"/>
    <n v="7921296"/>
    <n v="0"/>
    <n v="0"/>
    <n v="0"/>
    <s v="Ngoc_Nguyen"/>
    <s v="GEO - NECKLACE PEARL"/>
    <s v="Ms. To Thi Hanh"/>
    <s v="E8"/>
    <n v="14"/>
    <s v="WHITE"/>
    <n v="8555000"/>
    <s v="UN"/>
    <n v="7921296"/>
    <x v="18"/>
    <s v="0916671961"/>
    <n v="6161629"/>
    <x v="0"/>
    <x v="2"/>
  </r>
  <r>
    <x v="4"/>
    <x v="11"/>
    <n v="47"/>
    <s v="SS23"/>
    <s v="BRACELET"/>
    <s v="SS23"/>
    <n v="3383734"/>
    <n v="3435750"/>
    <d v="2023-11-14T00:00:00"/>
    <n v="182206"/>
    <s v="RWR7434"/>
    <x v="7"/>
    <x v="0"/>
    <s v="WACC"/>
    <n v="7434"/>
    <n v="1"/>
    <s v="Credit Card"/>
    <n v="10995000"/>
    <n v="10180556"/>
    <n v="0"/>
    <n v="0"/>
    <n v="0"/>
    <s v="Nghia_Nguyen"/>
    <s v="MAL - ENGRAVED SILVER BANGLE WITH 2 NATURAL STONES, DROP CUT (7X10)  ROCK CRYSTAL - CITRINE"/>
    <s v="Ms. Do Thanh Hien"/>
    <s v="BA0143/CITRINE"/>
    <n v="17"/>
    <s v="CITRINE - ROCK C"/>
    <n v="10995000"/>
    <s v="U"/>
    <n v="10180556"/>
    <x v="19"/>
    <s v="0908329582"/>
    <n v="6796822"/>
    <x v="0"/>
    <x v="0"/>
  </r>
  <r>
    <x v="4"/>
    <x v="11"/>
    <n v="47"/>
    <s v="SS23"/>
    <s v="EARRINGS"/>
    <s v="SS23"/>
    <n v="54642566"/>
    <n v="50987250"/>
    <d v="2023-11-16T00:00:00"/>
    <n v="182561"/>
    <s v="RWD494"/>
    <x v="2"/>
    <x v="6"/>
    <s v="WACC"/>
    <n v="494"/>
    <n v="1"/>
    <s v="Credit Card"/>
    <n v="129412800"/>
    <n v="119826667"/>
    <n v="5"/>
    <n v="6306667"/>
    <n v="6811200"/>
    <s v="Vuong_Vo"/>
    <s v="NAK - Pagoda Earrings: 3 cts black spinel, 0.21 cts G-H VS white diamond pave and 20k rose gold; 7/8 inches in length"/>
    <s v="Ms. Le Thi Thanh Mai"/>
    <s v="10389-BSL-20R"/>
    <n v="12"/>
    <s v="BLACK + WHITE +"/>
    <n v="136224000"/>
    <s v="U"/>
    <n v="126133333"/>
    <x v="23"/>
    <s v="0933530066"/>
    <n v="65184101"/>
    <x v="0"/>
    <x v="1"/>
  </r>
  <r>
    <x v="4"/>
    <x v="11"/>
    <n v="47"/>
    <s v="FW23"/>
    <s v="EARRINGS"/>
    <s v="FW23"/>
    <n v="12030413"/>
    <n v="11038500"/>
    <d v="2023-11-18T00:00:00"/>
    <n v="193280"/>
    <s v="RHN3241"/>
    <x v="8"/>
    <x v="1"/>
    <s v="WACC"/>
    <n v="3241"/>
    <n v="1"/>
    <s v="Credit Card"/>
    <n v="32233000"/>
    <n v="29845370"/>
    <n v="0"/>
    <n v="0"/>
    <n v="0"/>
    <s v="Huyen_Dang"/>
    <s v="NAN - EARRINGS DIAMONDS pcs 10 ct 0.09"/>
    <s v="Ms. Le Thi Thanh Hai"/>
    <s v="OS17-583"/>
    <n v="18"/>
    <s v="GG"/>
    <n v="32233000"/>
    <s v="U"/>
    <n v="29845370"/>
    <x v="10"/>
    <s v="0943060231"/>
    <n v="17814957"/>
    <x v="0"/>
    <x v="1"/>
  </r>
  <r>
    <x v="4"/>
    <x v="11"/>
    <n v="48"/>
    <s v="FW23"/>
    <s v="BRACELET"/>
    <s v="FW23"/>
    <n v="26785203"/>
    <n v="24576750"/>
    <d v="2023-11-22T00:00:00"/>
    <n v="193273"/>
    <s v="RWR7486"/>
    <x v="8"/>
    <x v="0"/>
    <s v="WACC"/>
    <n v="7486"/>
    <n v="1"/>
    <s v="Account"/>
    <n v="64588500"/>
    <n v="59804167"/>
    <n v="10"/>
    <n v="6644907"/>
    <n v="7176500"/>
    <s v="Nghia_Nguyen"/>
    <s v="NAN - BRACELET DIMAONDS pcs 42 ct 0,39"/>
    <s v="Mrs. Le Thi Van"/>
    <s v="BS32-583"/>
    <n v="17"/>
    <s v="GG"/>
    <n v="71765000"/>
    <n v="195"/>
    <n v="66449074"/>
    <x v="6"/>
    <s v="0903803780"/>
    <n v="33018964"/>
    <x v="0"/>
    <x v="1"/>
  </r>
  <r>
    <x v="4"/>
    <x v="11"/>
    <n v="48"/>
    <s v="FW23"/>
    <s v="EARRINGS"/>
    <s v="FW23"/>
    <n v="12030413"/>
    <n v="11038500"/>
    <d v="2023-11-26T00:00:00"/>
    <n v="193280"/>
    <s v="RWD668"/>
    <x v="8"/>
    <x v="6"/>
    <s v="WACC"/>
    <n v="668"/>
    <n v="1"/>
    <s v="Credit Card"/>
    <n v="32233000"/>
    <n v="29845370"/>
    <n v="0"/>
    <n v="0"/>
    <n v="0"/>
    <s v="Vuong_Vo"/>
    <s v="NAN - EARRINGS DIAMONDS pcs 10 ct 0.09"/>
    <s v="Mrs. Trinh Thi Duc Hien"/>
    <s v="OS17-583"/>
    <n v="13"/>
    <s v="GG"/>
    <n v="32233000"/>
    <s v="U"/>
    <n v="29845370"/>
    <x v="29"/>
    <s v="0933138688"/>
    <n v="17814957"/>
    <x v="0"/>
    <x v="1"/>
  </r>
  <r>
    <x v="4"/>
    <x v="11"/>
    <n v="49"/>
    <s v="FW23"/>
    <s v="EARRINGS"/>
    <s v="FW23"/>
    <n v="-12030413"/>
    <n v="-11038500"/>
    <d v="2023-11-27T00:00:00"/>
    <n v="193280"/>
    <s v="RWD712"/>
    <x v="8"/>
    <x v="6"/>
    <s v="WACC"/>
    <n v="712"/>
    <n v="-1"/>
    <s v="Credit Card"/>
    <n v="-32233000"/>
    <n v="-29845370"/>
    <n v="0"/>
    <n v="0"/>
    <n v="0"/>
    <s v="Diem_NguyenSM"/>
    <s v="NAN - EARRINGS DIAMONDS pcs 10 ct 0.09"/>
    <s v="Mrs. Trinh Thi Duc Hien"/>
    <s v="OS17-583"/>
    <n v="16"/>
    <s v="GG"/>
    <n v="-32233000"/>
    <s v="U"/>
    <n v="-29845370"/>
    <x v="29"/>
    <s v="0933138688"/>
    <n v="-17814957"/>
    <x v="0"/>
    <x v="1"/>
  </r>
  <r>
    <x v="4"/>
    <x v="11"/>
    <n v="49"/>
    <s v="SS23"/>
    <s v="NECKLACE"/>
    <s v="SS23"/>
    <n v="3358190"/>
    <n v="2838000"/>
    <d v="2023-11-28T00:00:00"/>
    <n v="186486"/>
    <s v="RWD745"/>
    <x v="1"/>
    <x v="6"/>
    <s v="WACC"/>
    <n v="745"/>
    <n v="1"/>
    <s v="Cash"/>
    <n v="8762800"/>
    <n v="8113704"/>
    <n v="5"/>
    <n v="427037"/>
    <n v="461200"/>
    <s v="Vuong_Vo"/>
    <s v="RM-PE SUMO 3 C ST S PE-H-SUMO3-2 Necklaces - Chain - No Setting Sterling Silver"/>
    <s v="Ms. Le Thi Thuy Hanh"/>
    <s v="PE-001565"/>
    <n v="21"/>
    <s v="STERLING SILVER"/>
    <n v="9224000"/>
    <s v="U"/>
    <n v="8540741"/>
    <x v="37"/>
    <s v="0903288262"/>
    <n v="4755514"/>
    <x v="0"/>
    <x v="1"/>
  </r>
  <r>
    <x v="4"/>
    <x v="11"/>
    <n v="49"/>
    <s v="SS23"/>
    <s v="NECKLACE"/>
    <s v="SS23"/>
    <n v="5184701"/>
    <n v="4386000"/>
    <d v="2023-11-28T00:00:00"/>
    <n v="186485"/>
    <s v="RWD745"/>
    <x v="1"/>
    <x v="6"/>
    <s v="WACC"/>
    <n v="745"/>
    <n v="1"/>
    <s v="Cash"/>
    <n v="13542250"/>
    <n v="12539120"/>
    <n v="5"/>
    <n v="659954"/>
    <n v="712750"/>
    <s v="Vuong_Vo"/>
    <s v="RM-PE SEIKO 5 PE-H-SEIKO5-1 Necklaces - Chain - No Setting Sterling Silver Sterling Silver"/>
    <s v="Ms. Le Thi Thuy Hanh"/>
    <s v="PE-000386"/>
    <n v="21"/>
    <s v="STERLING SILVER"/>
    <n v="14255000"/>
    <s v="U"/>
    <n v="13199074"/>
    <x v="37"/>
    <s v="0903288262"/>
    <n v="7354419"/>
    <x v="0"/>
    <x v="1"/>
  </r>
  <r>
    <x v="4"/>
    <x v="8"/>
    <n v="50"/>
    <s v="SS23"/>
    <s v="NECKLACE"/>
    <s v="SS23"/>
    <n v="5155938"/>
    <n v="4644000"/>
    <d v="2023-12-05T00:00:00"/>
    <n v="182228"/>
    <s v="RWT5492"/>
    <x v="7"/>
    <x v="4"/>
    <s v="WACC"/>
    <n v="5492"/>
    <n v="1"/>
    <s v="Credit Card"/>
    <n v="14861000"/>
    <n v="13760185"/>
    <n v="0"/>
    <n v="0"/>
    <n v="0"/>
    <s v="Chau_Vuong"/>
    <s v="MAL - SILVER NECKLACE, SHAKTI LOVE CAPSULE, WITH 10 SMALL NATURAL STONES ROUND CUT AND ONE ENGRAVED HEART IN SILVER. CLOSURE AT 37/40/42/44 CM  SMOKEY QUARTZ"/>
    <s v="Mrs. Nguyen Thi Huyen"/>
    <s v="CA0214/V1"/>
    <n v="11"/>
    <s v="MOKEY QUARTZ"/>
    <n v="14861000"/>
    <s v="U"/>
    <n v="13760185"/>
    <x v="25"/>
    <s v="0903689100"/>
    <n v="8604247"/>
    <x v="0"/>
    <x v="0"/>
  </r>
  <r>
    <x v="4"/>
    <x v="8"/>
    <n v="50"/>
    <s v="FW22"/>
    <s v="NECKLACE"/>
    <s v="FW22"/>
    <n v="1336670"/>
    <n v="1165250"/>
    <d v="2023-12-05T00:00:00"/>
    <n v="174874"/>
    <s v="RWT5492"/>
    <x v="4"/>
    <x v="4"/>
    <s v="WACC"/>
    <n v="5492"/>
    <n v="1"/>
    <s v="Credit Card"/>
    <n v="6490000"/>
    <n v="6009259"/>
    <n v="0"/>
    <n v="0"/>
    <n v="0"/>
    <s v="Chau_Vuong"/>
    <s v="GEO - NECKLACE TORMALINE"/>
    <s v="Mrs. Nguyen Thi Huyen"/>
    <s v="D4"/>
    <n v="11"/>
    <s v="MUTI"/>
    <n v="6490000"/>
    <s v="UN"/>
    <n v="6009259"/>
    <x v="25"/>
    <s v="0903689100"/>
    <n v="4672589"/>
    <x v="0"/>
    <x v="0"/>
  </r>
  <r>
    <x v="4"/>
    <x v="8"/>
    <n v="51"/>
    <s v="FW23"/>
    <s v="EARRINGS"/>
    <s v="FW23"/>
    <n v="-139997498"/>
    <n v="-128174400"/>
    <d v="2023-12-11T00:00:00"/>
    <n v="193095"/>
    <s v="RWD809"/>
    <x v="0"/>
    <x v="6"/>
    <s v="WACC"/>
    <n v="809"/>
    <n v="-1"/>
    <s v="None"/>
    <n v="-288392400"/>
    <n v="-267030000"/>
    <n v="10"/>
    <n v="-29670000"/>
    <n v="-32043600"/>
    <s v="Diem_NguyenSM"/>
    <s v="SPK - CUSTOM TARYN - 18k gold, Theano YG Bottom hoops (2.8mm x 20mm), with channel set WD, YG Connector (2mm x 6mm), YG Micro Hoop (2mm x 9mm)"/>
    <s v="Mrs. Duong Minh Ha"/>
    <s v="E-TARYNYG"/>
    <n v="15"/>
    <s v="GOLD"/>
    <n v="-320436000"/>
    <s v="OS"/>
    <n v="-296700000"/>
    <x v="37"/>
    <s v="0903811856"/>
    <n v="-127032502"/>
    <x v="0"/>
    <x v="1"/>
  </r>
  <r>
    <x v="4"/>
    <x v="8"/>
    <n v="51"/>
    <s v="SS23"/>
    <s v="EARRINGS"/>
    <s v="SS23"/>
    <n v="301102833"/>
    <n v="279607500"/>
    <d v="2023-12-11T00:00:00"/>
    <n v="182562"/>
    <s v="RWR7630"/>
    <x v="2"/>
    <x v="0"/>
    <s v="WACC"/>
    <n v="7630"/>
    <n v="1"/>
    <s v="Split"/>
    <n v="671522400"/>
    <n v="621780000"/>
    <n v="10"/>
    <n v="69086667"/>
    <n v="74613600"/>
    <s v="Nghia_Nguyen"/>
    <s v="NAK - Large Raindrop Earrings: approx. 2.81 cts white diamonds and 20k  rose gold; 1 5/8&quot; in length"/>
    <s v="Mrs. Duong Minh Ha"/>
    <s v="10465-D-20R"/>
    <n v="16"/>
    <s v="WHITE + ROSE GOL"/>
    <n v="746136000"/>
    <s v="U"/>
    <n v="690866667"/>
    <x v="6"/>
    <s v="0903811856"/>
    <n v="320677167"/>
    <x v="0"/>
    <x v="1"/>
  </r>
  <r>
    <x v="4"/>
    <x v="8"/>
    <n v="52"/>
    <s v="SS23"/>
    <s v="EARRINGS"/>
    <s v="SS23"/>
    <n v="88463534"/>
    <n v="96404000"/>
    <d v="2023-12-23T00:00:00"/>
    <n v="180394"/>
    <s v="RWD900"/>
    <x v="5"/>
    <x v="6"/>
    <s v="WACC"/>
    <n v="900"/>
    <n v="1"/>
    <s v="Credit Card"/>
    <n v="200000000"/>
    <n v="185185185"/>
    <n v="0"/>
    <n v="0"/>
    <n v="0"/>
    <s v="Diem_NguyenSM"/>
    <s v="ATS - PG Pr. of Earrings: dia 0,61ct G/VS, rubellite 7,40ct_x000a_+ emerald 10,97ct"/>
    <s v="Mrs. Huynh Thi Kim Hoa"/>
    <s v="88/01178R/SR"/>
    <n v="17"/>
    <s v="DIA + RED + EMER"/>
    <n v="200000000"/>
    <s v="O/S"/>
    <n v="185185185"/>
    <x v="40"/>
    <s v="0903363131"/>
    <n v="96721651"/>
    <x v="0"/>
    <x v="2"/>
  </r>
  <r>
    <x v="4"/>
    <x v="8"/>
    <n v="53"/>
    <s v="SS24"/>
    <s v="RING"/>
    <s v="SS24"/>
    <n v="4084969"/>
    <n v="3052349.9999999995"/>
    <d v="2023-12-28T00:00:00"/>
    <n v="202764"/>
    <s v="RHA364"/>
    <x v="1"/>
    <x v="7"/>
    <s v="WJEW"/>
    <n v="364"/>
    <n v="1"/>
    <s v="Check"/>
    <n v="9424950"/>
    <n v="8726806"/>
    <n v="5"/>
    <n v="459306"/>
    <n v="496050"/>
    <s v="thu_trang"/>
    <s v="ROM-MARILOO S CU DIX PRT (53) R-H-MARILOO-11 Rings - With Setting Silver - Copper - Peridot: 1p, 0.86ct"/>
    <s v="Mrs. Thi Tuyet Nhung Nguyen"/>
    <s v="RG-076026"/>
    <n v="14"/>
    <s v="Peridot, Copper,"/>
    <n v="9921000"/>
    <n v="53"/>
    <n v="9186111"/>
    <x v="1"/>
    <s v="0903932021"/>
    <n v="4641837"/>
    <x v="0"/>
    <x v="0"/>
  </r>
  <r>
    <x v="4"/>
    <x v="8"/>
    <n v="53"/>
    <s v="SS24"/>
    <s v="RING"/>
    <s v="SS24"/>
    <n v="7132486"/>
    <n v="5329500"/>
    <d v="2023-12-28T00:00:00"/>
    <n v="202792"/>
    <s v="RHA364"/>
    <x v="1"/>
    <x v="7"/>
    <s v="WJEW"/>
    <n v="364"/>
    <n v="1"/>
    <s v="Check"/>
    <n v="16454949"/>
    <n v="15236064"/>
    <n v="5"/>
    <n v="801899"/>
    <n v="866051"/>
    <s v="thu_trang"/>
    <s v="ROM-RINY 1 DIA IB (52) R-H-RINY1-9 Rings - With Setting Silver - Icy Diamonds: 6p, 0.45ct"/>
    <s v="Mrs. Thi Tuyet Nhung Nguyen"/>
    <s v="RG-076243"/>
    <n v="14"/>
    <s v="Icy Diamonds, Si"/>
    <n v="17321000"/>
    <n v="52"/>
    <n v="16037963"/>
    <x v="1"/>
    <s v="0903932021"/>
    <n v="8103578"/>
    <x v="0"/>
    <x v="0"/>
  </r>
  <r>
    <x v="4"/>
    <x v="8"/>
    <n v="53"/>
    <s v="SS24"/>
    <s v="RING"/>
    <s v="SS24"/>
    <n v="3695924"/>
    <n v="2761650"/>
    <d v="2023-12-28T00:00:00"/>
    <n v="202796"/>
    <s v="RHA364"/>
    <x v="1"/>
    <x v="7"/>
    <s v="WJEW"/>
    <n v="364"/>
    <n v="1"/>
    <s v="Check"/>
    <n v="8527200"/>
    <n v="7895556"/>
    <n v="5"/>
    <n v="415556"/>
    <n v="448800"/>
    <s v="thu_trang"/>
    <s v="ROM-RINY F1 S ST DIA EM (54) R-H-RINYF1-5 Rings - With Setting Sterling Silver - Emeralds: 13p, 0.12ct"/>
    <s v="Mrs. Thi Tuyet Nhung Nguyen"/>
    <s v="RG-074411"/>
    <n v="14"/>
    <s v="Emeralds, Silver"/>
    <n v="8976000"/>
    <n v="54"/>
    <n v="8311111"/>
    <x v="1"/>
    <s v="0903932021"/>
    <n v="4199632"/>
    <x v="0"/>
    <x v="0"/>
  </r>
  <r>
    <x v="4"/>
    <x v="8"/>
    <n v="53"/>
    <s v="SS24"/>
    <s v="RING"/>
    <s v="SS24"/>
    <n v="2269427"/>
    <n v="1695750"/>
    <d v="2023-12-28T00:00:00"/>
    <n v="202755"/>
    <s v="RHA364"/>
    <x v="1"/>
    <x v="7"/>
    <s v="WJEW"/>
    <n v="364"/>
    <n v="1"/>
    <s v="Check"/>
    <n v="5236399"/>
    <n v="4848518"/>
    <n v="5"/>
    <n v="255186"/>
    <n v="275601"/>
    <s v="thu_trang"/>
    <s v="ROM-CHIKA 3 S CU (53) R-H-CHIKA3-2 Rings - No Setting Silver - Copper"/>
    <s v="Mrs. Thi Tuyet Nhung Nguyen"/>
    <s v="RG-077613"/>
    <n v="14"/>
    <s v="COPPER"/>
    <n v="5512000"/>
    <n v="53"/>
    <n v="5103704"/>
    <x v="1"/>
    <s v="0903932021"/>
    <n v="2579091"/>
    <x v="0"/>
    <x v="0"/>
  </r>
  <r>
    <x v="4"/>
    <x v="8"/>
    <n v="53"/>
    <s v="SS24"/>
    <s v="RING"/>
    <s v="SS24"/>
    <n v="2528791"/>
    <n v="1889549.9999999998"/>
    <d v="2023-12-28T00:00:00"/>
    <n v="202811"/>
    <s v="RHA364"/>
    <x v="1"/>
    <x v="7"/>
    <s v="WJEW"/>
    <n v="364"/>
    <n v="1"/>
    <s v="Check"/>
    <n v="5834900"/>
    <n v="5402685"/>
    <n v="5"/>
    <n v="284352"/>
    <n v="307100"/>
    <s v="thu_trang"/>
    <s v="ROM-YONCA 1 S S GY (53) R-H-YONCA1-5 Rings - No Setting Sterling Silver - Yellow Gold (18K)"/>
    <s v="Mrs. Thi Tuyet Nhung Nguyen"/>
    <s v="RG-071763"/>
    <n v="14"/>
    <s v="Yellow Gold, Sil"/>
    <n v="6142000"/>
    <n v="53"/>
    <n v="5687037"/>
    <x v="1"/>
    <s v="0903932021"/>
    <n v="2873894"/>
    <x v="0"/>
    <x v="0"/>
  </r>
  <r>
    <x v="4"/>
    <x v="8"/>
    <n v="53"/>
    <s v="SS24"/>
    <s v="RING"/>
    <s v="SS24"/>
    <n v="6095032"/>
    <n v="4554300"/>
    <d v="2023-12-28T00:00:00"/>
    <n v="202749"/>
    <s v="RHA364"/>
    <x v="1"/>
    <x v="7"/>
    <s v="WJEW"/>
    <n v="364"/>
    <n v="1"/>
    <s v="Check"/>
    <n v="14061899"/>
    <n v="13020277"/>
    <n v="5"/>
    <n v="685279"/>
    <n v="740101"/>
    <s v="thu_trang"/>
    <s v="ROM-BLISS DIA IG HUN QTZ (52) R-H-BLISS-4 Rings - With Setting Silver -Icy Grey Diamond: 21p, 0.17ct - Honey Quartz: 1p 1.52ct"/>
    <s v="Mrs. Thi Tuyet Nhung Nguyen"/>
    <s v="RG-077611"/>
    <n v="14"/>
    <s v="IcyGrey, Honey"/>
    <n v="14802000"/>
    <n v="52"/>
    <n v="13705556"/>
    <x v="1"/>
    <s v="0903932021"/>
    <n v="6925245"/>
    <x v="0"/>
    <x v="0"/>
  </r>
  <r>
    <x v="5"/>
    <x v="0"/>
    <n v="2"/>
    <s v="SS24"/>
    <s v="RING"/>
    <s v="SS24"/>
    <n v="98410832"/>
    <n v="79751250"/>
    <d v="2024-01-13T00:00:00"/>
    <n v="203154"/>
    <s v="RWD1030"/>
    <x v="2"/>
    <x v="6"/>
    <s v="WJEW"/>
    <n v="1030"/>
    <n v="1"/>
    <s v="Split"/>
    <n v="191935150"/>
    <n v="177717731"/>
    <n v="5"/>
    <n v="9353565"/>
    <n v="10101850"/>
    <s v="Vuong_Vo"/>
    <s v="NAK-DOUBLE RUCHED RIBBON RING: 4.5 CTS BLACK SPINEL, 0.21 G-H VS WHITE DIAMONDS AND 20K RECYCLED ROSE GOLD; SIZE 6"/>
    <s v="Ms. Le Thi Thanh Mai"/>
    <s v="90085-BSL-20R"/>
    <n v="13"/>
    <s v="BLACK SPINEL, DI"/>
    <n v="202037000"/>
    <n v="6"/>
    <n v="187071296"/>
    <x v="23"/>
    <s v="0933530066"/>
    <n v="79306899"/>
    <x v="0"/>
    <x v="1"/>
  </r>
  <r>
    <x v="5"/>
    <x v="0"/>
    <n v="2"/>
    <s v="SS24"/>
    <s v="NECKLACE"/>
    <s v="SS24"/>
    <n v="3047516"/>
    <n v="2277150"/>
    <d v="2024-01-13T00:00:00"/>
    <n v="202779"/>
    <s v="RWR7740"/>
    <x v="1"/>
    <x v="0"/>
    <s v="WJEW"/>
    <n v="7740"/>
    <n v="1"/>
    <s v="Split"/>
    <n v="7401000"/>
    <n v="6852778"/>
    <n v="0"/>
    <n v="0"/>
    <n v="0"/>
    <s v="Ha_Nguyen"/>
    <s v="ROM-PEW EYE DIA CO SBL PE-H-PEEYE-2 Necklaces - Wax - With Setting Silver - Blue Sapphire: 1p, 0.04ct - Cognac Diamonds: 12p, 0.12ct"/>
    <s v="Ms. Pham Hoai Tram"/>
    <s v="PEW-000337"/>
    <n v="16"/>
    <s v="BLUE SAPPHIRE, C"/>
    <n v="7401000"/>
    <s v="U"/>
    <n v="6852778"/>
    <x v="4"/>
    <s v="0913081188"/>
    <n v="3805262"/>
    <x v="0"/>
    <x v="1"/>
  </r>
  <r>
    <x v="5"/>
    <x v="0"/>
    <n v="3"/>
    <s v="SS23"/>
    <s v="RING"/>
    <s v="SS23"/>
    <n v="41266209"/>
    <n v="40611780"/>
    <d v="2024-01-17T00:00:00"/>
    <n v="181399"/>
    <s v="RWD1053"/>
    <x v="8"/>
    <x v="6"/>
    <s v="WACC"/>
    <n v="1053"/>
    <n v="1"/>
    <s v="Split"/>
    <n v="106040900"/>
    <n v="98186019"/>
    <n v="5"/>
    <n v="5167685"/>
    <n v="5581100"/>
    <s v="Vuong_Vo"/>
    <s v="NAN - DIAMONDS 15pcs ct0.29, RHODOLITE 1pc ct0.06, RUBY 6pcs ct 0.43, WHITE OPAL 1pc ct0.75, FUXIA SAPPHIRE 8pcs ct0.27, PINK SAPPHIRE 10pcs ct0.5"/>
    <s v="Ms. Nguyen Thanh Mai"/>
    <s v="AS24-584"/>
    <n v="17"/>
    <s v="DIAMONDS 15pcs c"/>
    <n v="111622000"/>
    <s v="U"/>
    <n v="103353704"/>
    <x v="23"/>
    <s v="0902825362"/>
    <n v="56919810"/>
    <x v="0"/>
    <x v="1"/>
  </r>
  <r>
    <x v="5"/>
    <x v="0"/>
    <n v="3"/>
    <s v="SS24"/>
    <s v="RING"/>
    <s v="SS24"/>
    <n v="4798217"/>
    <n v="3585300"/>
    <d v="2024-01-18T00:00:00"/>
    <n v="202794"/>
    <s v="RWR7756"/>
    <x v="1"/>
    <x v="0"/>
    <s v="WJEW"/>
    <n v="7756"/>
    <n v="1"/>
    <s v="Split"/>
    <n v="11653000"/>
    <n v="10789815"/>
    <n v="0"/>
    <n v="0"/>
    <n v="0"/>
    <s v="Nghia_Nguyen"/>
    <s v="ROM-RINY 1 DIA RU (52) R-H-RINY1-4 Rings - With Setting Sterling Silver - Rubies: 6p, 0.45ct"/>
    <s v="Ms. Huynh Hoa Thuy Tien"/>
    <s v="RG-073127"/>
    <n v="18"/>
    <s v="Rubies, Silver"/>
    <n v="11653000"/>
    <n v="52"/>
    <n v="10789815"/>
    <x v="4"/>
    <s v="0937068787"/>
    <n v="5991598"/>
    <x v="0"/>
    <x v="1"/>
  </r>
  <r>
    <x v="5"/>
    <x v="0"/>
    <n v="3"/>
    <s v="SS24"/>
    <s v="RING"/>
    <s v="SS24"/>
    <n v="4538854"/>
    <n v="3391500"/>
    <d v="2024-01-18T00:00:00"/>
    <n v="202776"/>
    <s v="RWR7756"/>
    <x v="1"/>
    <x v="0"/>
    <s v="WJEW"/>
    <n v="7756"/>
    <n v="1"/>
    <s v="Split"/>
    <n v="11023000"/>
    <n v="10206481"/>
    <n v="0"/>
    <n v="0"/>
    <n v="0"/>
    <s v="Nghia_Nguyen"/>
    <s v="ROM-PAVLA H S S DIA 8X8 (53) R-H-PAVLAH-5 Rings - With Setting Silver - 8x8 Cut Diamonds: 11p, 0.12ct"/>
    <s v="Ms. Huynh Hoa Thuy Tien"/>
    <s v="RG-076485"/>
    <n v="18"/>
    <s v="8x8 Cut Diamonds"/>
    <n v="11023000"/>
    <n v="53"/>
    <n v="10206481"/>
    <x v="4"/>
    <s v="0937068787"/>
    <n v="5667627"/>
    <x v="0"/>
    <x v="1"/>
  </r>
  <r>
    <x v="5"/>
    <x v="0"/>
    <n v="3"/>
    <s v="SS24"/>
    <s v="RING"/>
    <s v="SS24"/>
    <n v="3242039"/>
    <n v="2422500"/>
    <d v="2024-01-18T00:00:00"/>
    <n v="202775"/>
    <s v="RWR7756"/>
    <x v="1"/>
    <x v="0"/>
    <s v="WJEW"/>
    <n v="7756"/>
    <n v="1"/>
    <s v="Split"/>
    <n v="7874000"/>
    <n v="7290741"/>
    <n v="0"/>
    <n v="0"/>
    <n v="0"/>
    <s v="Nghia_Nguyen"/>
    <s v="ROM-PAQUITA H S GY (53) R-H-PAQUITAH-4 Rings - No Setting Silver - Yellow Gold (18K)"/>
    <s v="Ms. Huynh Hoa Thuy Tien"/>
    <s v="RG-077615"/>
    <n v="18"/>
    <s v="YELLOW GOLD"/>
    <n v="7874000"/>
    <n v="53"/>
    <n v="7290741"/>
    <x v="4"/>
    <s v="0937068787"/>
    <n v="4048702"/>
    <x v="0"/>
    <x v="1"/>
  </r>
  <r>
    <x v="5"/>
    <x v="0"/>
    <n v="3"/>
    <s v="SS24"/>
    <s v="RING"/>
    <s v="SS24"/>
    <n v="3695924"/>
    <n v="2761650"/>
    <d v="2024-01-18T00:00:00"/>
    <n v="202815"/>
    <s v="RWR7756"/>
    <x v="1"/>
    <x v="0"/>
    <s v="WJEW"/>
    <n v="7756"/>
    <n v="1"/>
    <s v="Split"/>
    <n v="8976000"/>
    <n v="8311111"/>
    <n v="0"/>
    <n v="0"/>
    <n v="0"/>
    <s v="Nghia_Nguyen"/>
    <s v="ROM-RINY F1 S ST DIA EM (52) R-H-RINYF1-5 Rings - With Setting Sterling Silver - Emeralds: 13p, 0.12ct"/>
    <s v="Ms. Huynh Hoa Thuy Tien"/>
    <s v="RG-074411-784815"/>
    <n v="18"/>
    <s v="Emeralds, Silver"/>
    <n v="8976000"/>
    <n v="52"/>
    <n v="8311111"/>
    <x v="4"/>
    <s v="0937068787"/>
    <n v="4615187"/>
    <x v="0"/>
    <x v="1"/>
  </r>
  <r>
    <x v="5"/>
    <x v="9"/>
    <n v="5"/>
    <s v="SS24"/>
    <s v="NECKLACE"/>
    <s v="SS24"/>
    <n v="18534090"/>
    <n v="18567450"/>
    <d v="2024-02-02T00:00:00"/>
    <n v="202709"/>
    <s v="RWR7816"/>
    <x v="8"/>
    <x v="0"/>
    <s v="WACC"/>
    <n v="7816"/>
    <n v="1"/>
    <s v="Credit Card"/>
    <n v="48529000"/>
    <n v="44934259"/>
    <n v="0"/>
    <n v="0"/>
    <n v="0"/>
    <s v="Ha_Nguyen"/>
    <s v="NAN - &quot;ÉLITE&quot; GOLD 2.22 AND DIAMONDS 0.19 LIGHT POINT NECKLACE"/>
    <s v="Ms. Pham Hoai Tram"/>
    <s v="CS34-583"/>
    <n v="14"/>
    <s v="GG LU"/>
    <n v="48529000"/>
    <n v="395"/>
    <n v="44934259"/>
    <x v="4"/>
    <s v="0913081188"/>
    <n v="26400169"/>
    <x v="0"/>
    <x v="1"/>
  </r>
  <r>
    <x v="5"/>
    <x v="9"/>
    <n v="7"/>
    <s v="FW23"/>
    <s v="EARRINGS"/>
    <s v="FW23"/>
    <n v="19583140"/>
    <n v="17968500"/>
    <d v="2024-02-15T00:00:00"/>
    <n v="193279"/>
    <s v="RWD1231"/>
    <x v="8"/>
    <x v="6"/>
    <s v="WACC"/>
    <n v="1231"/>
    <n v="1"/>
    <s v="Cash"/>
    <n v="52469000"/>
    <n v="48582407"/>
    <n v="0"/>
    <n v="0"/>
    <n v="0"/>
    <s v="Vuong_Vo"/>
    <s v="NAN - EARRINGS DIAMONDS pcs 10 ct 0.08 ACQUAMARINE pcs 2 ct 25"/>
    <s v="Tourist"/>
    <s v="OS16-587"/>
    <n v="20"/>
    <s v="GG"/>
    <n v="52469000"/>
    <s v="U"/>
    <n v="48582407"/>
    <x v="35"/>
    <m/>
    <n v="28999267"/>
    <x v="0"/>
    <x v="0"/>
  </r>
  <r>
    <x v="5"/>
    <x v="9"/>
    <n v="7"/>
    <s v="FW22"/>
    <s v="EARRINGS"/>
    <s v="FW22"/>
    <n v="548204"/>
    <n v="477900"/>
    <d v="2024-02-15T00:00:00"/>
    <n v="174903"/>
    <s v="RWR7866"/>
    <x v="4"/>
    <x v="0"/>
    <s v="WACC"/>
    <n v="7866"/>
    <n v="1"/>
    <s v="Check"/>
    <n v="2655000"/>
    <n v="2458333"/>
    <n v="0"/>
    <n v="0"/>
    <n v="0"/>
    <s v="Nghia_Nguyen"/>
    <s v="GEO - EARRING M. PEARL"/>
    <s v="Ms. Nguyen Thi Hong Van"/>
    <s v="A8"/>
    <n v="16"/>
    <s v="YELLOW"/>
    <n v="2655000"/>
    <s v="UN"/>
    <n v="2458333"/>
    <x v="20"/>
    <s v="0903914688"/>
    <n v="1910129"/>
    <x v="0"/>
    <x v="0"/>
  </r>
  <r>
    <x v="5"/>
    <x v="9"/>
    <n v="7"/>
    <s v="SS24"/>
    <s v="RING"/>
    <s v="SS24"/>
    <n v="36440514"/>
    <n v="27228900"/>
    <d v="2024-02-18T00:00:00"/>
    <n v="202753"/>
    <s v="RWD1246"/>
    <x v="1"/>
    <x v="6"/>
    <s v="WJEW"/>
    <n v="1246"/>
    <n v="1"/>
    <s v="Credit Card"/>
    <n v="84069300"/>
    <n v="77841944"/>
    <n v="5"/>
    <n v="4096944"/>
    <n v="4424700"/>
    <s v="Hoa_Nguyen"/>
    <s v="ROM-BRENNY B DIA BRN (53) R-H-BRENNYB-2 Rings - With Setting Silver - Brown Diamonds: 30p, 2.66ct"/>
    <s v="Ms. Le Thi Thanh Mai"/>
    <s v="RG-077612"/>
    <n v="12"/>
    <s v="BROWN DIAMONDS"/>
    <n v="88494000"/>
    <n v="53"/>
    <n v="81938889"/>
    <x v="22"/>
    <s v="0933530066"/>
    <n v="41401430"/>
    <x v="0"/>
    <x v="0"/>
  </r>
  <r>
    <x v="5"/>
    <x v="9"/>
    <n v="8"/>
    <s v="SS24"/>
    <s v="EARRINGS"/>
    <s v="SS24"/>
    <n v="71084776"/>
    <n v="64833750"/>
    <d v="2024-02-19T00:00:00"/>
    <n v="203148"/>
    <s v="RWR7877"/>
    <x v="2"/>
    <x v="0"/>
    <s v="WJEW"/>
    <n v="7877"/>
    <n v="1"/>
    <s v="Account"/>
    <n v="118257120"/>
    <n v="109497333"/>
    <n v="28"/>
    <n v="42582296"/>
    <n v="45988880"/>
    <s v="Ha_Nguyen"/>
    <s v="NAK-KYOTO EARRINGS: 2.4CTS FIRE OPAL, 0.53 CTS BLACK SPINEL, 0.41 CTS RUBELLITE AND 20K ROSE GOLD; 1 1/2 INCHES IN LENGTH"/>
    <s v="Mrs. Tran Thi Hoai Anh"/>
    <s v="10403-FOP-20R"/>
    <n v="15"/>
    <s v="RED-PINK-BLACK"/>
    <n v="164246000"/>
    <s v="U"/>
    <n v="152079630"/>
    <x v="6"/>
    <s v="0908039899"/>
    <n v="38412557"/>
    <x v="0"/>
    <x v="1"/>
  </r>
  <r>
    <x v="5"/>
    <x v="9"/>
    <n v="8"/>
    <s v="FW23"/>
    <s v="EARRINGS"/>
    <s v="FW23"/>
    <n v="-19583140"/>
    <n v="-17968500"/>
    <d v="2024-02-21T00:00:00"/>
    <n v="193279"/>
    <s v="RWD1262"/>
    <x v="8"/>
    <x v="6"/>
    <s v="WACC"/>
    <n v="1262"/>
    <n v="-1"/>
    <s v="Cash"/>
    <n v="-52469000"/>
    <n v="-48582407"/>
    <n v="0"/>
    <n v="0"/>
    <n v="0"/>
    <s v="Diem_NguyenSM"/>
    <s v="NAN - EARRINGS DIAMONDS pcs 10 ct 0.08 ACQUAMARINE pcs 2 ct 25"/>
    <s v="Tourist"/>
    <s v="OS16-587"/>
    <n v="14"/>
    <s v="GG"/>
    <n v="-52469000"/>
    <s v="U"/>
    <n v="-48582407"/>
    <x v="35"/>
    <m/>
    <n v="-28999267"/>
    <x v="0"/>
    <x v="0"/>
  </r>
  <r>
    <x v="5"/>
    <x v="9"/>
    <n v="8"/>
    <s v="SS24"/>
    <s v="EARRINGS"/>
    <s v="SS24"/>
    <n v="19729838"/>
    <n v="19765350"/>
    <d v="2024-02-21T00:00:00"/>
    <n v="202696"/>
    <s v="RWD1262"/>
    <x v="8"/>
    <x v="6"/>
    <s v="WACC"/>
    <n v="1262"/>
    <n v="1"/>
    <s v="Cash"/>
    <n v="51660000"/>
    <n v="47833333"/>
    <n v="0"/>
    <n v="0"/>
    <n v="0"/>
    <s v="Diem_NguyenSM"/>
    <s v="NAN - &quot;AZURE&quot; CILIEGINE GOLD 2.9 AND MILKY AQUAMARINE 25 CT BALL DROP EARRINGS WITH DIAMONDS 0.08 CT (LARGE)"/>
    <s v="Tourist"/>
    <s v="OS16-587"/>
    <n v="14"/>
    <s v="GG IN"/>
    <n v="51660000"/>
    <s v="U"/>
    <n v="47833333"/>
    <x v="35"/>
    <m/>
    <n v="28103495"/>
    <x v="0"/>
    <x v="0"/>
  </r>
  <r>
    <x v="5"/>
    <x v="9"/>
    <n v="8"/>
    <s v="SS24"/>
    <s v="EARRINGS"/>
    <s v="SS24"/>
    <n v="16169772"/>
    <n v="16198875.000000002"/>
    <d v="2024-02-21T00:00:00"/>
    <n v="202698"/>
    <s v="RWR7884"/>
    <x v="8"/>
    <x v="0"/>
    <s v="WACC"/>
    <n v="7884"/>
    <n v="1"/>
    <s v="Cash"/>
    <n v="42338000"/>
    <n v="39201852"/>
    <n v="0"/>
    <n v="0"/>
    <n v="0"/>
    <s v="Nghia_Nguyen"/>
    <s v="NAN - &quot;AZURE&quot; GOLD 2.8 AND AQUAMARINE 1.50CT DIAMOND 0.10CT  EVERYDAY DROP EARRINGS"/>
    <s v="Ms. Cao Thi Thanh Yen"/>
    <s v="OS26-587"/>
    <n v="11"/>
    <s v="GG IN"/>
    <n v="42338000"/>
    <s v="U"/>
    <n v="39201852"/>
    <x v="24"/>
    <s v="0903333829"/>
    <n v="23032080"/>
    <x v="0"/>
    <x v="1"/>
  </r>
  <r>
    <x v="5"/>
    <x v="9"/>
    <n v="8"/>
    <s v="SS24"/>
    <s v="NECKLACE"/>
    <s v="SS24"/>
    <n v="23452963"/>
    <n v="23495175.000000004"/>
    <d v="2024-02-25T00:00:00"/>
    <n v="202708"/>
    <s v="RWR7904"/>
    <x v="8"/>
    <x v="0"/>
    <s v="WACC"/>
    <n v="7904"/>
    <n v="1"/>
    <s v="Check"/>
    <n v="61408000"/>
    <n v="56859259"/>
    <n v="0"/>
    <n v="0"/>
    <n v="0"/>
    <s v="Nghia_Nguyen"/>
    <s v="NAN - &quot;SOFFIO&quot; GOLD 5.0 , DIAMONDS 0.08CT AND AQUAMARINE 6.0CT Y NECKLACE"/>
    <s v="Ms. Cao Thi Thanh Yen"/>
    <s v="CS22-587"/>
    <n v="18"/>
    <s v="GG IN"/>
    <n v="61408000"/>
    <n v="550"/>
    <n v="56859259"/>
    <x v="24"/>
    <s v="0903333829"/>
    <n v="33406296"/>
    <x v="0"/>
    <x v="1"/>
  </r>
  <r>
    <x v="5"/>
    <x v="9"/>
    <n v="9"/>
    <s v="SS24"/>
    <s v="NECKLACE"/>
    <s v="SS24"/>
    <n v="2334268"/>
    <n v="1744199.9999999998"/>
    <d v="2024-02-27T00:00:00"/>
    <n v="202782"/>
    <s v="RWD1290"/>
    <x v="1"/>
    <x v="6"/>
    <s v="WJEW"/>
    <n v="1290"/>
    <n v="1"/>
    <s v="Cash"/>
    <n v="5669000"/>
    <n v="5249074"/>
    <n v="0"/>
    <n v="0"/>
    <n v="0"/>
    <s v="Hoa_Nguyen"/>
    <s v="ROM-PE SPYRO 2 S CRS ENG 2T PE-C-SPYRO2-6 Necklaces - Chain - No Setting Silver"/>
    <s v="Mrs. Oh Hye Keum"/>
    <s v="PE-001821"/>
    <n v="12"/>
    <s v="SILVER"/>
    <n v="5669000"/>
    <s v="U"/>
    <n v="5249074"/>
    <x v="37"/>
    <s v="0946843101"/>
    <n v="2914806"/>
    <x v="0"/>
    <x v="1"/>
  </r>
  <r>
    <x v="5"/>
    <x v="9"/>
    <n v="9"/>
    <s v="SS24"/>
    <s v="NECKLACE"/>
    <s v="SS24"/>
    <n v="1880383"/>
    <n v="1405049.9999999998"/>
    <d v="2024-02-29T00:00:00"/>
    <n v="202778"/>
    <s v="RWD1300"/>
    <x v="1"/>
    <x v="6"/>
    <s v="WJEW"/>
    <n v="1300"/>
    <n v="1"/>
    <s v="Cash"/>
    <n v="4567000"/>
    <n v="4228704"/>
    <n v="0"/>
    <n v="0"/>
    <n v="0"/>
    <s v="Ngoc_Vo"/>
    <s v="ROM-PEW 18G PE-C-18G-1 Necklaces - Wax - No Setting Silver"/>
    <s v="Mrs. Truong Thi Ngoc Tran"/>
    <s v="PEW-000326"/>
    <n v="15"/>
    <s v="SILVER"/>
    <n v="4567000"/>
    <s v="U"/>
    <n v="4228704"/>
    <x v="41"/>
    <s v="0906343062"/>
    <n v="2348321"/>
    <x v="0"/>
    <x v="1"/>
  </r>
  <r>
    <x v="5"/>
    <x v="1"/>
    <n v="9"/>
    <s v="FW22"/>
    <s v="RING"/>
    <s v="FW22"/>
    <n v="670026"/>
    <n v="584100"/>
    <d v="2024-03-01T00:00:00"/>
    <n v="174914"/>
    <s v="RWR7926"/>
    <x v="4"/>
    <x v="0"/>
    <s v="WACC"/>
    <n v="7926"/>
    <n v="1"/>
    <s v="Cash"/>
    <n v="3245000"/>
    <n v="3004630"/>
    <n v="0"/>
    <n v="0"/>
    <n v="0"/>
    <s v="Ha_Nguyen"/>
    <s v="GEO - RING LAPIS"/>
    <s v="Mrs. Nguyen Hong Thao"/>
    <s v="B2"/>
    <n v="11"/>
    <s v="BLUE"/>
    <n v="3245000"/>
    <s v="UN"/>
    <n v="3004630"/>
    <x v="42"/>
    <s v="0937793338"/>
    <n v="2334604"/>
    <x v="0"/>
    <x v="1"/>
  </r>
  <r>
    <x v="5"/>
    <x v="1"/>
    <n v="9"/>
    <s v="SS24"/>
    <s v="RING"/>
    <s v="SS24"/>
    <n v="6095032"/>
    <n v="4554300"/>
    <d v="2024-03-03T00:00:00"/>
    <n v="202786"/>
    <s v="RWR7943"/>
    <x v="1"/>
    <x v="0"/>
    <s v="WJEW"/>
    <n v="7943"/>
    <n v="1"/>
    <s v="Credit Card"/>
    <n v="14802000"/>
    <n v="13705556"/>
    <n v="0"/>
    <n v="0"/>
    <n v="0"/>
    <s v="Nghia_Nguyen"/>
    <s v="ROM-POLA 1 (50) R-H-POLA1-1 Rings - No Setting Silver"/>
    <s v="Tourist"/>
    <s v="RG-077616"/>
    <n v="11"/>
    <s v="SILVER"/>
    <n v="14802000"/>
    <n v="50"/>
    <n v="13705556"/>
    <x v="4"/>
    <m/>
    <n v="7610524"/>
    <x v="0"/>
    <x v="1"/>
  </r>
  <r>
    <x v="5"/>
    <x v="1"/>
    <n v="10"/>
    <s v="SS24"/>
    <s v="NECKLACE"/>
    <s v="SS24"/>
    <n v="3177198"/>
    <n v="2374050"/>
    <d v="2024-03-04T00:00:00"/>
    <n v="202758"/>
    <s v="RWD1322"/>
    <x v="1"/>
    <x v="6"/>
    <s v="WJEW"/>
    <n v="1322"/>
    <n v="1"/>
    <s v="Credit Card"/>
    <n v="7716000"/>
    <n v="7144444"/>
    <n v="0"/>
    <n v="0"/>
    <n v="0"/>
    <s v="Diem_NguyenSM"/>
    <s v="ROM-PEW DOLPHIN PE-H-DOLPHIN-2 Necklaces - Wax - No Setting Silver"/>
    <s v="Mrs. Truong Thi Ngoc Tran"/>
    <s v="PEW-000341"/>
    <n v="16"/>
    <s v="Silver, DOLPHIN"/>
    <n v="7716000"/>
    <s v="U"/>
    <n v="7144444"/>
    <x v="43"/>
    <s v="0906343062"/>
    <n v="3967246"/>
    <x v="0"/>
    <x v="2"/>
  </r>
  <r>
    <x v="5"/>
    <x v="1"/>
    <n v="10"/>
    <s v="SS24"/>
    <s v="NECKLACE"/>
    <s v="SS24"/>
    <n v="3047516"/>
    <n v="2277150"/>
    <d v="2024-03-04T00:00:00"/>
    <n v="202779"/>
    <s v="RWD1322"/>
    <x v="1"/>
    <x v="6"/>
    <s v="WJEW"/>
    <n v="1322"/>
    <n v="1"/>
    <s v="Credit Card"/>
    <n v="7401000"/>
    <n v="6852778"/>
    <n v="0"/>
    <n v="0"/>
    <n v="0"/>
    <s v="Diem_NguyenSM"/>
    <s v="ROM-PEW EYE DIA CO SBL PE-H-PEEYE-2 Necklaces - Wax - With Setting Silver - Blue Sapphire: 1p, 0.04ct - Cognac Diamonds: 12p, 0.12ct"/>
    <s v="Mrs. Truong Thi Ngoc Tran"/>
    <s v="PEW-000337"/>
    <n v="16"/>
    <s v="BLUE SAPPHIRE, C"/>
    <n v="7401000"/>
    <s v="U"/>
    <n v="6852778"/>
    <x v="43"/>
    <s v="0906343062"/>
    <n v="3805262"/>
    <x v="0"/>
    <x v="2"/>
  </r>
  <r>
    <x v="5"/>
    <x v="1"/>
    <n v="10"/>
    <s v="SS24"/>
    <s v="RING"/>
    <s v="SS24"/>
    <n v="3047517"/>
    <n v="2277150"/>
    <d v="2024-03-06T00:00:00"/>
    <n v="202813"/>
    <s v="RWR7959"/>
    <x v="1"/>
    <x v="0"/>
    <s v="WJEW"/>
    <n v="7959"/>
    <n v="1"/>
    <s v="Credit Card"/>
    <n v="7401000"/>
    <n v="6852778"/>
    <n v="0"/>
    <n v="0"/>
    <n v="0"/>
    <s v="Nghia_Nguyen"/>
    <s v="ROM-YTO S ST DIA 8X8 EM (53) R-H-YTO-49 Rings - With Setting Sterling Silver - 8X8 Cut Diamonds: 12p, 0.11ct - Emerald: 1p, 0.02ct"/>
    <s v="Tourist"/>
    <s v="RG-072121"/>
    <n v="15"/>
    <s v="Emerald, 8X8 Cut"/>
    <n v="7401000"/>
    <n v="53"/>
    <n v="6852778"/>
    <x v="19"/>
    <m/>
    <n v="3805261"/>
    <x v="0"/>
    <x v="0"/>
  </r>
  <r>
    <x v="5"/>
    <x v="1"/>
    <n v="10"/>
    <s v="SS24"/>
    <s v="RING"/>
    <s v="SS24"/>
    <n v="1750701"/>
    <n v="1308150"/>
    <d v="2024-03-06T00:00:00"/>
    <n v="202791"/>
    <s v="RWR7959"/>
    <x v="1"/>
    <x v="0"/>
    <s v="WJEW"/>
    <n v="7959"/>
    <n v="1"/>
    <s v="Credit Card"/>
    <n v="4252000"/>
    <n v="3937037"/>
    <n v="0"/>
    <n v="0"/>
    <n v="0"/>
    <s v="Nghia_Nguyen"/>
    <s v="ROM-POPPY 1(1) S ST DIX BLK (53) R-H-POPPY1(1)-6 Rings - With Setting Silver - Black Diamond: 1p, 0.03ct"/>
    <s v="Tourist"/>
    <s v="RG-074755"/>
    <n v="15"/>
    <s v="Black Diamond, S"/>
    <n v="4252000"/>
    <n v="53"/>
    <n v="3937037"/>
    <x v="19"/>
    <m/>
    <n v="2186336"/>
    <x v="0"/>
    <x v="0"/>
  </r>
  <r>
    <x v="5"/>
    <x v="1"/>
    <n v="11"/>
    <s v="SS24"/>
    <s v="NECKLACE"/>
    <s v="SS24"/>
    <n v="1880383"/>
    <n v="1405049.9999999998"/>
    <d v="2024-03-13T00:00:00"/>
    <n v="202778"/>
    <s v="RWD1359"/>
    <x v="1"/>
    <x v="6"/>
    <s v="WJEW"/>
    <n v="1359"/>
    <n v="1"/>
    <s v="Credit Card"/>
    <n v="4567000"/>
    <n v="4228704"/>
    <n v="0"/>
    <n v="0"/>
    <n v="0"/>
    <s v="Tam_Nguyen"/>
    <s v="ROM-PEW 18G PE-C-18G-1 Necklaces - Wax - No Setting Silver"/>
    <s v="LE THANH TAM"/>
    <s v="PEW-000326"/>
    <n v="18"/>
    <s v="SILVER"/>
    <n v="4567000"/>
    <s v="U"/>
    <n v="4228704"/>
    <x v="36"/>
    <s v="0938685855"/>
    <n v="2348321"/>
    <x v="0"/>
    <x v="2"/>
  </r>
  <r>
    <x v="5"/>
    <x v="1"/>
    <n v="11"/>
    <s v="FW24"/>
    <s v="NECKLACE"/>
    <s v="FW24"/>
    <n v="1463308"/>
    <n v="1325204.3999999999"/>
    <d v="2024-03-16T00:00:00"/>
    <n v="205024"/>
    <s v="RWT6424"/>
    <x v="4"/>
    <x v="4"/>
    <s v="WJEW"/>
    <n v="6424"/>
    <n v="1"/>
    <s v="Credit Card"/>
    <n v="7673000"/>
    <n v="7104630"/>
    <n v="0"/>
    <n v="0"/>
    <n v="0"/>
    <s v="Huynh_Nguyen"/>
    <s v="GEO-SMOKY QUARZ CORNELIAN NECKLACE"/>
    <s v="Truong Ngoc Hien Khanh"/>
    <n v="27"/>
    <n v="12"/>
    <s v="RED"/>
    <n v="7673000"/>
    <s v="OS"/>
    <n v="7104630"/>
    <x v="44"/>
    <s v="0986545678"/>
    <n v="5641322"/>
    <x v="0"/>
    <x v="2"/>
  </r>
  <r>
    <x v="5"/>
    <x v="1"/>
    <n v="11"/>
    <s v="FW24"/>
    <s v="NECKLACE"/>
    <s v="FW24"/>
    <n v="1190324"/>
    <n v="968418.6"/>
    <d v="2024-03-16T00:00:00"/>
    <n v="205033"/>
    <s v="RWT6424"/>
    <x v="4"/>
    <x v="4"/>
    <s v="WJEW"/>
    <n v="6424"/>
    <n v="1"/>
    <s v="Credit Card"/>
    <n v="5607000"/>
    <n v="5191667"/>
    <n v="0"/>
    <n v="0"/>
    <n v="0"/>
    <s v="Huynh_Nguyen"/>
    <s v="GEO-BAMBOO CORAL NECKLACE"/>
    <s v="Truong Ngoc Hien Khanh"/>
    <n v="36"/>
    <n v="12"/>
    <s v="RED"/>
    <n v="5607000"/>
    <s v="OS"/>
    <n v="5191667"/>
    <x v="44"/>
    <s v="0986545678"/>
    <n v="4001343"/>
    <x v="0"/>
    <x v="2"/>
  </r>
  <r>
    <x v="5"/>
    <x v="1"/>
    <n v="11"/>
    <s v="FW24"/>
    <s v="EARRINGS"/>
    <s v="FW24"/>
    <n v="484094"/>
    <n v="458724.60000000003"/>
    <d v="2024-03-17T00:00:00"/>
    <n v="205054"/>
    <s v="RHN3934"/>
    <x v="4"/>
    <x v="1"/>
    <s v="WJEW"/>
    <n v="3934"/>
    <n v="1"/>
    <s v="Check"/>
    <n v="2656000"/>
    <n v="2459259"/>
    <n v="0"/>
    <n v="0"/>
    <n v="0"/>
    <s v="Ngoc_Nguyen"/>
    <s v="GEO-EARRING MOSS AGATE"/>
    <s v="Ms. Duong thi Hong Hanh"/>
    <n v="57"/>
    <n v="10"/>
    <s v="GREEN"/>
    <n v="2656000"/>
    <s v="OS"/>
    <n v="2459259"/>
    <x v="12"/>
    <s v="0942388869"/>
    <n v="1975165"/>
    <x v="0"/>
    <x v="2"/>
  </r>
  <r>
    <x v="5"/>
    <x v="1"/>
    <n v="11"/>
    <s v="FW24"/>
    <s v="EARRINGS"/>
    <s v="FW24"/>
    <n v="505291"/>
    <n v="458724.60000000003"/>
    <d v="2024-03-17T00:00:00"/>
    <n v="205039"/>
    <s v="RHN3934"/>
    <x v="4"/>
    <x v="1"/>
    <s v="WJEW"/>
    <n v="3934"/>
    <n v="1"/>
    <s v="Check"/>
    <n v="2656000"/>
    <n v="2459259"/>
    <n v="0"/>
    <n v="0"/>
    <n v="0"/>
    <s v="Ngoc_Nguyen"/>
    <s v="GEO-EARRING PEARL"/>
    <s v="Ms. Duong thi Hong Hanh"/>
    <n v="42"/>
    <n v="10"/>
    <s v="PEARL"/>
    <n v="2656000"/>
    <s v="OS"/>
    <n v="2459259"/>
    <x v="12"/>
    <s v="0942388869"/>
    <n v="1953968"/>
    <x v="0"/>
    <x v="2"/>
  </r>
  <r>
    <x v="5"/>
    <x v="1"/>
    <n v="11"/>
    <s v="FW24"/>
    <s v="NECKLACE"/>
    <s v="FW24"/>
    <n v="1374294"/>
    <n v="1172296.2"/>
    <d v="2024-03-17T00:00:00"/>
    <n v="205034"/>
    <s v="RHN3934"/>
    <x v="4"/>
    <x v="1"/>
    <s v="WJEW"/>
    <n v="3934"/>
    <n v="1"/>
    <s v="Check"/>
    <n v="6787000"/>
    <n v="6284259"/>
    <n v="0"/>
    <n v="0"/>
    <n v="0"/>
    <s v="Ngoc_Nguyen"/>
    <s v="GEO-PEARL NECKLACE"/>
    <s v="Ms. Duong thi Hong Hanh"/>
    <n v="37"/>
    <n v="10"/>
    <s v="PEARL"/>
    <n v="6787000"/>
    <s v="OS"/>
    <n v="6284259"/>
    <x v="12"/>
    <s v="0942388869"/>
    <n v="4909965"/>
    <x v="0"/>
    <x v="2"/>
  </r>
  <r>
    <x v="5"/>
    <x v="1"/>
    <n v="12"/>
    <s v="SS24"/>
    <s v="RING"/>
    <s v="SS24"/>
    <n v="4020128"/>
    <n v="3003900"/>
    <d v="2024-03-22T00:00:00"/>
    <n v="202797"/>
    <s v="BLFD654"/>
    <x v="1"/>
    <x v="8"/>
    <s v="WJEW"/>
    <n v="654"/>
    <n v="1"/>
    <s v="Check"/>
    <n v="9274850"/>
    <n v="8587824"/>
    <n v="5"/>
    <n v="451991"/>
    <n v="488150"/>
    <s v="thu_trang"/>
    <s v="ROM-ROKY 1 (51) R-H-ROKY1-1 Rings - No Setting Sterling Silver"/>
    <s v="Ms. Le Thi Thuy Hanh"/>
    <s v="RG-077619"/>
    <n v="21"/>
    <s v="SILVER"/>
    <n v="9763000"/>
    <n v="51"/>
    <n v="9039815"/>
    <x v="45"/>
    <s v="0903288262"/>
    <n v="4567696"/>
    <x v="1"/>
    <x v="1"/>
  </r>
  <r>
    <x v="5"/>
    <x v="1"/>
    <n v="12"/>
    <s v="SS24"/>
    <s v="RING"/>
    <s v="SS24"/>
    <n v="4798217"/>
    <n v="3585300"/>
    <d v="2024-03-22T00:00:00"/>
    <n v="202795"/>
    <s v="BLFD654"/>
    <x v="1"/>
    <x v="8"/>
    <s v="WJEW"/>
    <n v="654"/>
    <n v="1"/>
    <s v="Check"/>
    <n v="11070350"/>
    <n v="10250324"/>
    <n v="5"/>
    <n v="539491"/>
    <n v="582650"/>
    <s v="thu_trang"/>
    <s v="ROM-RINY 1 DIA RU (54) R-H-RINY1-4 Rings - With Setting Sterling Silver - Rubies: 6p, 0.45ct"/>
    <s v="Ms. Le Thi Thuy Hanh"/>
    <s v="RG-073126"/>
    <n v="21"/>
    <s v="Rubies, Silver"/>
    <n v="11653000"/>
    <n v="54"/>
    <n v="10789815"/>
    <x v="45"/>
    <s v="0903288262"/>
    <n v="5452107"/>
    <x v="1"/>
    <x v="1"/>
  </r>
  <r>
    <x v="5"/>
    <x v="1"/>
    <n v="12"/>
    <s v="SS24"/>
    <s v="RING"/>
    <s v="SS24"/>
    <n v="7132486"/>
    <n v="5329500"/>
    <d v="2024-03-22T00:00:00"/>
    <n v="202793"/>
    <s v="BLFD654"/>
    <x v="1"/>
    <x v="8"/>
    <s v="WJEW"/>
    <n v="654"/>
    <n v="1"/>
    <s v="Check"/>
    <n v="16454950"/>
    <n v="15236065"/>
    <n v="5"/>
    <n v="801898"/>
    <n v="866050"/>
    <s v="thu_trang"/>
    <s v="ROM-RINY 1 DIA IB (54) R-H-RINY1-9 Rings - With Setting Silver - Icy Diamonds: 6p, 0.45ct"/>
    <s v="Ms. Le Thi Thuy Hanh"/>
    <s v="RG-076244"/>
    <n v="21"/>
    <s v="Icy Diamonds, Si"/>
    <n v="17321000"/>
    <n v="54"/>
    <n v="16037963"/>
    <x v="45"/>
    <s v="0903288262"/>
    <n v="8103579"/>
    <x v="1"/>
    <x v="1"/>
  </r>
  <r>
    <x v="5"/>
    <x v="1"/>
    <n v="12"/>
    <s v="SS24"/>
    <s v="BRACELET"/>
    <s v="SS24"/>
    <n v="53373833"/>
    <n v="53469900"/>
    <d v="2024-03-23T00:00:00"/>
    <n v="202687"/>
    <s v="BLFD655"/>
    <x v="8"/>
    <x v="8"/>
    <s v="WACC"/>
    <n v="655"/>
    <n v="1"/>
    <s v="Credit Card"/>
    <n v="132763450"/>
    <n v="122929120"/>
    <n v="5"/>
    <n v="6469954"/>
    <n v="6987550"/>
    <s v="thu_trang"/>
    <s v="NAN - &quot;LIBERA&quot;  CHAIN BRACELET GOLD 12.20 WITH DIAMOND 0.14CT LENGTH 210"/>
    <s v="Mrs. Mary Yanson"/>
    <s v="BS3-602"/>
    <n v="13"/>
    <s v="RRLU"/>
    <n v="139751000"/>
    <n v="210"/>
    <n v="129399074"/>
    <x v="46"/>
    <s v="0368731523"/>
    <n v="69555287"/>
    <x v="1"/>
    <x v="1"/>
  </r>
  <r>
    <x v="5"/>
    <x v="1"/>
    <n v="12"/>
    <s v="SS23"/>
    <s v="RING"/>
    <s v="SS23"/>
    <n v="60326506"/>
    <n v="59369805"/>
    <d v="2024-03-24T00:00:00"/>
    <n v="181401"/>
    <s v="BLFD657"/>
    <x v="8"/>
    <x v="8"/>
    <s v="WACC"/>
    <n v="657"/>
    <n v="1"/>
    <s v="Credit Card"/>
    <n v="168499600"/>
    <n v="156018148"/>
    <n v="5"/>
    <n v="8211481"/>
    <n v="8868400"/>
    <s v="thu_trang"/>
    <s v="NAN - BLUE TOPAZ 2pcs ct0.44, BLUE DIAMOND 34pcs ct0.53, LONDON BLUE TOPAZ 1pc ct7.65, SWISS BLUE TOPAZ 50pcs ct2.92, GREEN SAPPHIRE 41pcs ct 1.57"/>
    <s v="KIMBERLY A LITTLE"/>
    <s v="AS6-584"/>
    <n v="15"/>
    <s v="BLUE TOPAZ 2pcs"/>
    <n v="177368000"/>
    <s v="U"/>
    <n v="164229630"/>
    <x v="37"/>
    <m/>
    <n v="95691642"/>
    <x v="1"/>
    <x v="1"/>
  </r>
  <r>
    <x v="5"/>
    <x v="1"/>
    <n v="12"/>
    <s v="SS23"/>
    <s v="EARRINGS"/>
    <s v="SS23"/>
    <n v="110363116"/>
    <n v="108612900"/>
    <d v="2024-03-24T00:00:00"/>
    <n v="181407"/>
    <s v="BLFD657"/>
    <x v="8"/>
    <x v="8"/>
    <s v="WACC"/>
    <n v="657"/>
    <n v="1"/>
    <s v="Credit Card"/>
    <n v="283596850"/>
    <n v="262589676"/>
    <n v="5"/>
    <n v="13820509"/>
    <n v="14926150"/>
    <s v="thu_trang"/>
    <s v="NAN - DIAMONDS 14pcs ct0.08, BLUE DIAMOND 80pcs ct1.31, LONDON BLUE TOPAZ 2pcs ct15.3, SWISS BLUE TOPAZ 100pcs ct5.79, GREEN SAPPIRE 94pcs ct3.42"/>
    <s v="KIMBERLY A LITTLE"/>
    <s v="OS33-584"/>
    <n v="15"/>
    <s v="BLUE TOPAZ"/>
    <n v="298523000"/>
    <s v="U"/>
    <n v="276410185"/>
    <x v="37"/>
    <m/>
    <n v="152226560"/>
    <x v="1"/>
    <x v="1"/>
  </r>
  <r>
    <x v="5"/>
    <x v="1"/>
    <n v="12"/>
    <s v="FW24"/>
    <s v="BRACELET"/>
    <s v="FW24"/>
    <n v="289525"/>
    <n v="254847"/>
    <d v="2024-03-24T00:00:00"/>
    <n v="205062"/>
    <s v="RWT6483"/>
    <x v="4"/>
    <x v="4"/>
    <s v="WJEW"/>
    <n v="6483"/>
    <n v="1"/>
    <s v="Credit Card"/>
    <n v="1476000"/>
    <n v="1366667"/>
    <n v="0"/>
    <n v="0"/>
    <n v="0"/>
    <s v="Chau_Vuong"/>
    <s v="GEO-BLACK BRACELET"/>
    <s v="Mrs. Phuong Nguyen Thi Lien"/>
    <n v="65"/>
    <n v="13"/>
    <s v="BLACK"/>
    <n v="1476000"/>
    <s v="OS"/>
    <n v="1366667"/>
    <x v="25"/>
    <s v="0908759007"/>
    <n v="1077142"/>
    <x v="0"/>
    <x v="0"/>
  </r>
  <r>
    <x v="5"/>
    <x v="1"/>
    <n v="13"/>
    <s v="FW24"/>
    <s v="NECKLACE"/>
    <s v="FW24"/>
    <n v="1374294"/>
    <n v="1172296.2"/>
    <d v="2024-03-26T00:00:00"/>
    <n v="205061"/>
    <s v="RHN3998"/>
    <x v="4"/>
    <x v="1"/>
    <s v="WJEW"/>
    <n v="3998"/>
    <n v="1"/>
    <s v="Account"/>
    <n v="6447650"/>
    <n v="5970046"/>
    <n v="5"/>
    <n v="314213"/>
    <n v="339350"/>
    <s v="Ngoc_Nguyen"/>
    <s v="GEO-CORNELIAN NECKLACE"/>
    <s v="Ms. To Thi Hanh"/>
    <n v="64"/>
    <n v="16"/>
    <s v="RED"/>
    <n v="6787000"/>
    <s v="OS"/>
    <n v="6284259"/>
    <x v="30"/>
    <s v="0916671961"/>
    <n v="4595752"/>
    <x v="0"/>
    <x v="2"/>
  </r>
  <r>
    <x v="5"/>
    <x v="1"/>
    <n v="13"/>
    <s v="FW24"/>
    <s v="NECKLACE"/>
    <s v="FW24"/>
    <n v="1620996"/>
    <n v="1478112.5999999999"/>
    <d v="2024-03-26T00:00:00"/>
    <n v="205020"/>
    <s v="RHN3998"/>
    <x v="4"/>
    <x v="1"/>
    <s v="WJEW"/>
    <n v="3998"/>
    <n v="1"/>
    <s v="Account"/>
    <n v="8130100"/>
    <n v="7527870"/>
    <n v="5"/>
    <n v="396204"/>
    <n v="427900"/>
    <s v="Ngoc_Nguyen"/>
    <s v="GEO-GARNET NECKLACE"/>
    <s v="Ms. To Thi Hanh"/>
    <n v="23"/>
    <n v="16"/>
    <s v="GREEN"/>
    <n v="8558000"/>
    <s v="OS"/>
    <n v="7924074"/>
    <x v="30"/>
    <s v="0916671961"/>
    <n v="5906874"/>
    <x v="0"/>
    <x v="2"/>
  </r>
  <r>
    <x v="5"/>
    <x v="1"/>
    <n v="13"/>
    <s v="FW24"/>
    <s v="EARRINGS"/>
    <s v="FW24"/>
    <n v="426447"/>
    <n v="382270.5"/>
    <d v="2024-03-26T00:00:00"/>
    <n v="205038"/>
    <s v="RHN3998"/>
    <x v="4"/>
    <x v="1"/>
    <s v="WJEW"/>
    <n v="3998"/>
    <n v="1"/>
    <s v="Account"/>
    <n v="2103300"/>
    <n v="1947500"/>
    <n v="5"/>
    <n v="102500"/>
    <n v="110700"/>
    <s v="Ngoc_Nguyen"/>
    <s v="GEO-EARRING MOSS AGATE"/>
    <s v="Ms. To Thi Hanh"/>
    <n v="41"/>
    <n v="16"/>
    <s v="GREEN"/>
    <n v="2214000"/>
    <s v="OS"/>
    <n v="2050000"/>
    <x v="30"/>
    <s v="0916671961"/>
    <n v="1521053"/>
    <x v="0"/>
    <x v="2"/>
  </r>
  <r>
    <x v="5"/>
    <x v="1"/>
    <n v="13"/>
    <s v="FW24"/>
    <s v="EARRINGS"/>
    <s v="FW24"/>
    <n v="426447"/>
    <n v="356785.8"/>
    <d v="2024-03-26T00:00:00"/>
    <n v="205048"/>
    <s v="RHN3998"/>
    <x v="4"/>
    <x v="1"/>
    <s v="WJEW"/>
    <n v="3998"/>
    <n v="1"/>
    <s v="Account"/>
    <n v="1962700"/>
    <n v="1817315"/>
    <n v="5"/>
    <n v="95648"/>
    <n v="103300"/>
    <s v="Ngoc_Nguyen"/>
    <s v="GEO-CORNELIAN EARRING"/>
    <s v="Ms. To Thi Hanh"/>
    <n v="51"/>
    <n v="16"/>
    <s v="RED"/>
    <n v="2066000"/>
    <s v="OS"/>
    <n v="1912963"/>
    <x v="30"/>
    <s v="0916671961"/>
    <n v="1390868"/>
    <x v="0"/>
    <x v="2"/>
  </r>
  <r>
    <x v="5"/>
    <x v="1"/>
    <n v="13"/>
    <s v="FW24"/>
    <s v="EARRINGS"/>
    <s v="FW24"/>
    <n v="452728"/>
    <n v="407755.2"/>
    <d v="2024-03-26T00:00:00"/>
    <n v="205047"/>
    <s v="RHN3998"/>
    <x v="4"/>
    <x v="1"/>
    <s v="WJEW"/>
    <n v="3998"/>
    <n v="1"/>
    <s v="Account"/>
    <n v="2242950"/>
    <n v="2076806"/>
    <n v="5"/>
    <n v="109306"/>
    <n v="118050"/>
    <s v="Ngoc_Nguyen"/>
    <s v="GEO-GREEN EARRING"/>
    <s v="Ms. To Thi Hanh"/>
    <n v="50"/>
    <n v="16"/>
    <s v="GREEN"/>
    <n v="2361000"/>
    <s v="OS"/>
    <n v="2186111"/>
    <x v="30"/>
    <s v="0916671961"/>
    <n v="1624078"/>
    <x v="0"/>
    <x v="2"/>
  </r>
  <r>
    <x v="5"/>
    <x v="1"/>
    <n v="13"/>
    <s v="FW24"/>
    <s v="EARRINGS"/>
    <s v="FW24"/>
    <n v="400165"/>
    <n v="331301.09999999998"/>
    <d v="2024-03-26T00:00:00"/>
    <n v="205045"/>
    <s v="RHN3998"/>
    <x v="4"/>
    <x v="1"/>
    <s v="WJEW"/>
    <n v="3998"/>
    <n v="1"/>
    <s v="Account"/>
    <n v="1823050"/>
    <n v="1688009"/>
    <n v="5"/>
    <n v="88843"/>
    <n v="95950"/>
    <s v="Ngoc_Nguyen"/>
    <s v="GEO-MOONSTONE EARRING"/>
    <s v="Ms. To Thi Hanh"/>
    <n v="48"/>
    <n v="16"/>
    <s v="Moon"/>
    <n v="1919000"/>
    <s v="OS"/>
    <n v="1776852"/>
    <x v="30"/>
    <s v="0916671961"/>
    <n v="1287844"/>
    <x v="0"/>
    <x v="2"/>
  </r>
  <r>
    <x v="5"/>
    <x v="1"/>
    <n v="13"/>
    <s v="FW24"/>
    <s v="EARRINGS"/>
    <s v="FW24"/>
    <n v="773190"/>
    <n v="764541"/>
    <d v="2024-03-26T00:00:00"/>
    <n v="205057"/>
    <s v="RHN3998"/>
    <x v="4"/>
    <x v="1"/>
    <s v="WJEW"/>
    <n v="3998"/>
    <n v="1"/>
    <s v="Account"/>
    <n v="4205650"/>
    <n v="3894120"/>
    <n v="5"/>
    <n v="204954"/>
    <n v="221350"/>
    <s v="Ngoc_Nguyen"/>
    <s v="GEO-EARRING BLACK ROUND"/>
    <s v="Ms. To Thi Hanh"/>
    <n v="60"/>
    <n v="16"/>
    <s v="BLACK"/>
    <n v="4427000"/>
    <s v="OS"/>
    <n v="4099074"/>
    <x v="30"/>
    <s v="0916671961"/>
    <n v="3120930"/>
    <x v="0"/>
    <x v="2"/>
  </r>
  <r>
    <x v="5"/>
    <x v="1"/>
    <n v="13"/>
    <s v="FW24"/>
    <s v="EARRINGS"/>
    <s v="FW24"/>
    <n v="452728"/>
    <n v="407755.2"/>
    <d v="2024-03-26T00:00:00"/>
    <n v="205050"/>
    <s v="RHN3998"/>
    <x v="4"/>
    <x v="1"/>
    <s v="WJEW"/>
    <n v="3998"/>
    <n v="1"/>
    <s v="Account"/>
    <n v="2242950"/>
    <n v="2076806"/>
    <n v="5"/>
    <n v="109306"/>
    <n v="118050"/>
    <s v="Ngoc_Nguyen"/>
    <s v="GEO-EARRING CORNELIAN"/>
    <s v="Ms. To Thi Hanh"/>
    <n v="53"/>
    <n v="16"/>
    <s v="RED"/>
    <n v="2361000"/>
    <s v="OS"/>
    <n v="2186111"/>
    <x v="30"/>
    <s v="0916671961"/>
    <n v="1624078"/>
    <x v="0"/>
    <x v="2"/>
  </r>
  <r>
    <x v="5"/>
    <x v="1"/>
    <n v="13"/>
    <s v="FW24"/>
    <s v="NECKLACE"/>
    <s v="FW24"/>
    <n v="1599800"/>
    <n v="1478112.5999999999"/>
    <d v="2024-03-26T00:00:00"/>
    <n v="205003"/>
    <s v="RHN3998"/>
    <x v="4"/>
    <x v="1"/>
    <s v="WJEW"/>
    <n v="3998"/>
    <n v="1"/>
    <s v="Account"/>
    <n v="8130100"/>
    <n v="7527870"/>
    <n v="5"/>
    <n v="396204"/>
    <n v="427900"/>
    <s v="Ngoc_Nguyen"/>
    <s v="GEO-CORNELIAN HORN NECKLACE"/>
    <s v="Ms. To Thi Hanh"/>
    <n v="6"/>
    <n v="16"/>
    <s v="RED"/>
    <n v="8558000"/>
    <s v="OS"/>
    <n v="7924074"/>
    <x v="30"/>
    <s v="0916671961"/>
    <n v="5928070"/>
    <x v="0"/>
    <x v="2"/>
  </r>
  <r>
    <x v="5"/>
    <x v="1"/>
    <n v="13"/>
    <s v="FW24"/>
    <s v="BRACELET"/>
    <s v="FW24"/>
    <n v="289525"/>
    <n v="254847"/>
    <d v="2024-03-26T00:00:00"/>
    <n v="205062"/>
    <s v="RHN3998"/>
    <x v="4"/>
    <x v="1"/>
    <s v="WJEW"/>
    <n v="3998"/>
    <n v="1"/>
    <s v="Account"/>
    <n v="1402200"/>
    <n v="1298333"/>
    <n v="5"/>
    <n v="68333"/>
    <n v="73800"/>
    <s v="Ngoc_Nguyen"/>
    <s v="GEO-BLACK BRACELET"/>
    <s v="Ms. To Thi Hanh"/>
    <n v="65"/>
    <n v="16"/>
    <s v="BLACK"/>
    <n v="1476000"/>
    <s v="OS"/>
    <n v="1366667"/>
    <x v="30"/>
    <s v="0916671961"/>
    <n v="1008808"/>
    <x v="0"/>
    <x v="2"/>
  </r>
  <r>
    <x v="5"/>
    <x v="1"/>
    <n v="13"/>
    <s v="FW24"/>
    <s v="NECKLACE"/>
    <s v="FW24"/>
    <n v="1620996"/>
    <n v="1478112.5999999999"/>
    <d v="2024-03-26T00:00:00"/>
    <n v="205025"/>
    <s v="RHN3998"/>
    <x v="4"/>
    <x v="1"/>
    <s v="WJEW"/>
    <n v="3998"/>
    <n v="1"/>
    <s v="Account"/>
    <n v="8130100"/>
    <n v="7527870"/>
    <n v="5"/>
    <n v="396204"/>
    <n v="427900"/>
    <s v="Ngoc_Nguyen"/>
    <s v="GEO-GARNET HORN NECKLACE"/>
    <s v="Ms. To Thi Hanh"/>
    <n v="28"/>
    <n v="16"/>
    <s v="SAND"/>
    <n v="8558000"/>
    <s v="OS"/>
    <n v="7924074"/>
    <x v="30"/>
    <s v="0916671961"/>
    <n v="5906874"/>
    <x v="0"/>
    <x v="2"/>
  </r>
  <r>
    <x v="5"/>
    <x v="1"/>
    <n v="13"/>
    <s v="FW24"/>
    <s v="NECKLACE"/>
    <s v="FW24"/>
    <n v="1494675"/>
    <n v="1376173.8"/>
    <d v="2024-03-26T00:00:00"/>
    <n v="205010"/>
    <s v="RHN3998"/>
    <x v="4"/>
    <x v="1"/>
    <s v="WJEW"/>
    <n v="3998"/>
    <n v="1"/>
    <s v="Account"/>
    <n v="7569600"/>
    <n v="7008889"/>
    <n v="5"/>
    <n v="368889"/>
    <n v="398400"/>
    <s v="Ngoc_Nguyen"/>
    <s v="GEO-PEARL NECKLACE"/>
    <s v="Ms. To Thi Hanh"/>
    <n v="13"/>
    <n v="16"/>
    <s v="PEARL"/>
    <n v="7968000"/>
    <s v="OS"/>
    <n v="7377778"/>
    <x v="30"/>
    <s v="0916671961"/>
    <n v="5514214"/>
    <x v="0"/>
    <x v="2"/>
  </r>
  <r>
    <x v="5"/>
    <x v="1"/>
    <n v="13"/>
    <s v="FW24"/>
    <s v="NECKLACE"/>
    <s v="FW24"/>
    <n v="1836333"/>
    <n v="1732959.5999999999"/>
    <d v="2024-03-26T00:00:00"/>
    <n v="204998"/>
    <s v="RHN3998"/>
    <x v="4"/>
    <x v="1"/>
    <s v="WJEW"/>
    <n v="3998"/>
    <n v="1"/>
    <s v="Account"/>
    <n v="9531350"/>
    <n v="8825324"/>
    <n v="5"/>
    <n v="464491"/>
    <n v="501650"/>
    <s v="Ngoc_Nguyen"/>
    <s v="GEO-EMATOIDE NECKLACE"/>
    <s v="Ms. To Thi Hanh"/>
    <n v="1"/>
    <n v="16"/>
    <s v="PINK"/>
    <n v="10033000"/>
    <s v="OS"/>
    <n v="9289815"/>
    <x v="30"/>
    <s v="0916671961"/>
    <n v="6988991"/>
    <x v="0"/>
    <x v="2"/>
  </r>
  <r>
    <x v="5"/>
    <x v="1"/>
    <n v="13"/>
    <s v="FW22"/>
    <s v="NECKLACE"/>
    <s v="FW22"/>
    <n v="2368783"/>
    <n v="2065000"/>
    <d v="2024-03-26T00:00:00"/>
    <n v="174900"/>
    <s v="RHN3998"/>
    <x v="4"/>
    <x v="1"/>
    <s v="WACC"/>
    <n v="3998"/>
    <n v="1"/>
    <s v="Account"/>
    <n v="10929750"/>
    <n v="10120139"/>
    <n v="5"/>
    <n v="532639"/>
    <n v="575250"/>
    <s v="Ngoc_Nguyen"/>
    <s v="GEO - NECKLACE GIADE"/>
    <s v="Ms. To Thi Hanh"/>
    <s v="G8"/>
    <n v="16"/>
    <s v="WHITE/GREEN"/>
    <n v="11505000"/>
    <s v="UN"/>
    <n v="10652778"/>
    <x v="12"/>
    <s v="0916671961"/>
    <n v="7751356"/>
    <x v="0"/>
    <x v="2"/>
  </r>
  <r>
    <x v="5"/>
    <x v="1"/>
    <n v="13"/>
    <s v="FW22"/>
    <s v="NECKLACE"/>
    <s v="FW22"/>
    <n v="1583701"/>
    <n v="1380600"/>
    <d v="2024-03-26T00:00:00"/>
    <n v="174886"/>
    <s v="RHN3998"/>
    <x v="4"/>
    <x v="1"/>
    <s v="WACC"/>
    <n v="3998"/>
    <n v="1"/>
    <s v="Account"/>
    <n v="7286500"/>
    <n v="6746759"/>
    <n v="5"/>
    <n v="355093"/>
    <n v="383500"/>
    <s v="Ngoc_Nguyen"/>
    <s v="GEO - NECKLACE MOSS AGATE"/>
    <s v="Ms. To Thi Hanh"/>
    <s v="E2"/>
    <n v="16"/>
    <s v="GREEN"/>
    <n v="7670000"/>
    <s v="UN"/>
    <n v="7101852"/>
    <x v="12"/>
    <s v="0916671961"/>
    <n v="5163058"/>
    <x v="0"/>
    <x v="2"/>
  </r>
  <r>
    <x v="5"/>
    <x v="1"/>
    <n v="13"/>
    <s v="FW24"/>
    <s v="NECKLACE"/>
    <s v="FW24"/>
    <n v="1426858"/>
    <n v="1223265.5999999999"/>
    <d v="2024-03-26T00:00:00"/>
    <n v="205036"/>
    <s v="RHN3998"/>
    <x v="4"/>
    <x v="1"/>
    <s v="WJEW"/>
    <n v="3998"/>
    <n v="1"/>
    <s v="Account"/>
    <n v="6728850"/>
    <n v="6230417"/>
    <n v="5"/>
    <n v="327917"/>
    <n v="354150"/>
    <s v="Ngoc_Nguyen"/>
    <s v="GEO-SERPENTINE NECKLACE"/>
    <s v="Ms. To Thi Hanh"/>
    <n v="39"/>
    <n v="16"/>
    <s v="MULTI"/>
    <n v="7083000"/>
    <s v="OS"/>
    <n v="6558333"/>
    <x v="10"/>
    <s v="0916671961"/>
    <n v="4803559"/>
    <x v="0"/>
    <x v="1"/>
  </r>
  <r>
    <x v="5"/>
    <x v="1"/>
    <n v="13"/>
    <s v="FW22"/>
    <s v="EARRINGS"/>
    <s v="FW22"/>
    <n v="1032112"/>
    <n v="899750"/>
    <d v="2024-03-26T00:00:00"/>
    <n v="174909"/>
    <s v="RHN3998"/>
    <x v="4"/>
    <x v="1"/>
    <s v="WACC"/>
    <n v="3998"/>
    <n v="1"/>
    <s v="Account"/>
    <n v="4764250"/>
    <n v="4411343"/>
    <n v="5"/>
    <n v="232176"/>
    <n v="250750"/>
    <s v="Ngoc_Nguyen"/>
    <s v="GEO - EARRING TURQUOISE"/>
    <s v="Ms. To Thi Hanh"/>
    <s v="C4"/>
    <n v="16"/>
    <s v="GREEN"/>
    <n v="5015000"/>
    <s v="UN"/>
    <n v="4643519"/>
    <x v="12"/>
    <s v="0916671961"/>
    <n v="3379231"/>
    <x v="0"/>
    <x v="2"/>
  </r>
  <r>
    <x v="5"/>
    <x v="1"/>
    <n v="13"/>
    <s v="FW22"/>
    <s v="RING"/>
    <s v="FW22"/>
    <n v="670026"/>
    <n v="584100"/>
    <d v="2024-03-30T00:00:00"/>
    <n v="174915"/>
    <s v="RWD1420"/>
    <x v="4"/>
    <x v="6"/>
    <s v="WACC"/>
    <n v="1420"/>
    <n v="1"/>
    <s v="Credit Card"/>
    <n v="3245000"/>
    <n v="3004630"/>
    <n v="0"/>
    <n v="0"/>
    <n v="0"/>
    <s v="Dao_Bui"/>
    <s v="GEO - RING GARNET"/>
    <s v="Ms. Cao Thi Thanh Yen"/>
    <s v="B2"/>
    <n v="12"/>
    <s v="RED"/>
    <n v="3245000"/>
    <s v="UN"/>
    <n v="3004630"/>
    <x v="36"/>
    <s v="0903333829"/>
    <n v="2334604"/>
    <x v="0"/>
    <x v="2"/>
  </r>
  <r>
    <x v="5"/>
    <x v="2"/>
    <n v="14"/>
    <s v="SS24"/>
    <s v="RING"/>
    <s v="SS24"/>
    <n v="6095032"/>
    <n v="4554300"/>
    <d v="2024-04-03T00:00:00"/>
    <n v="202787"/>
    <s v="RWR8035"/>
    <x v="1"/>
    <x v="0"/>
    <s v="WJEW"/>
    <n v="8035"/>
    <n v="1"/>
    <s v="Check"/>
    <n v="13321800"/>
    <n v="12335000"/>
    <n v="10"/>
    <n v="1370556"/>
    <n v="1480200"/>
    <s v="Nghia_Nguyen"/>
    <s v="ROM-POLA 1 (53) R-H-POLA1-1 Rings - No Setting Silver"/>
    <s v="Ms. Nikita Chu"/>
    <s v="RG-077617"/>
    <n v="10"/>
    <s v="SILVER"/>
    <n v="14802000"/>
    <n v="53"/>
    <n v="13705556"/>
    <x v="21"/>
    <s v="0973749931"/>
    <n v="6239968"/>
    <x v="0"/>
    <x v="1"/>
  </r>
  <r>
    <x v="5"/>
    <x v="2"/>
    <n v="14"/>
    <s v="SS23"/>
    <s v="RING"/>
    <s v="SS23"/>
    <n v="10179560"/>
    <n v="8617200"/>
    <d v="2024-04-03T00:00:00"/>
    <n v="186492"/>
    <s v="RWR8035"/>
    <x v="1"/>
    <x v="0"/>
    <s v="WACC"/>
    <n v="8035"/>
    <n v="1"/>
    <s v="Check"/>
    <n v="25205400"/>
    <n v="23338333"/>
    <n v="10"/>
    <n v="2593148"/>
    <n v="2800600"/>
    <s v="Nghia_Nguyen"/>
    <s v="RM-TOURIA R S ST C2 S DIX CO (52) R-C-TOURIAR-3 Rings - With Setting Sterling Silver - Cognac Diamonds: 22p, 0.46ct"/>
    <s v="Ms. Nikita Chu"/>
    <s v="RG-024216"/>
    <n v="10"/>
    <s v="Cognac Diamonds"/>
    <n v="28006000"/>
    <s v="52/G4"/>
    <n v="25931481"/>
    <x v="21"/>
    <s v="0973749931"/>
    <n v="13158773"/>
    <x v="0"/>
    <x v="1"/>
  </r>
  <r>
    <x v="5"/>
    <x v="2"/>
    <n v="14"/>
    <s v="SS23"/>
    <s v="RING"/>
    <s v="SS23"/>
    <n v="19818358"/>
    <n v="16770000"/>
    <d v="2024-04-03T00:00:00"/>
    <n v="186496"/>
    <s v="RWR8035"/>
    <x v="1"/>
    <x v="0"/>
    <s v="WACC"/>
    <n v="8035"/>
    <n v="1"/>
    <s v="Check"/>
    <n v="49052700"/>
    <n v="45419167"/>
    <n v="10"/>
    <n v="5046574"/>
    <n v="5450300"/>
    <s v="Nghia_Nguyen"/>
    <s v="RM-YOKO S GP DIX BLK SPL (size 52) R-C-YOKO-40 Rings - With Setting Sterling Silver - Pink Gold (12K): 3gr - Black Spinal: 1p, 5.82ct"/>
    <s v="Ms. Nikita Chu"/>
    <s v="RG-075647"/>
    <n v="10"/>
    <s v="Pink Gold, Black"/>
    <n v="54503000"/>
    <s v="52/G2"/>
    <n v="50465741"/>
    <x v="21"/>
    <s v="0973749931"/>
    <n v="25600809"/>
    <x v="0"/>
    <x v="1"/>
  </r>
  <r>
    <x v="5"/>
    <x v="2"/>
    <n v="15"/>
    <s v="SS24"/>
    <s v="EARRINGS"/>
    <s v="SS24"/>
    <n v="17338342"/>
    <n v="17369550.000000004"/>
    <d v="2024-04-13T00:00:00"/>
    <n v="202701"/>
    <s v="RHN4099"/>
    <x v="8"/>
    <x v="1"/>
    <s v="WACC"/>
    <n v="4099"/>
    <n v="1"/>
    <s v="Credit Card"/>
    <n v="45398000"/>
    <n v="42035185"/>
    <n v="0"/>
    <n v="0"/>
    <n v="0"/>
    <s v="Huyen_Dang"/>
    <s v="NAN - &quot;AMAZONIA&quot; CILIEGINE GOLD"/>
    <s v="Mrs. Nguyen Thu Ha"/>
    <s v="OS4-603"/>
    <n v="18"/>
    <s v="GG IN"/>
    <n v="45398000"/>
    <s v="U"/>
    <n v="42035185"/>
    <x v="10"/>
    <s v="0932391868"/>
    <n v="24696843"/>
    <x v="0"/>
    <x v="1"/>
  </r>
  <r>
    <x v="5"/>
    <x v="2"/>
    <n v="16"/>
    <s v="SS24"/>
    <s v="RING"/>
    <s v="SS24"/>
    <n v="62417605"/>
    <n v="60610000"/>
    <d v="2024-04-15T00:00:00"/>
    <n v="205087"/>
    <s v="RHN4108"/>
    <x v="6"/>
    <x v="1"/>
    <s v="WJEW"/>
    <n v="4108"/>
    <n v="1"/>
    <s v="Credit Card"/>
    <n v="132009300"/>
    <n v="122230833"/>
    <n v="10"/>
    <n v="13581204"/>
    <n v="14667700"/>
    <s v="Ngoc_Nguyen"/>
    <s v="GVC-PINK GOLD RING W GOLD 11.20GR DIAMOND 1.07CT"/>
    <s v="Mrs. Dinh Thanh Huong"/>
    <s v="AR16990"/>
    <n v="14"/>
    <s v="GOLD/DIAMOND"/>
    <n v="146677000"/>
    <n v="13"/>
    <n v="135812037"/>
    <x v="47"/>
    <s v="0903256655"/>
    <n v="59813228"/>
    <x v="0"/>
    <x v="0"/>
  </r>
  <r>
    <x v="5"/>
    <x v="2"/>
    <n v="16"/>
    <s v="SS24"/>
    <s v="EARRINGS"/>
    <s v="SS24"/>
    <n v="54204628"/>
    <n v="52641875"/>
    <d v="2024-04-15T00:00:00"/>
    <n v="205093"/>
    <s v="RHN4108"/>
    <x v="6"/>
    <x v="1"/>
    <s v="WJEW"/>
    <n v="4108"/>
    <n v="1"/>
    <s v="Credit Card"/>
    <n v="114654600"/>
    <n v="106161667"/>
    <n v="10"/>
    <n v="11795741"/>
    <n v="12739400"/>
    <s v="Ngoc_Nguyen"/>
    <s v="GVC-PINK GOLD P.OF EARRINGS W GOLD 11.20GR DIAMOND 0.90CT"/>
    <s v="Mrs. Dinh Thanh Huong"/>
    <s v="B39166"/>
    <n v="14"/>
    <s v="GOLD/DIAMOND"/>
    <n v="127394000"/>
    <s v="U"/>
    <n v="117957407"/>
    <x v="47"/>
    <s v="0903256655"/>
    <n v="51957039"/>
    <x v="0"/>
    <x v="0"/>
  </r>
  <r>
    <x v="5"/>
    <x v="2"/>
    <n v="16"/>
    <s v="SS23"/>
    <s v="RING"/>
    <s v="SS23"/>
    <n v="2318374"/>
    <n v="1960800"/>
    <d v="2024-04-15T00:00:00"/>
    <n v="186495"/>
    <s v="RWR8074"/>
    <x v="1"/>
    <x v="0"/>
    <s v="WACC"/>
    <n v="8074"/>
    <n v="1"/>
    <s v="Check"/>
    <n v="6373000"/>
    <n v="5900926"/>
    <n v="0"/>
    <n v="0"/>
    <n v="0"/>
    <s v="Ha_Nguyen"/>
    <s v="RM-VIZA CU S (51) R-H-VIZA-2 Rings - No Setting Sterling Silver"/>
    <s v="Ms. Le Thi Thuy Hanh"/>
    <s v="RG-005466"/>
    <n v="11"/>
    <s v="STERLING SILVER"/>
    <n v="6373000"/>
    <n v="51"/>
    <n v="5900926"/>
    <x v="20"/>
    <s v="0903288262"/>
    <n v="3582552"/>
    <x v="0"/>
    <x v="0"/>
  </r>
  <r>
    <x v="5"/>
    <x v="2"/>
    <n v="16"/>
    <s v="FW24"/>
    <s v="NECKLACE"/>
    <s v="FW24"/>
    <n v="1363267"/>
    <n v="1223265.5999999999"/>
    <d v="2024-04-15T00:00:00"/>
    <n v="204999"/>
    <s v="RWT6609"/>
    <x v="4"/>
    <x v="4"/>
    <s v="WJEW"/>
    <n v="6609"/>
    <n v="1"/>
    <s v="Credit Card"/>
    <n v="7083000"/>
    <n v="6558333"/>
    <n v="0"/>
    <n v="0"/>
    <n v="0"/>
    <s v="Chau_Vuong"/>
    <s v="GEO-LAPIS NECKLACE"/>
    <s v="Ms. Chi Dung"/>
    <n v="2"/>
    <n v="10"/>
    <s v="BLUE"/>
    <n v="7083000"/>
    <s v="OS"/>
    <n v="6558333"/>
    <x v="25"/>
    <s v="0792558688"/>
    <n v="5195066"/>
    <x v="0"/>
    <x v="0"/>
  </r>
  <r>
    <x v="5"/>
    <x v="2"/>
    <n v="16"/>
    <s v="FW24"/>
    <s v="EARRINGS"/>
    <s v="FW24"/>
    <n v="636698"/>
    <n v="611632.79999999993"/>
    <d v="2024-04-15T00:00:00"/>
    <n v="205044"/>
    <s v="RWT6609"/>
    <x v="4"/>
    <x v="4"/>
    <s v="WJEW"/>
    <n v="6609"/>
    <n v="1"/>
    <s v="Credit Card"/>
    <n v="3542000"/>
    <n v="3279630"/>
    <n v="0"/>
    <n v="0"/>
    <n v="0"/>
    <s v="Chau_Vuong"/>
    <s v="GEO-LAPIS EARRING"/>
    <s v="Ms. Chi Dung"/>
    <n v="47"/>
    <n v="10"/>
    <s v="BLUE"/>
    <n v="3542000"/>
    <s v="OS"/>
    <n v="3279630"/>
    <x v="25"/>
    <s v="0792558688"/>
    <n v="2642932"/>
    <x v="0"/>
    <x v="0"/>
  </r>
  <r>
    <x v="5"/>
    <x v="2"/>
    <n v="16"/>
    <s v="FW24"/>
    <s v="EARRINGS"/>
    <s v="FW24"/>
    <n v="277089714"/>
    <n v="281545000"/>
    <d v="2024-04-17T00:00:00"/>
    <n v="205080"/>
    <s v="HQ416"/>
    <x v="5"/>
    <x v="5"/>
    <s v="WJEW"/>
    <n v="416"/>
    <n v="1"/>
    <s v="Check"/>
    <n v="499000000"/>
    <n v="462037037"/>
    <n v="12.32"/>
    <n v="64898148"/>
    <n v="70090000"/>
    <s v="thu_trang"/>
    <s v="ATS-WG Pr. of Earrings: diamond octagon 3,85ct G/VS + diamond baguette 1,62ct G/VS + diamond round 0,41ct G/VS / grm 13.52 / size U"/>
    <s v="Mrs. Phan Lan Phuong"/>
    <s v="139/AW2024W"/>
    <n v="10"/>
    <s v="diamond"/>
    <n v="569090000"/>
    <s v="U"/>
    <n v="526935185"/>
    <x v="1"/>
    <s v="0977317777"/>
    <n v="184947323"/>
    <x v="0"/>
    <x v="0"/>
  </r>
  <r>
    <x v="5"/>
    <x v="2"/>
    <n v="16"/>
    <s v="SS24"/>
    <s v="NECKLACE"/>
    <s v="SS24"/>
    <n v="2593631"/>
    <n v="1938000"/>
    <d v="2024-04-17T00:00:00"/>
    <n v="202780"/>
    <s v="RWR8082"/>
    <x v="1"/>
    <x v="0"/>
    <s v="WJEW"/>
    <n v="8082"/>
    <n v="1"/>
    <s v="Check"/>
    <n v="6299000"/>
    <n v="5832407"/>
    <n v="0"/>
    <n v="0"/>
    <n v="0"/>
    <s v="Ha_Nguyen"/>
    <s v="ROM-PEW OJO MINUS DIA CO RU PE-H-PEOJOMINUS-3 Necklaces - Wax - With Setting Silver - Cognac Diamonds: 7p, 0.08ct - Ruby: 1p, 0.03ct"/>
    <s v="Mrs. Phan Lan Phuong"/>
    <s v="PEW-000336"/>
    <n v="18"/>
    <s v="Ruby, Cognac Dia"/>
    <n v="6299000"/>
    <s v="U"/>
    <n v="5832407"/>
    <x v="15"/>
    <s v="0977317777"/>
    <n v="3238776"/>
    <x v="0"/>
    <x v="1"/>
  </r>
  <r>
    <x v="5"/>
    <x v="2"/>
    <n v="16"/>
    <s v="SS24"/>
    <s v="NECKLACE"/>
    <s v="SS24"/>
    <n v="2593631"/>
    <n v="1938000"/>
    <d v="2024-04-17T00:00:00"/>
    <n v="202780"/>
    <s v="RWR8082"/>
    <x v="1"/>
    <x v="0"/>
    <s v="WJEW"/>
    <n v="8082"/>
    <n v="1"/>
    <s v="Check"/>
    <n v="6299000"/>
    <n v="5832407"/>
    <n v="0"/>
    <n v="0"/>
    <n v="0"/>
    <s v="Ha_Nguyen"/>
    <s v="ROM-PEW OJO MINUS DIA CO RU PE-H-PEOJOMINUS-3 Necklaces - Wax - With Setting Silver - Cognac Diamonds: 7p, 0.08ct - Ruby: 1p, 0.03ct"/>
    <s v="Mrs. Phan Lan Phuong"/>
    <s v="PEW-000336"/>
    <n v="18"/>
    <s v="Ruby, Cognac Dia"/>
    <n v="6299000"/>
    <s v="U"/>
    <n v="5832407"/>
    <x v="20"/>
    <s v="0977317777"/>
    <n v="3238776"/>
    <x v="0"/>
    <x v="0"/>
  </r>
  <r>
    <x v="5"/>
    <x v="2"/>
    <n v="16"/>
    <s v="FW24"/>
    <s v="EARRINGS"/>
    <s v="FW24"/>
    <n v="773190"/>
    <n v="764541"/>
    <d v="2024-04-20T00:00:00"/>
    <n v="205063"/>
    <s v="RWT6647"/>
    <x v="4"/>
    <x v="4"/>
    <s v="WJEW"/>
    <n v="6647"/>
    <n v="1"/>
    <s v="Credit Card"/>
    <n v="4427000"/>
    <n v="4099074"/>
    <n v="0"/>
    <n v="0"/>
    <n v="0"/>
    <s v="Chau_Vuong"/>
    <s v="GEO-EARRING AMBER"/>
    <s v="Ms. Chu Linh Chi"/>
    <n v="66"/>
    <n v="17"/>
    <s v="RED"/>
    <n v="4427000"/>
    <s v="OS"/>
    <n v="4099074"/>
    <x v="48"/>
    <s v="0913809310"/>
    <n v="3325884"/>
    <x v="0"/>
    <x v="0"/>
  </r>
  <r>
    <x v="5"/>
    <x v="2"/>
    <n v="16"/>
    <s v="SS24"/>
    <s v="NECKLACE"/>
    <s v="SS24"/>
    <n v="3177198"/>
    <n v="2374050"/>
    <d v="2024-04-21T00:00:00"/>
    <n v="202758"/>
    <s v="RWD1507"/>
    <x v="1"/>
    <x v="6"/>
    <s v="WJEW"/>
    <n v="1507"/>
    <n v="1"/>
    <s v="Credit Card"/>
    <n v="7716000"/>
    <n v="7144444"/>
    <n v="0"/>
    <n v="0"/>
    <n v="0"/>
    <s v="Vuong_Vo"/>
    <s v="ROM-PEW DOLPHIN PE-H-DOLPHIN-2 Necklaces - Wax - No Setting Silver"/>
    <s v="Mrs. Nguyen Thi Anh Hien"/>
    <s v="PEW-000341"/>
    <n v="20"/>
    <s v="Silver, DOLPHIN"/>
    <n v="7716000"/>
    <s v="U"/>
    <n v="7144444"/>
    <x v="37"/>
    <s v="0917181062"/>
    <n v="3967246"/>
    <x v="0"/>
    <x v="1"/>
  </r>
  <r>
    <x v="5"/>
    <x v="2"/>
    <n v="17"/>
    <s v="FW23"/>
    <s v="EARRINGS"/>
    <s v="FW23"/>
    <n v="18315360"/>
    <n v="16805250"/>
    <d v="2024-04-24T00:00:00"/>
    <n v="193278"/>
    <s v="RWD1530"/>
    <x v="8"/>
    <x v="6"/>
    <s v="WACC"/>
    <n v="1530"/>
    <n v="1"/>
    <s v="Credit Card"/>
    <n v="46618400"/>
    <n v="43165185"/>
    <n v="5"/>
    <n v="2271852"/>
    <n v="2453600"/>
    <s v="Tam_Nguyen"/>
    <s v="NAN - EARRINGS DIAMONDS pcs 12 ct 0.1"/>
    <s v="Mrs. Trinh Thi Duc Hien"/>
    <s v="OS16-583"/>
    <n v="21"/>
    <s v="GG"/>
    <n v="49072000"/>
    <s v="U"/>
    <n v="45437037"/>
    <x v="29"/>
    <s v="0933138688"/>
    <n v="24849825"/>
    <x v="0"/>
    <x v="1"/>
  </r>
  <r>
    <x v="5"/>
    <x v="2"/>
    <n v="17"/>
    <s v="SS24"/>
    <s v="RING"/>
    <s v="SS24"/>
    <n v="2074905"/>
    <n v="1550400"/>
    <d v="2024-04-25T00:00:00"/>
    <n v="202770"/>
    <s v="RWR8100"/>
    <x v="1"/>
    <x v="0"/>
    <s v="WJEW"/>
    <n v="8100"/>
    <n v="1"/>
    <s v="Credit Card"/>
    <n v="5039000"/>
    <n v="4665741"/>
    <n v="0"/>
    <n v="0"/>
    <n v="0"/>
    <s v="Nghia_Nguyen"/>
    <s v="ROM-NINKA (53) R-C-NINKA-1 Rings - No Setting Silver"/>
    <s v="Ms. Duong Thi Minh Chau"/>
    <s v="RG-045570"/>
    <n v="11"/>
    <s v="SILVER"/>
    <n v="5039000"/>
    <n v="53"/>
    <n v="4665741"/>
    <x v="17"/>
    <s v="0903618988"/>
    <n v="2590836"/>
    <x v="0"/>
    <x v="0"/>
  </r>
  <r>
    <x v="5"/>
    <x v="2"/>
    <n v="17"/>
    <s v="FW24"/>
    <s v="NECKLACE"/>
    <s v="FW24"/>
    <n v="1857529"/>
    <n v="1732959.5999999999"/>
    <d v="2024-04-25T00:00:00"/>
    <n v="205014"/>
    <s v="RWT6690"/>
    <x v="4"/>
    <x v="4"/>
    <s v="WJEW"/>
    <n v="6690"/>
    <n v="1"/>
    <s v="Cash"/>
    <n v="10033000"/>
    <n v="9289815"/>
    <n v="0"/>
    <n v="0"/>
    <n v="0"/>
    <s v="Chau_Vuong"/>
    <s v="GEO-JADE NECKLACE"/>
    <s v="Mrs. Nguyen Thi Mai Huong"/>
    <n v="17"/>
    <n v="20"/>
    <s v="Jade"/>
    <n v="10033000"/>
    <s v="OS"/>
    <n v="9289815"/>
    <x v="26"/>
    <s v="0908402668"/>
    <n v="7432286"/>
    <x v="0"/>
    <x v="0"/>
  </r>
  <r>
    <x v="5"/>
    <x v="2"/>
    <n v="17"/>
    <s v="FW24"/>
    <s v="NECKLACE"/>
    <s v="FW24"/>
    <n v="1620996"/>
    <n v="1478112.5999999999"/>
    <d v="2024-04-25T00:00:00"/>
    <n v="205017"/>
    <s v="RWT6690"/>
    <x v="4"/>
    <x v="4"/>
    <s v="WJEW"/>
    <n v="6690"/>
    <n v="1"/>
    <s v="Cash"/>
    <n v="8558000"/>
    <n v="7924074"/>
    <n v="0"/>
    <n v="0"/>
    <n v="0"/>
    <s v="Chau_Vuong"/>
    <s v="GEO-MOSS AGATE NECKLACE"/>
    <s v="Mrs. Nguyen Thi Mai Huong"/>
    <n v="20"/>
    <n v="20"/>
    <s v="GREEN"/>
    <n v="8558000"/>
    <s v="OS"/>
    <n v="7924074"/>
    <x v="49"/>
    <s v="0908402668"/>
    <n v="6303078"/>
    <x v="0"/>
    <x v="1"/>
  </r>
  <r>
    <x v="5"/>
    <x v="2"/>
    <n v="17"/>
    <s v="FW24"/>
    <s v="EARRINGS"/>
    <s v="FW24"/>
    <n v="326406"/>
    <n v="280331.7"/>
    <d v="2024-04-25T00:00:00"/>
    <n v="205053"/>
    <s v="RWT6690"/>
    <x v="4"/>
    <x v="4"/>
    <s v="WJEW"/>
    <n v="6690"/>
    <n v="1"/>
    <s v="Cash"/>
    <n v="1623000"/>
    <n v="1502778"/>
    <n v="0"/>
    <n v="0"/>
    <n v="0"/>
    <s v="Chau_Vuong"/>
    <s v="GEO-EARRING MOSS AGATE"/>
    <s v="Mrs. Nguyen Thi Mai Huong"/>
    <n v="56"/>
    <n v="20"/>
    <s v="GREEN"/>
    <n v="1623000"/>
    <s v="OS"/>
    <n v="1502778"/>
    <x v="49"/>
    <s v="0908402668"/>
    <n v="1176372"/>
    <x v="0"/>
    <x v="1"/>
  </r>
  <r>
    <x v="5"/>
    <x v="2"/>
    <n v="17"/>
    <s v="FW24"/>
    <s v="NECKLACE"/>
    <s v="FW24"/>
    <n v="2072867"/>
    <n v="1987806.6"/>
    <d v="2024-04-27T00:00:00"/>
    <n v="205009"/>
    <s v="RWT6695"/>
    <x v="4"/>
    <x v="4"/>
    <s v="WJEW"/>
    <n v="6695"/>
    <n v="1"/>
    <s v="Credit Card"/>
    <n v="11927000"/>
    <n v="11043519"/>
    <n v="0"/>
    <n v="0"/>
    <n v="0"/>
    <s v="Chau_Vuong"/>
    <s v="GEO-MOONSTONE NECKLACE"/>
    <s v="Ms. Le Thi Thanh Mai"/>
    <n v="12"/>
    <n v="11"/>
    <s v="Moon"/>
    <n v="11927000"/>
    <s v="OS"/>
    <n v="11043519"/>
    <x v="22"/>
    <s v="0933530066"/>
    <n v="8970652"/>
    <x v="0"/>
    <x v="0"/>
  </r>
  <r>
    <x v="5"/>
    <x v="2"/>
    <n v="17"/>
    <s v="FW24"/>
    <s v="NECKLACE"/>
    <s v="FW24"/>
    <n v="1242888"/>
    <n v="1019388"/>
    <d v="2024-04-28T00:00:00"/>
    <n v="205060"/>
    <s v="RWT6707"/>
    <x v="4"/>
    <x v="4"/>
    <s v="WJEW"/>
    <n v="6707"/>
    <n v="1"/>
    <s v="Credit Card"/>
    <n v="6117000"/>
    <n v="5663889"/>
    <n v="0"/>
    <n v="0"/>
    <n v="0"/>
    <s v="Chau_Vuong"/>
    <s v="GEO-MOSS AGATE NECKLACE"/>
    <s v="Ms. Hang Giang"/>
    <n v="63"/>
    <n v="17"/>
    <s v="GREEN"/>
    <n v="6117000"/>
    <s v="OS"/>
    <n v="5663889"/>
    <x v="22"/>
    <s v="0912419090"/>
    <n v="4421001"/>
    <x v="0"/>
    <x v="0"/>
  </r>
  <r>
    <x v="5"/>
    <x v="2"/>
    <n v="17"/>
    <s v="FW24"/>
    <s v="EARRINGS"/>
    <s v="FW24"/>
    <n v="405250"/>
    <n v="356785.8"/>
    <d v="2024-04-28T00:00:00"/>
    <n v="205059"/>
    <s v="RWT6707"/>
    <x v="4"/>
    <x v="4"/>
    <s v="WJEW"/>
    <n v="6707"/>
    <n v="1"/>
    <s v="Credit Card"/>
    <n v="2141000"/>
    <n v="1982407"/>
    <n v="0"/>
    <n v="0"/>
    <n v="0"/>
    <s v="Chau_Vuong"/>
    <s v="GEO-EARRING MOSS AGATE"/>
    <s v="Ms. Hang Giang"/>
    <n v="62"/>
    <n v="17"/>
    <s v="GREEN"/>
    <n v="2141000"/>
    <s v="OS"/>
    <n v="1982407"/>
    <x v="22"/>
    <s v="0912419090"/>
    <n v="1577157"/>
    <x v="0"/>
    <x v="0"/>
  </r>
  <r>
    <x v="5"/>
    <x v="2"/>
    <n v="17"/>
    <s v="FW24"/>
    <s v="EARRINGS"/>
    <s v="FW24"/>
    <n v="484094"/>
    <n v="458724.60000000003"/>
    <d v="2024-04-28T00:00:00"/>
    <n v="205054"/>
    <s v="RWT6707"/>
    <x v="4"/>
    <x v="4"/>
    <s v="WJEW"/>
    <n v="6707"/>
    <n v="1"/>
    <s v="Credit Card"/>
    <n v="2753000"/>
    <n v="2549074"/>
    <n v="0"/>
    <n v="0"/>
    <n v="0"/>
    <s v="Chau_Vuong"/>
    <s v="GEO-EARRING MOSS AGATE"/>
    <s v="Ms. Hang Giang"/>
    <n v="57"/>
    <n v="17"/>
    <s v="GREEN"/>
    <n v="2753000"/>
    <s v="OS"/>
    <n v="2549074"/>
    <x v="22"/>
    <s v="0912419090"/>
    <n v="2064980"/>
    <x v="0"/>
    <x v="0"/>
  </r>
  <r>
    <x v="5"/>
    <x v="2"/>
    <n v="17"/>
    <s v="FW24"/>
    <s v="EARRINGS"/>
    <s v="FW24"/>
    <n v="505291"/>
    <n v="458724.60000000003"/>
    <d v="2024-04-28T00:00:00"/>
    <n v="205040"/>
    <s v="RWT6707"/>
    <x v="4"/>
    <x v="4"/>
    <s v="WJEW"/>
    <n v="6707"/>
    <n v="1"/>
    <s v="Credit Card"/>
    <n v="2753000"/>
    <n v="2549074"/>
    <n v="0"/>
    <n v="0"/>
    <n v="0"/>
    <s v="Chau_Vuong"/>
    <s v="GEO-MOONSTONE EARRING"/>
    <s v="Ms. Hang Giang"/>
    <n v="43"/>
    <n v="17"/>
    <s v="Moon"/>
    <n v="2753000"/>
    <s v="OS"/>
    <n v="2549074"/>
    <x v="22"/>
    <s v="0912419090"/>
    <n v="2043783"/>
    <x v="0"/>
    <x v="0"/>
  </r>
  <r>
    <x v="5"/>
    <x v="3"/>
    <n v="18"/>
    <s v="SS24"/>
    <s v="EARRINGS"/>
    <s v="SS24"/>
    <n v="79474542"/>
    <n v="77199375"/>
    <d v="2024-05-04T00:00:00"/>
    <n v="205089"/>
    <s v="RHN4224"/>
    <x v="6"/>
    <x v="1"/>
    <s v="WJEW"/>
    <n v="4224"/>
    <n v="1"/>
    <s v="Cash"/>
    <n v="183936150"/>
    <n v="170311250"/>
    <n v="5"/>
    <n v="8963750"/>
    <n v="9680850"/>
    <s v="Ngoc_Nguyen"/>
    <s v="GVC-PINK GOLD P.OF EARRINGS W GOLD 13.40GR DIAMOND 1.09CT"/>
    <s v="Pham Thanh Huong"/>
    <s v="B39513"/>
    <n v="12"/>
    <s v="GOLD/DIAMOND"/>
    <n v="193617000"/>
    <s v="U"/>
    <n v="179275000"/>
    <x v="18"/>
    <s v="0934449329"/>
    <n v="90836708"/>
    <x v="0"/>
    <x v="2"/>
  </r>
  <r>
    <x v="5"/>
    <x v="3"/>
    <n v="18"/>
    <s v="SS24"/>
    <s v="NECKLACE"/>
    <s v="SS24"/>
    <n v="68249795"/>
    <n v="66096250"/>
    <d v="2024-05-04T00:00:00"/>
    <n v="205090"/>
    <s v="RHN4224"/>
    <x v="6"/>
    <x v="1"/>
    <s v="WJEW"/>
    <n v="4224"/>
    <n v="1"/>
    <s v="Cash"/>
    <n v="157481500"/>
    <n v="145816204"/>
    <n v="5"/>
    <n v="7674537"/>
    <n v="8288500"/>
    <s v="Ngoc_Nguyen"/>
    <s v="GVC-PINK GOLD NECKLACE W GOLD 13.30GR DIAMOND 1.14CT"/>
    <s v="Pham Thanh Huong"/>
    <s v="GR39515"/>
    <n v="12"/>
    <s v="GOLD/DIAMOND"/>
    <n v="165770000"/>
    <s v="U"/>
    <n v="153490741"/>
    <x v="18"/>
    <s v="0934449329"/>
    <n v="77566409"/>
    <x v="0"/>
    <x v="2"/>
  </r>
  <r>
    <x v="5"/>
    <x v="3"/>
    <n v="19"/>
    <s v="SS23"/>
    <s v="NECKLACE"/>
    <s v="SS23"/>
    <n v="5860382"/>
    <n v="5278500"/>
    <d v="2024-05-08T00:00:00"/>
    <n v="182224"/>
    <s v="RWR8173"/>
    <x v="7"/>
    <x v="0"/>
    <s v="WACC"/>
    <n v="8173"/>
    <n v="1"/>
    <s v="Credit Card"/>
    <n v="16892000"/>
    <n v="15640741"/>
    <n v="0"/>
    <n v="0"/>
    <n v="0"/>
    <s v="Ha_Nguyen"/>
    <s v="MAL - SHRI CAPSULE NECKLACE IN SILVER WITH 15 NATURAL STONES (6 NATURAL STONES 10X5 - 9 STONES 8X4) AND CLOSURE AT 110CM   MULTICOLOR  _x000a_ATTENZIONE: FARE VENSIONE CON PIETRE NON TROPPO CHIARE"/>
    <s v="Mrs. Nguyen Thi Hang"/>
    <s v="CA0191/V1"/>
    <n v="11"/>
    <s v="15 NATURAL STONE"/>
    <n v="16892000"/>
    <s v="U"/>
    <n v="15640741"/>
    <x v="4"/>
    <s v="0983216688"/>
    <n v="9780359"/>
    <x v="0"/>
    <x v="1"/>
  </r>
  <r>
    <x v="5"/>
    <x v="3"/>
    <n v="19"/>
    <s v="SS24"/>
    <s v="RING"/>
    <s v="SS24"/>
    <n v="3047517"/>
    <n v="2277150"/>
    <d v="2024-05-09T00:00:00"/>
    <n v="202757"/>
    <s v="RHN4264"/>
    <x v="1"/>
    <x v="1"/>
    <s v="WJEW"/>
    <n v="4264"/>
    <n v="1"/>
    <s v="Credit Card"/>
    <n v="7546000"/>
    <n v="6987037"/>
    <n v="0"/>
    <n v="0"/>
    <n v="0"/>
    <s v="Ngoc_Nguyen"/>
    <s v="ROM-DOLORES H 2 DIX CO (53) R-H-DOLORESH2-2 Rings - With Setting Silver - Cognac Diamonds: 2p, 0.04ct"/>
    <s v="Mrs. Tran Thanh My"/>
    <s v="RG-076228"/>
    <n v="14"/>
    <s v="Cognac Diamonds"/>
    <n v="7546000"/>
    <n v="53"/>
    <n v="6987037"/>
    <x v="14"/>
    <s v="0983861971"/>
    <n v="3939520"/>
    <x v="0"/>
    <x v="1"/>
  </r>
  <r>
    <x v="5"/>
    <x v="3"/>
    <n v="19"/>
    <s v="SS24"/>
    <s v="RING"/>
    <s v="SS24"/>
    <n v="78396663"/>
    <n v="76023750"/>
    <d v="2024-05-09T00:00:00"/>
    <n v="205109"/>
    <s v="RHN4266"/>
    <x v="6"/>
    <x v="1"/>
    <s v="WJEW"/>
    <n v="4266"/>
    <n v="1"/>
    <s v="Check"/>
    <n v="181134600"/>
    <n v="167717222"/>
    <n v="5"/>
    <n v="8827222"/>
    <n v="9533400"/>
    <s v="Ngoc_Nguyen"/>
    <s v="GVC-PINK GOLD RING W GOLD 14.70GR DIAMOND 1.46CT"/>
    <s v="Ms. Khuc Thi Dau"/>
    <s v="AR16817"/>
    <n v="15"/>
    <s v="GOLD/DIAMOND"/>
    <n v="190668000"/>
    <n v="14"/>
    <n v="176544444"/>
    <x v="30"/>
    <s v="0904577658"/>
    <n v="89320559"/>
    <x v="0"/>
    <x v="2"/>
  </r>
  <r>
    <x v="5"/>
    <x v="3"/>
    <n v="19"/>
    <s v="FW24"/>
    <s v="RING"/>
    <s v="FW24"/>
    <n v="48072918"/>
    <n v="48840000"/>
    <d v="2024-05-10T00:00:00"/>
    <n v="205072"/>
    <s v="RHN4274"/>
    <x v="5"/>
    <x v="1"/>
    <s v="WJEW"/>
    <n v="4274"/>
    <n v="1"/>
    <s v="Split"/>
    <n v="93100000"/>
    <n v="86203704"/>
    <n v="5"/>
    <n v="4537037"/>
    <n v="4900000"/>
    <s v="Ngoc_Nguyen"/>
    <s v="ATS-WG Ring: diamond 0,83ct G/VS / grm gold 5.74 / size 12"/>
    <s v="Ms. Pham Thi Anh Tuyet"/>
    <s v="93/7207/W"/>
    <n v="17"/>
    <s v="white diamond"/>
    <n v="98000000"/>
    <n v="12"/>
    <n v="90740741"/>
    <x v="50"/>
    <s v="0904005226"/>
    <n v="38130786"/>
    <x v="0"/>
    <x v="0"/>
  </r>
  <r>
    <x v="5"/>
    <x v="3"/>
    <n v="19"/>
    <s v="SS24"/>
    <s v="EARRINGS"/>
    <s v="SS24"/>
    <n v="59243382"/>
    <n v="57344375"/>
    <d v="2024-05-10T00:00:00"/>
    <n v="205085"/>
    <s v="RHN4274"/>
    <x v="6"/>
    <x v="1"/>
    <s v="WJEW"/>
    <n v="4274"/>
    <n v="1"/>
    <s v="Split"/>
    <n v="136629000"/>
    <n v="126508333"/>
    <n v="5"/>
    <n v="6658333"/>
    <n v="7191000"/>
    <s v="Ngoc_Nguyen"/>
    <s v="GVC-WHITE GOLD P.OF EARRINGS W GOLD 13.09GR DIAMOND 0.79CT"/>
    <s v="Ms. Pham Thi Anh Tuyet"/>
    <s v="BB39745"/>
    <n v="17"/>
    <s v="WHITE/DIAMOND"/>
    <n v="143820000"/>
    <s v="U"/>
    <n v="133166667"/>
    <x v="50"/>
    <s v="0904005226"/>
    <n v="67264951"/>
    <x v="0"/>
    <x v="0"/>
  </r>
  <r>
    <x v="5"/>
    <x v="3"/>
    <n v="19"/>
    <s v="SS24"/>
    <s v="EARRINGS"/>
    <s v="SS24"/>
    <n v="17881865"/>
    <n v="17914050.000000004"/>
    <d v="2024-05-10T00:00:00"/>
    <n v="202693"/>
    <s v="RHN4274"/>
    <x v="8"/>
    <x v="1"/>
    <s v="WACC"/>
    <n v="4274"/>
    <n v="1"/>
    <s v="Split"/>
    <n v="44479950"/>
    <n v="41185139"/>
    <n v="5"/>
    <n v="2167639"/>
    <n v="2341050"/>
    <s v="Ngoc_Nguyen"/>
    <s v="NAN - &quot;LIBERA&quot; SMALL GOLD 2.68 SQUARE HOOP EARRINGS WITH DIAMONDS 0.13CT"/>
    <s v="Ms. Pham Thi Anh Tuyet"/>
    <s v="OS1-602"/>
    <n v="17"/>
    <s v="RRLU"/>
    <n v="46821000"/>
    <s v="S"/>
    <n v="43352778"/>
    <x v="50"/>
    <s v="0904005226"/>
    <n v="23303274"/>
    <x v="0"/>
    <x v="0"/>
  </r>
  <r>
    <x v="5"/>
    <x v="3"/>
    <n v="19"/>
    <s v="FW24"/>
    <s v="NECKLACE"/>
    <s v="FW24"/>
    <n v="1363267"/>
    <n v="1223265.5999999999"/>
    <d v="2024-05-11T00:00:00"/>
    <n v="204999"/>
    <s v="RHN4281"/>
    <x v="4"/>
    <x v="1"/>
    <s v="WJEW"/>
    <n v="4281"/>
    <n v="1"/>
    <s v="Cash"/>
    <n v="7340000"/>
    <n v="6796296"/>
    <n v="0"/>
    <n v="0"/>
    <n v="0"/>
    <s v="Huyen_Dang"/>
    <s v="GEO-LAPIS NECKLACE"/>
    <s v="Nguyen Thi Hao Hoa"/>
    <n v="2"/>
    <n v="19"/>
    <s v="BLUE"/>
    <n v="7340000"/>
    <s v="OS"/>
    <n v="6796296"/>
    <x v="14"/>
    <s v="0913012512"/>
    <n v="5433029"/>
    <x v="0"/>
    <x v="1"/>
  </r>
  <r>
    <x v="5"/>
    <x v="3"/>
    <n v="19"/>
    <s v="FW24"/>
    <s v="NECKLACE"/>
    <s v="FW24"/>
    <n v="1384463"/>
    <n v="1223265.5999999999"/>
    <d v="2024-05-11T00:00:00"/>
    <n v="205028"/>
    <s v="RHN4281"/>
    <x v="4"/>
    <x v="1"/>
    <s v="WJEW"/>
    <n v="4281"/>
    <n v="1"/>
    <s v="Cash"/>
    <n v="7340000"/>
    <n v="6796296"/>
    <n v="0"/>
    <n v="0"/>
    <n v="0"/>
    <s v="Huyen_Dang"/>
    <s v="GEO-LAPIS NECKLACE"/>
    <s v="Nguyen Thi Hao Hoa"/>
    <n v="31"/>
    <n v="19"/>
    <s v="BLUE"/>
    <n v="7340000"/>
    <s v="OS"/>
    <n v="6796296"/>
    <x v="14"/>
    <s v="0913012512"/>
    <n v="5411833"/>
    <x v="0"/>
    <x v="1"/>
  </r>
  <r>
    <x v="5"/>
    <x v="3"/>
    <n v="20"/>
    <s v="FW24"/>
    <s v="NECKLACE"/>
    <s v="FW24"/>
    <n v="1321732"/>
    <n v="1121326.8"/>
    <d v="2024-05-13T00:00:00"/>
    <n v="205035"/>
    <s v="RHN4293"/>
    <x v="4"/>
    <x v="1"/>
    <s v="WJEW"/>
    <n v="4293"/>
    <n v="1"/>
    <s v="Credit Card"/>
    <n v="6728000"/>
    <n v="6229630"/>
    <n v="0"/>
    <n v="0"/>
    <n v="0"/>
    <s v="Huyen_Dang"/>
    <s v="GEO-MOONSTONE NECKLACE"/>
    <s v="Mrs. Nguyen Thi Minh Hue"/>
    <n v="38"/>
    <n v="12"/>
    <s v="Moon"/>
    <n v="6728000"/>
    <s v="OS"/>
    <n v="6229630"/>
    <x v="18"/>
    <s v="0906159999"/>
    <n v="4907898"/>
    <x v="0"/>
    <x v="2"/>
  </r>
  <r>
    <x v="5"/>
    <x v="3"/>
    <n v="20"/>
    <s v="FW24"/>
    <s v="NECKLACE"/>
    <s v="FW24"/>
    <n v="1242888"/>
    <n v="1019388"/>
    <d v="2024-05-13T00:00:00"/>
    <n v="205060"/>
    <s v="RHN4293"/>
    <x v="4"/>
    <x v="1"/>
    <s v="WJEW"/>
    <n v="4293"/>
    <n v="1"/>
    <s v="Credit Card"/>
    <n v="6117000"/>
    <n v="5663889"/>
    <n v="0"/>
    <n v="0"/>
    <n v="0"/>
    <s v="Huyen_Dang"/>
    <s v="GEO-MOSS AGATE NECKLACE"/>
    <s v="Mrs. Nguyen Thi Minh Hue"/>
    <n v="63"/>
    <n v="12"/>
    <s v="GREEN"/>
    <n v="6117000"/>
    <s v="OS"/>
    <n v="5663889"/>
    <x v="18"/>
    <s v="0906159999"/>
    <n v="4421001"/>
    <x v="0"/>
    <x v="2"/>
  </r>
  <r>
    <x v="5"/>
    <x v="3"/>
    <n v="20"/>
    <s v="FW24"/>
    <s v="EARRINGS"/>
    <s v="FW24"/>
    <n v="378968"/>
    <n v="331301.09999999998"/>
    <d v="2024-05-13T00:00:00"/>
    <n v="205052"/>
    <s v="RHN4293"/>
    <x v="4"/>
    <x v="1"/>
    <s v="WJEW"/>
    <n v="4293"/>
    <n v="1"/>
    <s v="Credit Card"/>
    <n v="1988000"/>
    <n v="1840741"/>
    <n v="0"/>
    <n v="0"/>
    <n v="0"/>
    <s v="Huyen_Dang"/>
    <s v="GEO-EARRING NEFRITE"/>
    <s v="Mrs. Nguyen Thi Minh Hue"/>
    <n v="55"/>
    <n v="12"/>
    <s v="GREEN"/>
    <n v="1988000"/>
    <s v="OS"/>
    <n v="1840741"/>
    <x v="18"/>
    <s v="0906159999"/>
    <n v="1461773"/>
    <x v="0"/>
    <x v="2"/>
  </r>
  <r>
    <x v="5"/>
    <x v="3"/>
    <n v="20"/>
    <s v="FW24"/>
    <s v="NECKLACE"/>
    <s v="FW24"/>
    <n v="1599800"/>
    <n v="1478112.5999999999"/>
    <d v="2024-05-13T00:00:00"/>
    <n v="205000"/>
    <s v="RHN4293"/>
    <x v="4"/>
    <x v="1"/>
    <s v="WJEW"/>
    <n v="4293"/>
    <n v="1"/>
    <s v="Credit Card"/>
    <n v="8869000"/>
    <n v="8212037"/>
    <n v="0"/>
    <n v="0"/>
    <n v="0"/>
    <s v="Huyen_Dang"/>
    <s v="GEO-BLACK AGATE NECKLACE"/>
    <s v="Mrs. Nguyen Thi Minh Hue"/>
    <n v="3"/>
    <n v="12"/>
    <s v="BLACK"/>
    <n v="8869000"/>
    <s v="OS"/>
    <n v="8212037"/>
    <x v="18"/>
    <s v="0906159999"/>
    <n v="6612237"/>
    <x v="0"/>
    <x v="2"/>
  </r>
  <r>
    <x v="5"/>
    <x v="3"/>
    <n v="20"/>
    <s v="FW24"/>
    <s v="NECKLACE"/>
    <s v="FW24"/>
    <n v="1190323"/>
    <n v="968418.6"/>
    <d v="2024-05-13T00:00:00"/>
    <n v="205032"/>
    <s v="RHN4293"/>
    <x v="4"/>
    <x v="1"/>
    <s v="WJEW"/>
    <n v="4293"/>
    <n v="1"/>
    <s v="Credit Card"/>
    <n v="5811000"/>
    <n v="5380556"/>
    <n v="0"/>
    <n v="0"/>
    <n v="0"/>
    <s v="Huyen_Dang"/>
    <s v="GEO-WHITE AGATE NECKLACE"/>
    <s v="Mrs. Nguyen Thi Minh Hue"/>
    <n v="35"/>
    <n v="12"/>
    <s v="WHITE"/>
    <n v="5811000"/>
    <s v="OS"/>
    <n v="5380556"/>
    <x v="18"/>
    <s v="0906159999"/>
    <n v="4190233"/>
    <x v="0"/>
    <x v="2"/>
  </r>
  <r>
    <x v="5"/>
    <x v="3"/>
    <n v="20"/>
    <s v="FW24"/>
    <s v="NECKLACE"/>
    <s v="FW24"/>
    <n v="2072867"/>
    <n v="1987806.6"/>
    <d v="2024-05-14T00:00:00"/>
    <n v="205007"/>
    <s v="RHN4298"/>
    <x v="4"/>
    <x v="1"/>
    <s v="WJEW"/>
    <n v="4298"/>
    <n v="1"/>
    <s v="Account"/>
    <n v="11927000"/>
    <n v="11043519"/>
    <n v="0"/>
    <n v="0"/>
    <n v="0"/>
    <s v="Ngoc_Nguyen"/>
    <s v="GEO-PEARL NECKLACE"/>
    <s v="Ms. To Thi Hanh"/>
    <n v="10"/>
    <n v="13"/>
    <s v="PEARL"/>
    <n v="11927000"/>
    <s v="OS"/>
    <n v="11043519"/>
    <x v="50"/>
    <s v="0916671961"/>
    <n v="8970652"/>
    <x v="0"/>
    <x v="0"/>
  </r>
  <r>
    <x v="5"/>
    <x v="3"/>
    <n v="20"/>
    <s v="FW24"/>
    <s v="NECKLACE"/>
    <s v="FW24"/>
    <n v="1200493"/>
    <n v="1019388"/>
    <d v="2024-05-15T00:00:00"/>
    <n v="205018"/>
    <s v="RWT6818"/>
    <x v="4"/>
    <x v="4"/>
    <s v="WJEW"/>
    <n v="6818"/>
    <n v="1"/>
    <s v="Credit Card"/>
    <n v="6117000"/>
    <n v="5663889"/>
    <n v="0"/>
    <n v="0"/>
    <n v="0"/>
    <s v="Chau_Vuong"/>
    <s v="GEO-MOSS AGATE NECKLACE"/>
    <s v="Mrs. Xuan"/>
    <n v="21"/>
    <n v="21"/>
    <s v="GREEN"/>
    <n v="6117000"/>
    <s v="OS"/>
    <n v="5663889"/>
    <x v="51"/>
    <s v="0935603555"/>
    <n v="4463396"/>
    <x v="0"/>
    <x v="2"/>
  </r>
  <r>
    <x v="5"/>
    <x v="3"/>
    <n v="20"/>
    <s v="FW24"/>
    <s v="NECKLACE"/>
    <s v="FW24"/>
    <n v="1857529"/>
    <n v="1732959.5999999999"/>
    <d v="2024-05-15T00:00:00"/>
    <n v="205016"/>
    <s v="RWT6818"/>
    <x v="4"/>
    <x v="4"/>
    <s v="WJEW"/>
    <n v="6818"/>
    <n v="1"/>
    <s v="Credit Card"/>
    <n v="10398000"/>
    <n v="9627778"/>
    <n v="0"/>
    <n v="0"/>
    <n v="0"/>
    <s v="Chau_Vuong"/>
    <s v="GEO-MOONSTONE NECKLACE"/>
    <s v="Mrs. Xuan"/>
    <n v="19"/>
    <n v="21"/>
    <s v="WHITE"/>
    <n v="10398000"/>
    <s v="OS"/>
    <n v="9627778"/>
    <x v="51"/>
    <s v="0935603555"/>
    <n v="7770249"/>
    <x v="0"/>
    <x v="2"/>
  </r>
  <r>
    <x v="5"/>
    <x v="3"/>
    <n v="20"/>
    <s v="SS18"/>
    <s v="RING"/>
    <s v="SS18"/>
    <n v="-7365600"/>
    <n v="-7365600.0000000009"/>
    <d v="2024-05-17T00:00:00"/>
    <n v="117959"/>
    <s v="HQ428"/>
    <x v="1"/>
    <x v="5"/>
    <s v="WACC"/>
    <n v="428"/>
    <n v="-1"/>
    <s v="Check"/>
    <n v="-7365718.7999999998"/>
    <n v="-6820110"/>
    <n v="65.55"/>
    <n v="-12979890"/>
    <n v="-14018281.199999999"/>
    <s v="Kiet_Le"/>
    <s v="RM SILVER TWISTED BELL FLOWER RING-TOP SILVER-MIDDLE silver"/>
    <s v="Mrs. Tran Thi Hoai Anh"/>
    <s v="SAXO (4) S-S-S"/>
    <n v="12"/>
    <s v="SILVER"/>
    <n v="-21384000"/>
    <n v="12"/>
    <n v="-19800000"/>
    <x v="1"/>
    <s v="0908039899"/>
    <n v="545490"/>
    <x v="0"/>
    <x v="0"/>
  </r>
  <r>
    <x v="5"/>
    <x v="3"/>
    <n v="20"/>
    <s v="SS18"/>
    <s v="RING"/>
    <s v="SS18"/>
    <n v="7365600"/>
    <n v="7365600.0000000009"/>
    <d v="2024-05-17T00:00:00"/>
    <n v="117959"/>
    <s v="RWR8190"/>
    <x v="1"/>
    <x v="0"/>
    <s v="WACC"/>
    <n v="8190"/>
    <n v="1"/>
    <s v="Check"/>
    <n v="17107200"/>
    <n v="15840000"/>
    <n v="20"/>
    <n v="3960000"/>
    <n v="4276800"/>
    <s v="Nghia_Nguyen"/>
    <s v="RM SILVER TWISTED BELL FLOWER RING-TOP SILVER-MIDDLE silver"/>
    <s v="Ms. Nikita Chu"/>
    <s v="SAXO (4) S-S-S"/>
    <n v="13"/>
    <s v="SILVER"/>
    <n v="21384000"/>
    <n v="12"/>
    <n v="19800000"/>
    <x v="6"/>
    <s v="0973749931"/>
    <n v="8474400"/>
    <x v="0"/>
    <x v="1"/>
  </r>
  <r>
    <x v="5"/>
    <x v="3"/>
    <n v="20"/>
    <s v="FW24"/>
    <s v="NECKLACE"/>
    <s v="FW24"/>
    <n v="1363267"/>
    <n v="1223265.5999999999"/>
    <d v="2024-05-18T00:00:00"/>
    <n v="205004"/>
    <s v="RWT6834"/>
    <x v="4"/>
    <x v="4"/>
    <s v="WJEW"/>
    <n v="6834"/>
    <n v="1"/>
    <s v="Credit Card"/>
    <n v="7340000"/>
    <n v="6796296"/>
    <n v="0"/>
    <n v="0"/>
    <n v="0"/>
    <s v="Chau_Vuong"/>
    <s v="GEO-CORNELIAN NECKLACE"/>
    <s v="Mrs. Xuan"/>
    <n v="7"/>
    <n v="21"/>
    <s v="RED"/>
    <n v="7340000"/>
    <s v="OS"/>
    <n v="6796296"/>
    <x v="25"/>
    <s v="0935603555"/>
    <n v="5433029"/>
    <x v="0"/>
    <x v="0"/>
  </r>
  <r>
    <x v="5"/>
    <x v="3"/>
    <n v="20"/>
    <s v="FW24"/>
    <s v="NECKLACE"/>
    <s v="FW24"/>
    <n v="1836333"/>
    <n v="1732959.5999999999"/>
    <d v="2024-05-18T00:00:00"/>
    <n v="204998"/>
    <s v="RWT6833"/>
    <x v="4"/>
    <x v="4"/>
    <s v="WJEW"/>
    <n v="6833"/>
    <n v="1"/>
    <s v="Credit Card"/>
    <n v="10398000"/>
    <n v="9627778"/>
    <n v="0"/>
    <n v="0"/>
    <n v="0"/>
    <s v="Chau_Vuong"/>
    <s v="GEO-EMATOIDE NECKLACE"/>
    <s v="Tourist"/>
    <n v="1"/>
    <n v="20"/>
    <s v="PINK"/>
    <n v="10398000"/>
    <s v="OS"/>
    <n v="9627778"/>
    <x v="22"/>
    <m/>
    <n v="7791445"/>
    <x v="0"/>
    <x v="0"/>
  </r>
  <r>
    <x v="5"/>
    <x v="3"/>
    <n v="21"/>
    <s v="SS23"/>
    <s v="RING"/>
    <s v="SS23"/>
    <n v="8170398"/>
    <n v="6914400"/>
    <d v="2024-05-20T00:00:00"/>
    <n v="186488"/>
    <s v="RWD1633"/>
    <x v="1"/>
    <x v="6"/>
    <s v="WACC"/>
    <n v="1633"/>
    <n v="1"/>
    <s v="Check"/>
    <n v="21348400"/>
    <n v="19767037"/>
    <n v="5"/>
    <n v="1040370"/>
    <n v="1123600"/>
    <s v="Diem_NguyenSM"/>
    <s v="RM-ROBBIE 4 DIX GLD RQTZ (52) R-H-ROBBIE4-6 Rings - With Setting Sterling Silver - Golden Rutilated Quartz: 1p, 7.37ct"/>
    <s v="Ms. Le Thi Thuy Hanh"/>
    <s v="RG-074656"/>
    <n v="16"/>
    <s v="Golden Rutilated"/>
    <n v="22472000"/>
    <s v="52/G8"/>
    <n v="20807407"/>
    <x v="37"/>
    <s v="0903288262"/>
    <n v="11596639"/>
    <x v="0"/>
    <x v="1"/>
  </r>
  <r>
    <x v="5"/>
    <x v="3"/>
    <n v="22"/>
    <s v="SS24"/>
    <s v="EARRINGS"/>
    <s v="SS24"/>
    <n v="19623624"/>
    <n v="20766240"/>
    <d v="2024-05-30T00:00:00"/>
    <n v="206912"/>
    <s v="RWR8226"/>
    <x v="8"/>
    <x v="0"/>
    <s v="WACC"/>
    <n v="8226"/>
    <n v="1"/>
    <s v="Check"/>
    <n v="56990000"/>
    <n v="52768519"/>
    <n v="0"/>
    <n v="0"/>
    <n v="0"/>
    <s v="Ha_Nguyen"/>
    <s v="NAN - &quot;AZURE&quot; GOLD 18K 3.60, AQUAMARINE 0.73CT AND DIAMONDS 0.12CT HOOP EARRINGS"/>
    <s v="Ms. Do Thanh Hien"/>
    <s v="OS36-597"/>
    <n v="17"/>
    <s v="YELLOW, AQUAMARI"/>
    <n v="56990000"/>
    <n v="0"/>
    <n v="52768519"/>
    <x v="21"/>
    <s v="0908329582"/>
    <n v="33144895"/>
    <x v="0"/>
    <x v="1"/>
  </r>
  <r>
    <x v="5"/>
    <x v="4"/>
    <n v="22"/>
    <s v="SS23"/>
    <s v="BRACELET"/>
    <s v="SS23"/>
    <n v="2264882.5555555555"/>
    <n v="2295000"/>
    <d v="2024-06-02T00:00:00"/>
    <n v="182195"/>
    <s v="RHN4384"/>
    <x v="7"/>
    <x v="1"/>
    <s v="WACC"/>
    <n v="4384"/>
    <n v="1"/>
    <s v="Account"/>
    <n v="7344000"/>
    <n v="6800000"/>
    <n v="0"/>
    <n v="0"/>
    <n v="0"/>
    <s v="Ngoc_Nguyen"/>
    <s v="MAL - ENGRAVED SILVER BANGLE (NEW SMALL)   ATTENZIONE  TAGLIA COME CAMPIONE"/>
    <s v="Mrs. Nguyen Thi Minh Hue"/>
    <s v="BA0079/SMALL"/>
    <n v="10"/>
    <s v="ATTENZIONE  TAGL"/>
    <n v="7344000"/>
    <s v="U"/>
    <n v="6800000"/>
    <x v="18"/>
    <s v="0906159999"/>
    <n v="4535117.444444444"/>
    <x v="0"/>
    <x v="2"/>
  </r>
  <r>
    <x v="5"/>
    <x v="4"/>
    <n v="22"/>
    <s v="SS23"/>
    <s v="BRACELET"/>
    <s v="SS23"/>
    <n v="3383734"/>
    <n v="3435750"/>
    <d v="2024-06-02T00:00:00"/>
    <n v="182206"/>
    <s v="RHN4384"/>
    <x v="7"/>
    <x v="1"/>
    <s v="WACC"/>
    <n v="4384"/>
    <n v="1"/>
    <s v="Account"/>
    <n v="10995000"/>
    <n v="10180556"/>
    <n v="0"/>
    <n v="0"/>
    <n v="0"/>
    <s v="Ngoc_Nguyen"/>
    <s v="MAL - ENGRAVED SILVER BANGLE WITH 2 NATURAL STONES, DROP CUT (7X10)  ROCK CRYSTAL - CITRINE"/>
    <s v="Mrs. Nguyen Thi Minh Hue"/>
    <s v="BA0143/CITRINE"/>
    <n v="10"/>
    <s v="CITRINE - ROCK C"/>
    <n v="10995000"/>
    <s v="U"/>
    <n v="10180556"/>
    <x v="18"/>
    <s v="0906159999"/>
    <n v="6796822"/>
    <x v="0"/>
    <x v="2"/>
  </r>
  <r>
    <x v="5"/>
    <x v="4"/>
    <n v="22"/>
    <s v="FW24"/>
    <s v="RING"/>
    <s v="FW24"/>
    <n v="65429824"/>
    <n v="66467500"/>
    <d v="2024-06-02T00:00:00"/>
    <n v="205069"/>
    <s v="RHN4384"/>
    <x v="5"/>
    <x v="1"/>
    <s v="WJEW"/>
    <n v="4384"/>
    <n v="1"/>
    <s v="Account"/>
    <n v="168000000"/>
    <n v="155555556"/>
    <n v="0"/>
    <n v="0"/>
    <n v="0"/>
    <s v="Ngoc_Nguyen"/>
    <s v="ATS-PG Ring: diamond 0,51ct G/VS + pink sapphire 3,03ct + yellow sapphire 1,05ct + amethyst 2,80ct + pink tourmaline 0,46ct / gmr gold 15.85 / size 13"/>
    <s v="Mrs. Nguyen Thi Minh Hue"/>
    <s v="88/8821/Ri"/>
    <n v="10"/>
    <s v="pink sapphire, y"/>
    <n v="168000000"/>
    <n v="13"/>
    <n v="155555556"/>
    <x v="18"/>
    <s v="0906159999"/>
    <n v="90125732"/>
    <x v="0"/>
    <x v="2"/>
  </r>
  <r>
    <x v="5"/>
    <x v="4"/>
    <n v="22"/>
    <s v="SS24"/>
    <s v="RING"/>
    <s v="SS24"/>
    <n v="4655985"/>
    <n v="4332000"/>
    <d v="2024-06-02T00:00:00"/>
    <n v="208237"/>
    <s v="RWT6910"/>
    <x v="7"/>
    <x v="4"/>
    <s v="WACC"/>
    <n v="6910"/>
    <n v="1"/>
    <s v="Credit Card"/>
    <n v="13863000"/>
    <n v="12836111"/>
    <n v="0"/>
    <n v="0"/>
    <n v="0"/>
    <s v="Chau_Vuong"/>
    <s v="LUI - SILVER RING MEDIUM BAND WITH 9KT GOLD STUDS"/>
    <s v="Ms. Nguyen Thi Xuan Hong"/>
    <s v="AA0033AUBO"/>
    <n v="21"/>
    <s v="SILVER, GOLD"/>
    <n v="13863000"/>
    <n v="13"/>
    <n v="12836111"/>
    <x v="46"/>
    <s v="0908140263"/>
    <n v="8180126"/>
    <x v="0"/>
    <x v="1"/>
  </r>
  <r>
    <x v="5"/>
    <x v="4"/>
    <n v="23"/>
    <s v="SS24"/>
    <s v="EARRINGS"/>
    <s v="SS24"/>
    <n v="3431521"/>
    <n v="3192000"/>
    <d v="2024-06-05T00:00:00"/>
    <n v="208319"/>
    <s v="RHN4416"/>
    <x v="7"/>
    <x v="1"/>
    <s v="WACC"/>
    <n v="4416"/>
    <n v="1"/>
    <s v="Credit Card"/>
    <n v="10215000"/>
    <n v="9458333"/>
    <n v="0"/>
    <n v="0"/>
    <n v="0"/>
    <s v="Ngoc_Nguyen"/>
    <s v="LUI - SILVER EARRINGS, MEDIUM SIZE WITH PEARLS"/>
    <s v="Mrs. Do Thanh Hoa"/>
    <s v="OA0049"/>
    <n v="17"/>
    <s v="WHITE"/>
    <n v="10215000"/>
    <s v="U"/>
    <n v="9458333"/>
    <x v="30"/>
    <s v="0904374728"/>
    <n v="6026812"/>
    <x v="0"/>
    <x v="2"/>
  </r>
  <r>
    <x v="5"/>
    <x v="4"/>
    <n v="23"/>
    <s v="SS24"/>
    <s v="NECKLACE"/>
    <s v="SS24"/>
    <n v="3651924"/>
    <n v="3397200"/>
    <d v="2024-06-08T00:00:00"/>
    <n v="208314"/>
    <s v="RWD1706"/>
    <x v="7"/>
    <x v="6"/>
    <s v="WACC"/>
    <n v="1706"/>
    <n v="1"/>
    <s v="Credit Card"/>
    <n v="9784800"/>
    <n v="9060000"/>
    <n v="10"/>
    <n v="1006667"/>
    <n v="1087200"/>
    <s v="Tam_Nguyen"/>
    <s v="LUI - SILVER NECKLACE GOLD PLATED, CARVED WITH NAVETTE STONES (8X4) SKY TOPAZ - LETTER N"/>
    <s v="Mrs. Le Thi Phuong Thuy"/>
    <s v="CA0276/POG"/>
    <n v="17"/>
    <s v="WHITE"/>
    <n v="10872000"/>
    <s v="U"/>
    <n v="10066667"/>
    <x v="37"/>
    <s v="0903717557"/>
    <n v="5408076"/>
    <x v="0"/>
    <x v="1"/>
  </r>
  <r>
    <x v="5"/>
    <x v="4"/>
    <n v="23"/>
    <s v="SS23"/>
    <s v="EARRINGS"/>
    <s v="SS23"/>
    <n v="2847756"/>
    <n v="2565000"/>
    <d v="2024-06-08T00:00:00"/>
    <n v="182260"/>
    <s v="RWD1708"/>
    <x v="7"/>
    <x v="6"/>
    <s v="WACC"/>
    <n v="1708"/>
    <n v="1"/>
    <s v="Cash"/>
    <n v="8208000"/>
    <n v="7600000"/>
    <n v="0"/>
    <n v="0"/>
    <n v="0"/>
    <s v="Dao_Bui"/>
    <s v="MAL - ENGRAVED SILVER EARRINGS WITH 3 NATURAL STONES, VARIOUS CUT (EMERALD, ROUND, DROP CUT)  PERIDOT"/>
    <s v="Ms. Cao Thi Thanh Yen"/>
    <s v="OA0248/V1/PERIDOT"/>
    <n v="19"/>
    <s v="PERIDOT"/>
    <n v="8208000"/>
    <s v="U"/>
    <n v="7600000"/>
    <x v="36"/>
    <s v="0903333829"/>
    <n v="4752244"/>
    <x v="0"/>
    <x v="2"/>
  </r>
  <r>
    <x v="5"/>
    <x v="4"/>
    <n v="23"/>
    <s v="SS23"/>
    <s v="BRACELET"/>
    <s v="SS23"/>
    <n v="3383434"/>
    <n v="3435750"/>
    <d v="2024-06-08T00:00:00"/>
    <n v="182205"/>
    <s v="RWR8266"/>
    <x v="7"/>
    <x v="0"/>
    <s v="WACC"/>
    <n v="8266"/>
    <n v="1"/>
    <s v="Credit Card"/>
    <n v="10995000"/>
    <n v="10180556"/>
    <n v="0"/>
    <n v="0"/>
    <n v="0"/>
    <s v="Ha_Nguyen"/>
    <s v="MAL - ENGRAVED SILVER BANGLE WITH 2 NATURAL STONES, DROP CUT (7X10)  ROCK CRYSTAL - SMOKEY QUARTZ"/>
    <s v="Mrs. Phan Thi Chau Loan"/>
    <s v="BA0143/SMOKEY QUARTZ"/>
    <n v="16"/>
    <s v="SMOKEY QUARTZ -"/>
    <n v="10995000"/>
    <s v="U"/>
    <n v="10180556"/>
    <x v="21"/>
    <s v="0932140170"/>
    <n v="6797122"/>
    <x v="0"/>
    <x v="1"/>
  </r>
  <r>
    <x v="5"/>
    <x v="4"/>
    <n v="23"/>
    <s v="SS24"/>
    <s v="EARRINGS"/>
    <s v="SS24"/>
    <n v="59243382"/>
    <n v="57344375"/>
    <d v="2024-06-09T00:00:00"/>
    <n v="205084"/>
    <s v="RHN4432"/>
    <x v="6"/>
    <x v="1"/>
    <s v="WJEW"/>
    <n v="4432"/>
    <n v="1"/>
    <s v="Check"/>
    <n v="143820000"/>
    <n v="133166667"/>
    <n v="0"/>
    <n v="0"/>
    <n v="0"/>
    <s v="Huyen_Dang"/>
    <s v="GVC-PING GOLD P.OF EARRINGS W GOLD 15.05GR DIAMOND 0.79CT"/>
    <s v="Mrs. Pham Thanh Nga"/>
    <s v="B39745"/>
    <n v="15"/>
    <s v="GOLD/DIAMOND"/>
    <n v="143820000"/>
    <s v="U"/>
    <n v="133166667"/>
    <x v="30"/>
    <s v="0912195999"/>
    <n v="73923285"/>
    <x v="0"/>
    <x v="2"/>
  </r>
  <r>
    <x v="5"/>
    <x v="4"/>
    <n v="23"/>
    <s v="SS24"/>
    <s v="RING"/>
    <s v="SS24"/>
    <n v="97079781"/>
    <n v="93919375"/>
    <d v="2024-06-09T00:00:00"/>
    <n v="205099"/>
    <s v="RHN4432"/>
    <x v="6"/>
    <x v="1"/>
    <s v="WJEW"/>
    <n v="4432"/>
    <n v="1"/>
    <s v="Check"/>
    <n v="235550000"/>
    <n v="218101852"/>
    <n v="0"/>
    <n v="0"/>
    <n v="0"/>
    <s v="Huyen_Dang"/>
    <s v="GVC-WHITE GOLD RING W GOLD 18.10GR DIAMOND 1.85CT"/>
    <s v="Mrs. Pham Thanh Nga"/>
    <s v="AB17191"/>
    <n v="15"/>
    <s v="WHITE/DIAMOND"/>
    <n v="235550000"/>
    <n v="12"/>
    <n v="218101852"/>
    <x v="14"/>
    <s v="0912195999"/>
    <n v="121022071"/>
    <x v="0"/>
    <x v="1"/>
  </r>
  <r>
    <x v="5"/>
    <x v="4"/>
    <n v="23"/>
    <s v="FW24"/>
    <s v="EARRINGS"/>
    <s v="FW24"/>
    <n v="65899215"/>
    <n v="65047500"/>
    <d v="2024-06-09T00:00:00"/>
    <n v="209292"/>
    <s v="RWR8270"/>
    <x v="9"/>
    <x v="0"/>
    <s v="WJEW"/>
    <n v="8270"/>
    <n v="1"/>
    <s v="Credit Card"/>
    <n v="148945500"/>
    <n v="137912500"/>
    <n v="10"/>
    <n v="15323611"/>
    <n v="16549500"/>
    <s v="Nghia_Nguyen"/>
    <s v="VHN - EARCLIPS Calla The One Gold Gr 10,35  Acciaio Gr 0,10  14 Diamonds Ct 0,06"/>
    <s v="Mrs. Mary Yanson"/>
    <s v="0G1800B 310 A"/>
    <n v="16"/>
    <s v="GOLD"/>
    <n v="165495000"/>
    <s v="U"/>
    <n v="153236111"/>
    <x v="46"/>
    <s v="0368731523"/>
    <n v="72013285"/>
    <x v="0"/>
    <x v="1"/>
  </r>
  <r>
    <x v="5"/>
    <x v="4"/>
    <n v="24"/>
    <s v="FW24"/>
    <s v="RING"/>
    <s v="FW24"/>
    <n v="49760632"/>
    <n v="49117500"/>
    <d v="2024-06-10T00:00:00"/>
    <n v="209304"/>
    <s v="RHN4442"/>
    <x v="9"/>
    <x v="1"/>
    <s v="WJEW"/>
    <n v="4442"/>
    <n v="1"/>
    <s v="Account"/>
    <n v="133045000"/>
    <n v="123189815"/>
    <n v="0"/>
    <n v="0"/>
    <n v="0"/>
    <s v="Huyen_Dang"/>
    <s v="VHN - Ring Calla Media Gold Gr 11,50  Titanium Gr 0,45"/>
    <s v="Mrs. Pham Thanh Nga"/>
    <s v="0N1652A 160"/>
    <n v="15"/>
    <s v="GOLD"/>
    <n v="133045000"/>
    <n v="54"/>
    <n v="123189815"/>
    <x v="14"/>
    <s v="0912195999"/>
    <n v="73429183"/>
    <x v="0"/>
    <x v="1"/>
  </r>
  <r>
    <x v="5"/>
    <x v="4"/>
    <n v="24"/>
    <s v="FW24"/>
    <s v="BRACELET"/>
    <s v="FW24"/>
    <n v="100866145"/>
    <n v="99562500"/>
    <d v="2024-06-10T00:00:00"/>
    <n v="209305"/>
    <s v="RHN4442"/>
    <x v="9"/>
    <x v="1"/>
    <s v="WJEW"/>
    <n v="4442"/>
    <n v="1"/>
    <s v="Account"/>
    <n v="253110000"/>
    <n v="234361111"/>
    <n v="0"/>
    <n v="0"/>
    <n v="0"/>
    <s v="Huyen_Dang"/>
    <s v="VHN - Bracelet Calla Media Gold"/>
    <s v="Mrs. Pham Thanh Nga"/>
    <s v="0G1652BR313"/>
    <n v="15"/>
    <s v="GOLD"/>
    <n v="253110000"/>
    <s v="U"/>
    <n v="234361111"/>
    <x v="14"/>
    <s v="0912195999"/>
    <n v="133494966"/>
    <x v="0"/>
    <x v="1"/>
  </r>
  <r>
    <x v="5"/>
    <x v="4"/>
    <n v="24"/>
    <s v="FW24"/>
    <s v="EARRINGS"/>
    <s v="FW24"/>
    <n v="108935436"/>
    <n v="107527500"/>
    <d v="2024-06-10T00:00:00"/>
    <n v="209283"/>
    <s v="RHN4442"/>
    <x v="9"/>
    <x v="1"/>
    <s v="WJEW"/>
    <n v="4442"/>
    <n v="1"/>
    <s v="Account"/>
    <n v="272580000"/>
    <n v="252388889"/>
    <n v="0"/>
    <n v="0"/>
    <n v="0"/>
    <s v="Huyen_Dang"/>
    <s v="VHN - EARCLIPS Pirouette Gold Gr 26,95  White gold Gr 0,80"/>
    <s v="Mrs. Pham Thanh Nga"/>
    <s v="0N0623B 110 A"/>
    <n v="15"/>
    <s v="GOLD"/>
    <n v="272580000"/>
    <s v="U"/>
    <n v="252388889"/>
    <x v="14"/>
    <s v="0912195999"/>
    <n v="143453453"/>
    <x v="0"/>
    <x v="1"/>
  </r>
  <r>
    <x v="5"/>
    <x v="4"/>
    <n v="24"/>
    <s v="FW24"/>
    <s v="EARRINGS"/>
    <s v="FW24"/>
    <n v="87417325"/>
    <n v="86287500"/>
    <d v="2024-06-10T00:00:00"/>
    <n v="209323"/>
    <s v="RHN4442"/>
    <x v="9"/>
    <x v="1"/>
    <s v="WJEW"/>
    <n v="4442"/>
    <n v="1"/>
    <s v="Account"/>
    <n v="220660000"/>
    <n v="204314815"/>
    <n v="0"/>
    <n v="0"/>
    <n v="0"/>
    <s v="Huyen_Dang"/>
    <s v="VHN - EARCLIPS Tourbillon S Gold Gr 15,60  White gold Gr 3,80"/>
    <s v="Mrs. Pham Thanh Nga"/>
    <s v="PN1527B 101"/>
    <n v="15"/>
    <s v="GOLD"/>
    <n v="220660000"/>
    <s v="U"/>
    <n v="204314815"/>
    <x v="30"/>
    <s v="0912195999"/>
    <n v="116897490"/>
    <x v="0"/>
    <x v="2"/>
  </r>
  <r>
    <x v="5"/>
    <x v="4"/>
    <n v="24"/>
    <s v="FW24"/>
    <s v="EARRINGS"/>
    <s v="FW24"/>
    <n v="65899215"/>
    <n v="65047500"/>
    <d v="2024-06-10T00:00:00"/>
    <n v="209293"/>
    <s v="RHN4442"/>
    <x v="9"/>
    <x v="1"/>
    <s v="WJEW"/>
    <n v="4442"/>
    <n v="1"/>
    <s v="Account"/>
    <n v="165495000"/>
    <n v="153236111"/>
    <n v="0"/>
    <n v="0"/>
    <n v="0"/>
    <s v="Huyen_Dang"/>
    <s v="VHN - EARCLIPS Calla The One Gold Gr 11,00  Acciaio Gr 0,10  14 Diamonds Ct 0,05"/>
    <s v="Mrs. Pham Thanh Nga"/>
    <s v="0G1800B 310 B"/>
    <n v="15"/>
    <s v="GOLD"/>
    <n v="165495000"/>
    <s v="U"/>
    <n v="153236111"/>
    <x v="30"/>
    <s v="0912195999"/>
    <n v="87336896"/>
    <x v="0"/>
    <x v="2"/>
  </r>
  <r>
    <x v="5"/>
    <x v="4"/>
    <n v="24"/>
    <s v="FW24"/>
    <s v="RING"/>
    <s v="FW24"/>
    <n v="64554332"/>
    <n v="63720000"/>
    <d v="2024-06-10T00:00:00"/>
    <n v="209321"/>
    <s v="RHN4442"/>
    <x v="9"/>
    <x v="1"/>
    <s v="WJEW"/>
    <n v="4442"/>
    <n v="1"/>
    <s v="Account"/>
    <n v="165495000"/>
    <n v="153236111"/>
    <n v="0"/>
    <n v="0"/>
    <n v="0"/>
    <s v="Huyen_Dang"/>
    <s v="VHN - Ring Tourbillon S Gold Gr"/>
    <s v="Mrs. Pham Thanh Nga"/>
    <s v="PN1527A 101"/>
    <n v="15"/>
    <s v="GOLD"/>
    <n v="165495000"/>
    <n v="52"/>
    <n v="153236111"/>
    <x v="30"/>
    <s v="0912195999"/>
    <n v="88681779"/>
    <x v="0"/>
    <x v="2"/>
  </r>
  <r>
    <x v="5"/>
    <x v="4"/>
    <n v="24"/>
    <s v="FW24"/>
    <s v="EARRINGS"/>
    <s v="FW24"/>
    <n v="96831498"/>
    <n v="95580000"/>
    <d v="2024-06-10T00:00:00"/>
    <n v="209312"/>
    <s v="RHN4442"/>
    <x v="9"/>
    <x v="1"/>
    <s v="WJEW"/>
    <n v="4442"/>
    <n v="1"/>
    <s v="Account"/>
    <n v="243375000"/>
    <n v="225347222"/>
    <n v="0"/>
    <n v="0"/>
    <n v="0"/>
    <s v="Huyen_Dang"/>
    <s v="VHN - EARCLIPS Abbraccio S Gold"/>
    <s v="Mrs. Pham Thanh Nga"/>
    <s v="0N1511B 100 A"/>
    <n v="15"/>
    <s v="GOLD"/>
    <n v="243375000"/>
    <s v="U"/>
    <n v="225347222"/>
    <x v="30"/>
    <s v="0912195999"/>
    <n v="128515724"/>
    <x v="0"/>
    <x v="2"/>
  </r>
  <r>
    <x v="5"/>
    <x v="4"/>
    <n v="24"/>
    <s v="SS23"/>
    <s v="EARRINGS"/>
    <s v="SS23"/>
    <n v="46402707"/>
    <n v="43311750"/>
    <d v="2024-06-12T00:00:00"/>
    <n v="182559"/>
    <s v="RHN4461"/>
    <x v="2"/>
    <x v="1"/>
    <s v="WACC"/>
    <n v="4461"/>
    <n v="1"/>
    <s v="Check"/>
    <n v="115584000"/>
    <n v="107022222"/>
    <n v="0"/>
    <n v="0"/>
    <n v="0"/>
    <s v="Huyen_Dang"/>
    <s v="NAK - Petite Rose Studs: 0.76 cts Ethiopian opal, 0.42 cts spinel, 0.28 cts rubellite, 0.26 cts ruby,  and 20k recycled rose gold; 13.8 mm in length"/>
    <s v="Ms. Tran Thi Le Hai"/>
    <s v="10337-R/SPL/RBL-20R"/>
    <n v="18"/>
    <s v="RUBY + OPAL + RO"/>
    <n v="115584000"/>
    <s v="U"/>
    <n v="107022222"/>
    <x v="18"/>
    <s v="0913329999"/>
    <n v="60619515"/>
    <x v="0"/>
    <x v="2"/>
  </r>
  <r>
    <x v="5"/>
    <x v="4"/>
    <n v="24"/>
    <s v="SS23"/>
    <s v="NECKLACE"/>
    <s v="SS23"/>
    <n v="30187759"/>
    <n v="25542000"/>
    <d v="2024-06-12T00:00:00"/>
    <n v="186484"/>
    <s v="RHN4455"/>
    <x v="1"/>
    <x v="1"/>
    <s v="WACC"/>
    <n v="4455"/>
    <n v="1"/>
    <s v="Credit Card"/>
    <n v="78861400"/>
    <n v="73019815"/>
    <n v="5"/>
    <n v="3843148"/>
    <n v="4150600"/>
    <s v="Huyen_Dang"/>
    <s v="RM-PE ROBERTA 3 VP SP S ST S DIX CO 2R PE-C-ROBERTA3VP-2 Necklaces - Chain - With Setting Sterling Silver - Cognac Diamonds: 138p, 1.15ct"/>
    <s v="Mrs. Pham Thanh Nga"/>
    <s v="PE-000962"/>
    <n v="12"/>
    <s v="Cognac Diamonds"/>
    <n v="83012000"/>
    <s v="U"/>
    <n v="76862963"/>
    <x v="30"/>
    <s v="0912195999"/>
    <n v="42832056"/>
    <x v="0"/>
    <x v="2"/>
  </r>
  <r>
    <x v="5"/>
    <x v="4"/>
    <n v="24"/>
    <s v="SS23"/>
    <s v="EARRINGS"/>
    <s v="SS23"/>
    <n v="14022423"/>
    <n v="11868000"/>
    <d v="2024-06-12T00:00:00"/>
    <n v="186452"/>
    <s v="RHN4455"/>
    <x v="1"/>
    <x v="1"/>
    <s v="WACC"/>
    <n v="4455"/>
    <n v="1"/>
    <s v="Credit Card"/>
    <n v="36642450"/>
    <n v="33928194"/>
    <n v="5"/>
    <n v="1785694"/>
    <n v="1928550"/>
    <s v="Huyen_Dang"/>
    <s v="RM-BO 13 S ST C1½ S DIX IG  BO-C-13-2 Earrings - Setting Each Piece: Sterling Silver - Icy Grey Diamonds: 30p, 0.32ct"/>
    <s v="Mrs. Pham Thanh Nga"/>
    <s v="BO-000223"/>
    <n v="12"/>
    <s v="Icy Grey Diamond"/>
    <n v="38571000"/>
    <s v="U"/>
    <n v="35713889"/>
    <x v="30"/>
    <s v="0912195999"/>
    <n v="19905771"/>
    <x v="0"/>
    <x v="2"/>
  </r>
  <r>
    <x v="5"/>
    <x v="4"/>
    <n v="24"/>
    <s v="SS23"/>
    <s v="RING"/>
    <s v="SS23"/>
    <n v="15722373"/>
    <n v="13312800"/>
    <d v="2024-06-12T00:00:00"/>
    <n v="186469"/>
    <s v="RHN4455"/>
    <x v="1"/>
    <x v="1"/>
    <s v="WACC"/>
    <n v="4455"/>
    <n v="1"/>
    <s v="Credit Card"/>
    <n v="41103650"/>
    <n v="38058935"/>
    <n v="5"/>
    <n v="2003102"/>
    <n v="2163350"/>
    <s v="Huyen_Dang"/>
    <s v="RM-MALLOW R S S GY S DIX IG  (53) R-C-MALLOWR-6 Rings - With Setting Sterling Silver - Yellow Gold (18K) - Icy Grey Diamonds: 7p, 0.06ct"/>
    <s v="Mrs. Pham Thanh Nga"/>
    <s v="RG-023088"/>
    <n v="12"/>
    <s v="Yellow Gold, Icy"/>
    <n v="43267000"/>
    <s v="53/G3"/>
    <n v="40062037"/>
    <x v="30"/>
    <s v="0912195999"/>
    <n v="22336562"/>
    <x v="0"/>
    <x v="2"/>
  </r>
  <r>
    <x v="5"/>
    <x v="4"/>
    <n v="24"/>
    <s v="FW16"/>
    <s v="JEWELRY"/>
    <s v="FW16"/>
    <n v="9771300"/>
    <n v="9771300"/>
    <d v="2024-06-12T00:00:00"/>
    <n v="90572"/>
    <s v="RHN4455"/>
    <x v="1"/>
    <x v="1"/>
    <s v="WACC"/>
    <n v="4455"/>
    <n v="1"/>
    <s v="Credit Card"/>
    <n v="30942450"/>
    <n v="28650417"/>
    <n v="5"/>
    <n v="1507917"/>
    <n v="1628550"/>
    <s v="Huyen_Dang"/>
    <s v="RM TWISTED SILVER ROUND RING-TOP SILVER TREATED FRAME SET WITH ICY GREY DIAMONDS-MIDDLE SMOKY QUARTZ"/>
    <s v="Mrs. Pham Thanh Nga"/>
    <s v="TOVE(5)(TW) S-ST DIA"/>
    <n v="12"/>
    <s v="ICY GRIS(1)-S.QT"/>
    <n v="32571000"/>
    <n v="12"/>
    <n v="30158333"/>
    <x v="30"/>
    <s v="0912195999"/>
    <n v="18879117"/>
    <x v="0"/>
    <x v="2"/>
  </r>
  <r>
    <x v="5"/>
    <x v="4"/>
    <n v="24"/>
    <s v="SS24"/>
    <s v="RING"/>
    <s v="SS24"/>
    <n v="3501402"/>
    <n v="2616300"/>
    <d v="2024-06-12T00:00:00"/>
    <n v="202765"/>
    <s v="RHN4455"/>
    <x v="1"/>
    <x v="1"/>
    <s v="WJEW"/>
    <n v="4455"/>
    <n v="1"/>
    <s v="Credit Card"/>
    <n v="8236500"/>
    <n v="7626389"/>
    <n v="5"/>
    <n v="401389"/>
    <n v="433500"/>
    <s v="Huyen_Dang"/>
    <s v="ROM-MARILOO DIX SWQTZ (53) R-H-MARILOO-2 Rings - With Setting Silver - Strawberry Quartz: 1p, 0.78ct"/>
    <s v="Mrs. Pham Thanh Nga"/>
    <s v="RG-070798"/>
    <n v="12"/>
    <s v="Strawberry Quart"/>
    <n v="8670000"/>
    <n v="53"/>
    <n v="8027778"/>
    <x v="30"/>
    <s v="0912195999"/>
    <n v="4124987"/>
    <x v="0"/>
    <x v="2"/>
  </r>
  <r>
    <x v="5"/>
    <x v="4"/>
    <n v="24"/>
    <s v="SS23"/>
    <s v="RING"/>
    <s v="SS23"/>
    <n v="6280608"/>
    <n v="5314800"/>
    <d v="2024-06-12T00:00:00"/>
    <n v="186472"/>
    <s v="RHN4455"/>
    <x v="1"/>
    <x v="1"/>
    <s v="WACC"/>
    <n v="4455"/>
    <n v="1"/>
    <s v="Credit Card"/>
    <n v="16410300"/>
    <n v="15194722"/>
    <n v="5"/>
    <n v="799722"/>
    <n v="863700"/>
    <s v="Huyen_Dang"/>
    <s v="RM-NENA DIA 8X8 (51) R-C-NENA-4 Rings - With Setting Sterling Silver - 8X8 Cut Diamonds: 30p, 0.34ct"/>
    <s v="Mrs. Pham Thanh Nga"/>
    <s v="RG-048689"/>
    <n v="12"/>
    <s v="8x8 Cut Diamonds"/>
    <n v="17274000"/>
    <s v="51/G5"/>
    <n v="15994444"/>
    <x v="30"/>
    <s v="0912195999"/>
    <n v="8914114"/>
    <x v="0"/>
    <x v="2"/>
  </r>
  <r>
    <x v="5"/>
    <x v="4"/>
    <n v="24"/>
    <s v="SS24"/>
    <s v="EARRINGS"/>
    <s v="SS24"/>
    <n v="18034298"/>
    <n v="14002050"/>
    <d v="2024-06-13T00:00:00"/>
    <n v="202752"/>
    <s v="RHN4467"/>
    <x v="1"/>
    <x v="1"/>
    <s v="WJEW"/>
    <n v="4467"/>
    <n v="1"/>
    <s v="Credit Card"/>
    <n v="46399000"/>
    <n v="42962037"/>
    <n v="0"/>
    <n v="0"/>
    <n v="0"/>
    <s v="Ngoc_Nguyen"/>
    <s v="ROM-BO WIN 1 GY DIX CO 4P YELLOW GOLD 18K EARRRINGS - COGNAC DIAMONDS: 8P, 0.12CT"/>
    <s v="Mrs. Do Thi Phuong Lien"/>
    <s v="BO-000365"/>
    <n v="13"/>
    <s v="Gold, Cognac dia"/>
    <n v="46399000"/>
    <s v="U"/>
    <n v="42962037"/>
    <x v="3"/>
    <s v="0913508352"/>
    <n v="24927739"/>
    <x v="0"/>
    <x v="1"/>
  </r>
  <r>
    <x v="5"/>
    <x v="4"/>
    <n v="24"/>
    <s v="FW24"/>
    <s v="NECKLACE"/>
    <s v="FW24"/>
    <n v="131798429"/>
    <n v="130095000"/>
    <d v="2024-06-15T00:00:00"/>
    <n v="209306"/>
    <s v="RWR8295"/>
    <x v="9"/>
    <x v="0"/>
    <s v="WJEW"/>
    <n v="8295"/>
    <n v="1"/>
    <s v="Credit Card"/>
    <n v="296640000"/>
    <n v="274666667"/>
    <n v="11.25"/>
    <n v="34810185"/>
    <n v="37595000"/>
    <s v="Nghia_Nguyen"/>
    <s v="VHN - Necklace Calla Gold Gr 33,25  Gold Gr 1,35  10 Ebony Gr 44,65"/>
    <s v="Ms. Le Thi Thanh Mai"/>
    <s v="000648CL264 A"/>
    <n v="16"/>
    <s v="GOLD"/>
    <n v="334235000"/>
    <s v="U"/>
    <n v="309476852"/>
    <x v="23"/>
    <s v="0933530066"/>
    <n v="142868238"/>
    <x v="0"/>
    <x v="1"/>
  </r>
  <r>
    <x v="5"/>
    <x v="4"/>
    <n v="24"/>
    <s v="FW24"/>
    <s v="RING"/>
    <s v="FW24"/>
    <n v="32949607"/>
    <n v="32523750"/>
    <d v="2024-06-15T00:00:00"/>
    <n v="209286"/>
    <s v="RWR8293"/>
    <x v="9"/>
    <x v="0"/>
    <s v="WJEW"/>
    <n v="8293"/>
    <n v="1"/>
    <s v="Account"/>
    <n v="87615000"/>
    <n v="81125000"/>
    <n v="0"/>
    <n v="0"/>
    <n v="0"/>
    <s v="Nghia_Nguyen"/>
    <s v="VHN - Ring Calla The One Gold Gr 5,35  7 Diamonds Ct 0,02"/>
    <s v="Mrs. Le Thi Van"/>
    <s v="0G1800A 300"/>
    <n v="15"/>
    <s v="GOLD"/>
    <n v="87615000"/>
    <n v="50"/>
    <n v="81125000"/>
    <x v="6"/>
    <s v="0903803780"/>
    <n v="48175393"/>
    <x v="0"/>
    <x v="1"/>
  </r>
  <r>
    <x v="5"/>
    <x v="4"/>
    <n v="24"/>
    <s v="FW24"/>
    <s v="EARRINGS"/>
    <s v="FW24"/>
    <n v="65899215"/>
    <n v="65047500"/>
    <d v="2024-06-15T00:00:00"/>
    <n v="209293"/>
    <s v="RWR8293"/>
    <x v="9"/>
    <x v="0"/>
    <s v="WJEW"/>
    <n v="8293"/>
    <n v="1"/>
    <s v="Account"/>
    <n v="165495000"/>
    <n v="153236111"/>
    <n v="0"/>
    <n v="0"/>
    <n v="0"/>
    <s v="Nghia_Nguyen"/>
    <s v="VHN - EARCLIPS Calla The One Gold Gr 11,00  Acciaio Gr 0,10  14 Diamonds Ct 0,05"/>
    <s v="Mrs. Le Thi Van"/>
    <s v="0G1800B 310 B"/>
    <n v="15"/>
    <s v="GOLD"/>
    <n v="165495000"/>
    <s v="U"/>
    <n v="153236111"/>
    <x v="6"/>
    <s v="0903803780"/>
    <n v="87336896"/>
    <x v="0"/>
    <x v="1"/>
  </r>
  <r>
    <x v="5"/>
    <x v="4"/>
    <n v="24"/>
    <s v="FW24"/>
    <s v="RING"/>
    <s v="FW24"/>
    <n v="-32949607"/>
    <n v="-32523750"/>
    <d v="2024-06-15T00:00:00"/>
    <n v="209286"/>
    <s v="RWR8298"/>
    <x v="9"/>
    <x v="0"/>
    <s v="WJEW"/>
    <n v="8298"/>
    <n v="-1"/>
    <s v="None"/>
    <n v="-87615000"/>
    <n v="-81125000"/>
    <n v="0"/>
    <n v="0"/>
    <n v="0"/>
    <s v="Nghia_Nguyen"/>
    <s v="VHN - Ring Calla The One Gold Gr 5,35  7 Diamonds Ct 0,02"/>
    <s v="Mrs. Le Thi Van"/>
    <s v="0G1800A 300"/>
    <n v="17"/>
    <s v="GOLD"/>
    <n v="-87615000"/>
    <n v="50"/>
    <n v="-81125000"/>
    <x v="6"/>
    <s v="0903803780"/>
    <n v="-48175393"/>
    <x v="0"/>
    <x v="1"/>
  </r>
  <r>
    <x v="5"/>
    <x v="4"/>
    <n v="24"/>
    <s v="FW24"/>
    <s v="EARRINGS"/>
    <s v="FW24"/>
    <n v="-65899215"/>
    <n v="-65047500"/>
    <d v="2024-06-15T00:00:00"/>
    <n v="209293"/>
    <s v="RWR8298"/>
    <x v="9"/>
    <x v="0"/>
    <s v="WJEW"/>
    <n v="8298"/>
    <n v="-1"/>
    <s v="None"/>
    <n v="-165495000"/>
    <n v="-153236111"/>
    <n v="0"/>
    <n v="0"/>
    <n v="0"/>
    <s v="Nghia_Nguyen"/>
    <s v="VHN - EARCLIPS Calla The One Gold Gr 11,00  Acciaio Gr 0,10  14 Diamonds Ct 0,05"/>
    <s v="Mrs. Le Thi Van"/>
    <s v="0G1800B 310 B"/>
    <n v="17"/>
    <s v="GOLD"/>
    <n v="-165495000"/>
    <s v="U"/>
    <n v="-153236111"/>
    <x v="6"/>
    <s v="0903803780"/>
    <n v="-87336896"/>
    <x v="0"/>
    <x v="1"/>
  </r>
  <r>
    <x v="5"/>
    <x v="4"/>
    <n v="25"/>
    <s v="FW24"/>
    <s v="EARRINGS"/>
    <s v="FW24"/>
    <n v="65899215"/>
    <n v="65047500"/>
    <d v="2024-06-17T00:00:00"/>
    <n v="209294"/>
    <s v="RWR8311"/>
    <x v="9"/>
    <x v="0"/>
    <s v="WJEW"/>
    <n v="8311"/>
    <n v="1"/>
    <s v="Account"/>
    <n v="165495000"/>
    <n v="153236111"/>
    <n v="0"/>
    <n v="0"/>
    <n v="0"/>
    <s v="Nghia_Nguyen"/>
    <s v="VHN - EARCLIPS Calla The One Gold Gr 10,30  Acciaio Gr 0,10  14 Diamonds Ct 0,05"/>
    <s v="Mrs. Le Thi Van"/>
    <s v="0G1800B 310 C"/>
    <n v="15"/>
    <s v="GOLD"/>
    <n v="165495000"/>
    <s v="U"/>
    <n v="153236111"/>
    <x v="6"/>
    <s v="0903803780"/>
    <n v="87336896"/>
    <x v="0"/>
    <x v="1"/>
  </r>
  <r>
    <x v="5"/>
    <x v="4"/>
    <n v="25"/>
    <s v="SS24"/>
    <s v="EARRINGS"/>
    <s v="SS24"/>
    <n v="59243382"/>
    <n v="57344375"/>
    <d v="2024-06-20T00:00:00"/>
    <n v="205084"/>
    <s v="RHN4502"/>
    <x v="6"/>
    <x v="1"/>
    <s v="WJEW"/>
    <n v="4502"/>
    <n v="1"/>
    <s v="Credit Card"/>
    <n v="143820000"/>
    <n v="133166667"/>
    <n v="0"/>
    <n v="0"/>
    <n v="0"/>
    <s v="Ngoc_Nguyen"/>
    <s v="GVC-PING GOLD P.OF EARRINGS W GOLD 15.05GR DIAMOND 0.79CT"/>
    <s v="Mrs. Pham Thanh Nga"/>
    <s v="B39745"/>
    <n v="12"/>
    <s v="GOLD/DIAMOND"/>
    <n v="143820000"/>
    <s v="U"/>
    <n v="133166667"/>
    <x v="18"/>
    <s v="0912195999"/>
    <n v="73923285"/>
    <x v="0"/>
    <x v="2"/>
  </r>
  <r>
    <x v="5"/>
    <x v="4"/>
    <n v="25"/>
    <s v="SS24"/>
    <s v="EARRINGS"/>
    <s v="SS24"/>
    <n v="-102028015"/>
    <n v="-98752500"/>
    <d v="2024-06-20T00:00:00"/>
    <n v="205102"/>
    <s v="RHN4502"/>
    <x v="6"/>
    <x v="1"/>
    <s v="WJEW"/>
    <n v="4502"/>
    <n v="-1"/>
    <s v="Credit Card"/>
    <n v="-235288400"/>
    <n v="-217859630"/>
    <n v="5"/>
    <n v="-11466296"/>
    <n v="-12383600"/>
    <s v="Ngoc_Nguyen"/>
    <s v="GVC-WHITE GOLD P.OF EARRINGS W GOLD 17.30GR DIAMOND 1.96CT"/>
    <s v="Mrs. Pham Thanh Nga"/>
    <s v="BB39833"/>
    <n v="12"/>
    <s v="WHITE/DIAMOND"/>
    <n v="-247672000"/>
    <s v="U"/>
    <n v="-229325926"/>
    <x v="18"/>
    <s v="0912195999"/>
    <n v="-115831615"/>
    <x v="0"/>
    <x v="2"/>
  </r>
  <r>
    <x v="5"/>
    <x v="4"/>
    <n v="25"/>
    <s v="SS24"/>
    <s v="EARRINGS"/>
    <s v="SS24"/>
    <n v="-59243382"/>
    <n v="-57344375"/>
    <d v="2024-06-20T00:00:00"/>
    <n v="205084"/>
    <s v="RHN4501"/>
    <x v="6"/>
    <x v="1"/>
    <s v="WJEW"/>
    <n v="4501"/>
    <n v="-1"/>
    <s v="Credit Card"/>
    <n v="-143820000"/>
    <n v="-133166667"/>
    <n v="0"/>
    <n v="0"/>
    <n v="0"/>
    <s v="Ngoc_Nguyen"/>
    <s v="GVC-PING GOLD P.OF EARRINGS W GOLD 15.05GR DIAMOND 0.79CT"/>
    <s v="Mrs. Pham Thanh Nga"/>
    <s v="B39745"/>
    <n v="12"/>
    <s v="GOLD/DIAMOND"/>
    <n v="-143820000"/>
    <s v="U"/>
    <n v="-133166667"/>
    <x v="18"/>
    <s v="0912195999"/>
    <n v="-73923285"/>
    <x v="0"/>
    <x v="2"/>
  </r>
  <r>
    <x v="5"/>
    <x v="4"/>
    <n v="25"/>
    <s v="SS24"/>
    <s v="EARRINGS"/>
    <s v="SS24"/>
    <n v="102028015"/>
    <n v="98752500"/>
    <d v="2024-06-20T00:00:00"/>
    <n v="205102"/>
    <s v="RHN4501"/>
    <x v="6"/>
    <x v="1"/>
    <s v="WJEW"/>
    <n v="4501"/>
    <n v="1"/>
    <s v="Credit Card"/>
    <n v="235288400"/>
    <n v="217859630"/>
    <n v="5"/>
    <n v="11466296"/>
    <n v="12383600"/>
    <s v="Ngoc_Nguyen"/>
    <s v="GVC-WHITE GOLD P.OF EARRINGS W GOLD 17.30GR DIAMOND 1.96CT"/>
    <s v="Mrs. Pham Thanh Nga"/>
    <s v="BB39833"/>
    <n v="12"/>
    <s v="WHITE/DIAMOND"/>
    <n v="247672000"/>
    <s v="U"/>
    <n v="229325926"/>
    <x v="18"/>
    <s v="0912195999"/>
    <n v="115831615"/>
    <x v="0"/>
    <x v="2"/>
  </r>
  <r>
    <x v="5"/>
    <x v="4"/>
    <n v="25"/>
    <s v="SS24"/>
    <s v="EARRINGS"/>
    <s v="SS24"/>
    <n v="-59243382"/>
    <n v="-57344375"/>
    <d v="2024-06-20T00:00:00"/>
    <n v="205084"/>
    <s v="RHN4503"/>
    <x v="6"/>
    <x v="1"/>
    <s v="WJEW"/>
    <n v="4503"/>
    <n v="-1"/>
    <s v="Credit Card"/>
    <n v="-143820000"/>
    <n v="-133166667"/>
    <n v="0"/>
    <n v="0"/>
    <n v="0"/>
    <s v="Ngoc_Nguyen"/>
    <s v="GVC-PING GOLD P.OF EARRINGS W GOLD 15.05GR DIAMOND 0.79CT"/>
    <s v="Mrs. Pham Thanh Nga"/>
    <s v="B39745"/>
    <n v="12"/>
    <s v="GOLD/DIAMOND"/>
    <n v="-143820000"/>
    <s v="U"/>
    <n v="-133166667"/>
    <x v="30"/>
    <s v="0912195999"/>
    <n v="-73923285"/>
    <x v="0"/>
    <x v="2"/>
  </r>
  <r>
    <x v="5"/>
    <x v="4"/>
    <n v="25"/>
    <s v="SS24"/>
    <s v="EARRINGS"/>
    <s v="SS24"/>
    <n v="102028015"/>
    <n v="98752500"/>
    <d v="2024-06-20T00:00:00"/>
    <n v="205102"/>
    <s v="RHN4503"/>
    <x v="6"/>
    <x v="1"/>
    <s v="WJEW"/>
    <n v="4503"/>
    <n v="1"/>
    <s v="Credit Card"/>
    <n v="235288400"/>
    <n v="217859630"/>
    <n v="5"/>
    <n v="11466296"/>
    <n v="12383600"/>
    <s v="Ngoc_Nguyen"/>
    <s v="GVC-WHITE GOLD P.OF EARRINGS W GOLD 17.30GR DIAMOND 1.96CT"/>
    <s v="Mrs. Pham Thanh Nga"/>
    <s v="BB39833"/>
    <n v="12"/>
    <s v="WHITE/DIAMOND"/>
    <n v="247672000"/>
    <s v="U"/>
    <n v="229325926"/>
    <x v="18"/>
    <s v="0912195999"/>
    <n v="115831615"/>
    <x v="0"/>
    <x v="2"/>
  </r>
  <r>
    <x v="5"/>
    <x v="4"/>
    <n v="25"/>
    <s v="SS24"/>
    <s v="EARRINGS"/>
    <s v="SS24"/>
    <n v="54204629"/>
    <n v="52641875"/>
    <d v="2024-06-23T00:00:00"/>
    <n v="205094"/>
    <s v="RHN4524"/>
    <x v="6"/>
    <x v="1"/>
    <s v="WJEW"/>
    <n v="4524"/>
    <n v="1"/>
    <s v="Credit Card"/>
    <n v="125424700"/>
    <n v="116133981"/>
    <n v="5"/>
    <n v="6112315"/>
    <n v="6601300"/>
    <s v="Ngoc_Nguyen"/>
    <s v="GVC-WHITE GOLD P.OF EARRINGS W GOLD 10.40GR DIAMOND 0.90CT"/>
    <s v="Ms. Pham Thi Anh Tuyet"/>
    <s v="BB39166"/>
    <n v="18"/>
    <s v="WHITE/DIAMOND"/>
    <n v="132026000"/>
    <s v="U"/>
    <n v="122246296"/>
    <x v="3"/>
    <s v="0904005226"/>
    <n v="61929352"/>
    <x v="0"/>
    <x v="1"/>
  </r>
  <r>
    <x v="5"/>
    <x v="4"/>
    <n v="26"/>
    <s v="SS23"/>
    <s v="RING"/>
    <s v="SS23"/>
    <n v="10242840"/>
    <n v="8668800"/>
    <d v="2024-06-26T00:00:00"/>
    <n v="186466"/>
    <s v="RHN4537"/>
    <x v="1"/>
    <x v="1"/>
    <s v="WACC"/>
    <n v="4537"/>
    <n v="1"/>
    <s v="Account"/>
    <n v="25638340"/>
    <n v="23739204"/>
    <n v="9"/>
    <n v="2347833"/>
    <n v="2535660"/>
    <s v="Huyen_Dang"/>
    <s v="RM-JOANNE R S ST DIA IG (51) R-C-JOANNER-2 Rings - With Setting Sterling Silver - Icy Grey Diamonds: 52p, 0.5ct"/>
    <s v="Ms. Duong Thuy Linh"/>
    <s v="RG-047790"/>
    <n v="14"/>
    <s v="Icy Grey Diamond"/>
    <n v="28174000"/>
    <s v="51/G1"/>
    <n v="26087037"/>
    <x v="47"/>
    <s v="0914587765"/>
    <n v="13496364"/>
    <x v="0"/>
    <x v="0"/>
  </r>
  <r>
    <x v="5"/>
    <x v="4"/>
    <n v="26"/>
    <s v="SS24"/>
    <s v="NECKLACE"/>
    <s v="SS24"/>
    <n v="6982468"/>
    <n v="6498000"/>
    <d v="2024-06-26T00:00:00"/>
    <n v="208274"/>
    <s v="RHN4537"/>
    <x v="7"/>
    <x v="1"/>
    <s v="WACC"/>
    <n v="4537"/>
    <n v="1"/>
    <s v="Account"/>
    <n v="18922540"/>
    <n v="17520870"/>
    <n v="9"/>
    <n v="1732833"/>
    <n v="1871460"/>
    <s v="Huyen_Dang"/>
    <s v="LUI - NECKLACE IN MATTE ONYX 6 MM AND SILVER TASSEL"/>
    <s v="Ms. Duong Thuy Linh"/>
    <s v="CA0019"/>
    <n v="14"/>
    <s v="BLACK"/>
    <n v="20794000"/>
    <s v="U"/>
    <n v="19253704"/>
    <x v="47"/>
    <s v="0914587765"/>
    <n v="10538402"/>
    <x v="0"/>
    <x v="0"/>
  </r>
  <r>
    <x v="5"/>
    <x v="4"/>
    <n v="26"/>
    <s v="SS23"/>
    <s v="RING"/>
    <s v="SS23"/>
    <n v="17261243"/>
    <n v="14602800"/>
    <d v="2024-06-26T00:00:00"/>
    <n v="186489"/>
    <s v="RHN4537"/>
    <x v="1"/>
    <x v="1"/>
    <s v="WACC"/>
    <n v="4537"/>
    <n v="1"/>
    <s v="Account"/>
    <n v="43188600"/>
    <n v="39989444"/>
    <n v="9"/>
    <n v="3955000"/>
    <n v="4271400"/>
    <s v="Huyen_Dang"/>
    <s v="RM-ROMY VP S ST GY DIA CO (51) R-C-ROMYVP-2 Rings - With Setting Sterling Silver - Cognac Diamonds: 53p, 0.54ct - Yellow Gold (18K)"/>
    <s v="Ms. Duong Thuy Linh"/>
    <s v="RG-075637"/>
    <n v="14"/>
    <s v="Cognac Diamonds,"/>
    <n v="47460000"/>
    <s v="51/G7"/>
    <n v="43944444"/>
    <x v="47"/>
    <s v="0914587765"/>
    <n v="22728201"/>
    <x v="0"/>
    <x v="0"/>
  </r>
  <r>
    <x v="5"/>
    <x v="4"/>
    <n v="26"/>
    <s v="SS23"/>
    <s v="EARRINGS"/>
    <s v="SS23"/>
    <n v="108790221"/>
    <n v="101426250"/>
    <d v="2024-06-26T00:00:00"/>
    <n v="182560"/>
    <s v="RHN4537"/>
    <x v="2"/>
    <x v="1"/>
    <s v="WACC"/>
    <n v="4537"/>
    <n v="1"/>
    <s v="Account"/>
    <n v="246519000"/>
    <n v="228258333"/>
    <n v="9"/>
    <n v="22575000"/>
    <n v="24381000"/>
    <s v="Huyen_Dang"/>
    <s v="NAK - Ruffled Ear Lasso Earrings: 7.96 cts black spinel  rose gold; 1 5/8 inches in length"/>
    <s v="Ms. Duong Thuy Linh"/>
    <s v="10355-BSL-20R"/>
    <n v="14"/>
    <s v="BLACK SPINEL  RO"/>
    <n v="270900000"/>
    <s v="U"/>
    <n v="250833333"/>
    <x v="14"/>
    <s v="0914587765"/>
    <n v="119468112"/>
    <x v="0"/>
    <x v="1"/>
  </r>
  <r>
    <x v="5"/>
    <x v="4"/>
    <n v="26"/>
    <s v="SS12"/>
    <s v="JEWELRY"/>
    <s v="SS12"/>
    <n v="11048400"/>
    <n v="11048400"/>
    <d v="2024-06-26T00:00:00"/>
    <n v="37112"/>
    <s v="RHN4537"/>
    <x v="1"/>
    <x v="1"/>
    <s v="WACC"/>
    <n v="4537"/>
    <n v="1"/>
    <s v="Account"/>
    <n v="37603020"/>
    <n v="34817611"/>
    <n v="9"/>
    <n v="3443500"/>
    <n v="3718980"/>
    <s v="Huyen_Dang"/>
    <s v="RM Silver ring-top middle green"/>
    <s v="Ms. Duong Thuy Linh"/>
    <s v="BIKRAM (TH) DIX (TURM.)"/>
    <n v="14"/>
    <s v="Silver/green"/>
    <n v="41322000"/>
    <n v="11"/>
    <n v="38261111"/>
    <x v="47"/>
    <s v="0914587765"/>
    <n v="23769211"/>
    <x v="0"/>
    <x v="0"/>
  </r>
  <r>
    <x v="5"/>
    <x v="4"/>
    <n v="26"/>
    <s v="SS24"/>
    <s v="RING"/>
    <s v="SS24"/>
    <n v="5900511"/>
    <n v="4408950"/>
    <d v="2024-06-26T00:00:00"/>
    <n v="202759"/>
    <s v="RHN4537"/>
    <x v="1"/>
    <x v="1"/>
    <s v="WJEW"/>
    <n v="4537"/>
    <n v="1"/>
    <s v="Account"/>
    <n v="13296010"/>
    <n v="12311120"/>
    <n v="9"/>
    <n v="1217583"/>
    <n v="1314990"/>
    <s v="Huyen_Dang"/>
    <s v="ROM-ELVIA S GY (52) R-C-ELVIA-10 Rings - No Setting Silver - Yellow Gold (18K)"/>
    <s v="Ms. Duong Thuy Linh"/>
    <s v="RG-050131"/>
    <n v="14"/>
    <s v="YELLOW GOLD"/>
    <n v="14611000"/>
    <n v="52"/>
    <n v="13528704"/>
    <x v="47"/>
    <s v="0914587765"/>
    <n v="6410609"/>
    <x v="0"/>
    <x v="0"/>
  </r>
  <r>
    <x v="5"/>
    <x v="4"/>
    <n v="26"/>
    <s v="FW24"/>
    <s v="RING"/>
    <s v="FW24"/>
    <n v="49760632"/>
    <n v="49117500"/>
    <d v="2024-06-26T00:00:00"/>
    <n v="209304"/>
    <s v="RHN4533"/>
    <x v="9"/>
    <x v="1"/>
    <s v="WJEW"/>
    <n v="4533"/>
    <n v="1"/>
    <s v="Account"/>
    <n v="121070950"/>
    <n v="112102731"/>
    <n v="9"/>
    <n v="11087083"/>
    <n v="11974050"/>
    <s v="Huyen_Dang"/>
    <s v="VHN - Ring Calla Media Gold Gr 11,50  Titanium Gr 0,45"/>
    <s v="Mrs. Pham Thanh Nga"/>
    <s v="0N1652A 160"/>
    <n v="14"/>
    <s v="GOLD"/>
    <n v="133045000"/>
    <n v="54"/>
    <n v="123189815"/>
    <x v="14"/>
    <s v="0912195999"/>
    <n v="62342099"/>
    <x v="0"/>
    <x v="1"/>
  </r>
  <r>
    <x v="5"/>
    <x v="4"/>
    <n v="26"/>
    <s v="FW24"/>
    <s v="BRACELET"/>
    <s v="FW24"/>
    <n v="100866145"/>
    <n v="99562500"/>
    <d v="2024-06-26T00:00:00"/>
    <n v="209305"/>
    <s v="RHN4533"/>
    <x v="9"/>
    <x v="1"/>
    <s v="WJEW"/>
    <n v="4533"/>
    <n v="1"/>
    <s v="Account"/>
    <n v="230330100"/>
    <n v="213268611"/>
    <n v="9"/>
    <n v="21092500"/>
    <n v="22779900"/>
    <s v="Huyen_Dang"/>
    <s v="VHN - Bracelet Calla Media Gold"/>
    <s v="Mrs. Pham Thanh Nga"/>
    <s v="0G1652BR313"/>
    <n v="14"/>
    <s v="GOLD"/>
    <n v="253110000"/>
    <s v="U"/>
    <n v="234361111"/>
    <x v="14"/>
    <s v="0912195999"/>
    <n v="112402466"/>
    <x v="0"/>
    <x v="1"/>
  </r>
  <r>
    <x v="5"/>
    <x v="4"/>
    <n v="26"/>
    <s v="FW24"/>
    <s v="EARRINGS"/>
    <s v="FW24"/>
    <n v="87417325"/>
    <n v="86287500"/>
    <d v="2024-06-26T00:00:00"/>
    <n v="209323"/>
    <s v="RHN4533"/>
    <x v="9"/>
    <x v="1"/>
    <s v="WJEW"/>
    <n v="4533"/>
    <n v="1"/>
    <s v="Account"/>
    <n v="200800600"/>
    <n v="185926481"/>
    <n v="9"/>
    <n v="18388333"/>
    <n v="19859400"/>
    <s v="Huyen_Dang"/>
    <s v="VHN - EARCLIPS Tourbillon S Gold Gr 15,60  White gold Gr 3,80"/>
    <s v="Mrs. Pham Thanh Nga"/>
    <s v="PN1527B 101"/>
    <n v="14"/>
    <s v="GOLD"/>
    <n v="220660000"/>
    <s v="U"/>
    <n v="204314815"/>
    <x v="14"/>
    <s v="0912195999"/>
    <n v="98509156"/>
    <x v="0"/>
    <x v="1"/>
  </r>
  <r>
    <x v="5"/>
    <x v="4"/>
    <n v="26"/>
    <s v="FW24"/>
    <s v="EARRINGS"/>
    <s v="FW24"/>
    <n v="65899215"/>
    <n v="65047500"/>
    <d v="2024-06-26T00:00:00"/>
    <n v="209293"/>
    <s v="RHN4533"/>
    <x v="9"/>
    <x v="1"/>
    <s v="WJEW"/>
    <n v="4533"/>
    <n v="1"/>
    <s v="Account"/>
    <n v="150600450"/>
    <n v="139444861"/>
    <n v="9"/>
    <n v="13791250"/>
    <n v="14894550"/>
    <s v="Huyen_Dang"/>
    <s v="VHN - EARCLIPS Calla The One Gold Gr 11,00  Acciaio Gr 0,10  14 Diamonds Ct 0,05"/>
    <s v="Mrs. Pham Thanh Nga"/>
    <s v="0G1800B 310 B"/>
    <n v="14"/>
    <s v="GOLD"/>
    <n v="165495000"/>
    <s v="U"/>
    <n v="153236111"/>
    <x v="30"/>
    <s v="0912195999"/>
    <n v="73545646"/>
    <x v="0"/>
    <x v="2"/>
  </r>
  <r>
    <x v="5"/>
    <x v="4"/>
    <n v="26"/>
    <s v="FW24"/>
    <s v="RING"/>
    <s v="FW24"/>
    <n v="64554332"/>
    <n v="63720000"/>
    <d v="2024-06-26T00:00:00"/>
    <n v="209321"/>
    <s v="RHN4533"/>
    <x v="9"/>
    <x v="1"/>
    <s v="WJEW"/>
    <n v="4533"/>
    <n v="1"/>
    <s v="Account"/>
    <n v="150600450"/>
    <n v="139444861"/>
    <n v="9"/>
    <n v="13791250"/>
    <n v="14894550"/>
    <s v="Huyen_Dang"/>
    <s v="VHN - Ring Tourbillon S Gold Gr"/>
    <s v="Mrs. Pham Thanh Nga"/>
    <s v="PN1527A 101"/>
    <n v="14"/>
    <s v="GOLD"/>
    <n v="165495000"/>
    <n v="52"/>
    <n v="153236111"/>
    <x v="30"/>
    <s v="0912195999"/>
    <n v="74890529"/>
    <x v="0"/>
    <x v="2"/>
  </r>
  <r>
    <x v="5"/>
    <x v="4"/>
    <n v="26"/>
    <s v="FW24"/>
    <s v="EARRINGS"/>
    <s v="FW24"/>
    <n v="96831498"/>
    <n v="95580000"/>
    <d v="2024-06-26T00:00:00"/>
    <n v="209312"/>
    <s v="RHN4533"/>
    <x v="9"/>
    <x v="1"/>
    <s v="WJEW"/>
    <n v="4533"/>
    <n v="1"/>
    <s v="Account"/>
    <n v="221471250"/>
    <n v="205065972"/>
    <n v="9"/>
    <n v="20281250"/>
    <n v="21903750"/>
    <s v="Huyen_Dang"/>
    <s v="VHN - EARCLIPS Abbraccio S Gold"/>
    <s v="Mrs. Pham Thanh Nga"/>
    <s v="0N1511B 100 A"/>
    <n v="14"/>
    <s v="GOLD"/>
    <n v="243375000"/>
    <s v="U"/>
    <n v="225347222"/>
    <x v="30"/>
    <s v="0912195999"/>
    <n v="108234474"/>
    <x v="0"/>
    <x v="2"/>
  </r>
  <r>
    <x v="5"/>
    <x v="4"/>
    <n v="26"/>
    <s v="FW24"/>
    <s v="RING"/>
    <s v="FW24"/>
    <n v="-49760632"/>
    <n v="-49117500"/>
    <d v="2024-06-26T00:00:00"/>
    <n v="209304"/>
    <s v="RHN4532"/>
    <x v="9"/>
    <x v="1"/>
    <s v="WJEW"/>
    <n v="4532"/>
    <n v="-1"/>
    <s v="None"/>
    <n v="-133045000"/>
    <n v="-123189815"/>
    <n v="0"/>
    <n v="0"/>
    <n v="0"/>
    <s v="Huyen_Dang"/>
    <s v="VHN - Ring Calla Media Gold Gr 11,50  Titanium Gr 0,45"/>
    <s v="Mrs. Pham Thanh Nga"/>
    <s v="0N1652A 160"/>
    <n v="14"/>
    <s v="GOLD"/>
    <n v="-133045000"/>
    <n v="54"/>
    <n v="-123189815"/>
    <x v="14"/>
    <s v="0912195999"/>
    <n v="-73429183"/>
    <x v="0"/>
    <x v="1"/>
  </r>
  <r>
    <x v="5"/>
    <x v="4"/>
    <n v="26"/>
    <s v="FW24"/>
    <s v="BRACELET"/>
    <s v="FW24"/>
    <n v="-100866145"/>
    <n v="-99562500"/>
    <d v="2024-06-26T00:00:00"/>
    <n v="209305"/>
    <s v="RHN4532"/>
    <x v="9"/>
    <x v="1"/>
    <s v="WJEW"/>
    <n v="4532"/>
    <n v="-1"/>
    <s v="None"/>
    <n v="-253110000"/>
    <n v="-234361111"/>
    <n v="0"/>
    <n v="0"/>
    <n v="0"/>
    <s v="Huyen_Dang"/>
    <s v="VHN - Bracelet Calla Media Gold"/>
    <s v="Mrs. Pham Thanh Nga"/>
    <s v="0G1652BR313"/>
    <n v="14"/>
    <s v="GOLD"/>
    <n v="-253110000"/>
    <s v="U"/>
    <n v="-234361111"/>
    <x v="14"/>
    <s v="0912195999"/>
    <n v="-133494966"/>
    <x v="0"/>
    <x v="1"/>
  </r>
  <r>
    <x v="5"/>
    <x v="4"/>
    <n v="26"/>
    <s v="FW24"/>
    <s v="EARRINGS"/>
    <s v="FW24"/>
    <n v="-108935436"/>
    <n v="-107527500"/>
    <d v="2024-06-26T00:00:00"/>
    <n v="209283"/>
    <s v="RHN4532"/>
    <x v="9"/>
    <x v="1"/>
    <s v="WJEW"/>
    <n v="4532"/>
    <n v="-1"/>
    <s v="None"/>
    <n v="-272580000"/>
    <n v="-252388889"/>
    <n v="0"/>
    <n v="0"/>
    <n v="0"/>
    <s v="Huyen_Dang"/>
    <s v="VHN - EARCLIPS Pirouette Gold Gr 26,95  White gold Gr 0,80"/>
    <s v="Mrs. Pham Thanh Nga"/>
    <s v="0N0623B 110 A"/>
    <n v="14"/>
    <s v="GOLD"/>
    <n v="-272580000"/>
    <s v="U"/>
    <n v="-252388889"/>
    <x v="14"/>
    <s v="0912195999"/>
    <n v="-143453453"/>
    <x v="0"/>
    <x v="1"/>
  </r>
  <r>
    <x v="5"/>
    <x v="4"/>
    <n v="26"/>
    <s v="FW24"/>
    <s v="EARRINGS"/>
    <s v="FW24"/>
    <n v="-87417325"/>
    <n v="-86287500"/>
    <d v="2024-06-26T00:00:00"/>
    <n v="209323"/>
    <s v="RHN4532"/>
    <x v="9"/>
    <x v="1"/>
    <s v="WJEW"/>
    <n v="4532"/>
    <n v="-1"/>
    <s v="None"/>
    <n v="-220660000"/>
    <n v="-204314815"/>
    <n v="0"/>
    <n v="0"/>
    <n v="0"/>
    <s v="Huyen_Dang"/>
    <s v="VHN - EARCLIPS Tourbillon S Gold Gr 15,60  White gold Gr 3,80"/>
    <s v="Mrs. Pham Thanh Nga"/>
    <s v="PN1527B 101"/>
    <n v="14"/>
    <s v="GOLD"/>
    <n v="-220660000"/>
    <s v="U"/>
    <n v="-204314815"/>
    <x v="30"/>
    <s v="0912195999"/>
    <n v="-116897490"/>
    <x v="0"/>
    <x v="2"/>
  </r>
  <r>
    <x v="5"/>
    <x v="4"/>
    <n v="26"/>
    <s v="FW24"/>
    <s v="EARRINGS"/>
    <s v="FW24"/>
    <n v="-65899215"/>
    <n v="-65047500"/>
    <d v="2024-06-26T00:00:00"/>
    <n v="209293"/>
    <s v="RHN4532"/>
    <x v="9"/>
    <x v="1"/>
    <s v="WJEW"/>
    <n v="4532"/>
    <n v="-1"/>
    <s v="None"/>
    <n v="-165495000"/>
    <n v="-153236111"/>
    <n v="0"/>
    <n v="0"/>
    <n v="0"/>
    <s v="Huyen_Dang"/>
    <s v="VHN - EARCLIPS Calla The One Gold Gr 11,00  Acciaio Gr 0,10  14 Diamonds Ct 0,05"/>
    <s v="Mrs. Pham Thanh Nga"/>
    <s v="0G1800B 310 B"/>
    <n v="14"/>
    <s v="GOLD"/>
    <n v="-165495000"/>
    <s v="U"/>
    <n v="-153236111"/>
    <x v="30"/>
    <s v="0912195999"/>
    <n v="-87336896"/>
    <x v="0"/>
    <x v="2"/>
  </r>
  <r>
    <x v="5"/>
    <x v="4"/>
    <n v="26"/>
    <s v="FW24"/>
    <s v="RING"/>
    <s v="FW24"/>
    <n v="-64554332"/>
    <n v="-63720000"/>
    <d v="2024-06-26T00:00:00"/>
    <n v="209321"/>
    <s v="RHN4532"/>
    <x v="9"/>
    <x v="1"/>
    <s v="WJEW"/>
    <n v="4532"/>
    <n v="-1"/>
    <s v="None"/>
    <n v="-165495000"/>
    <n v="-153236111"/>
    <n v="0"/>
    <n v="0"/>
    <n v="0"/>
    <s v="Huyen_Dang"/>
    <s v="VHN - Ring Tourbillon S Gold Gr"/>
    <s v="Mrs. Pham Thanh Nga"/>
    <s v="PN1527A 101"/>
    <n v="14"/>
    <s v="GOLD"/>
    <n v="-165495000"/>
    <n v="52"/>
    <n v="-153236111"/>
    <x v="30"/>
    <s v="0912195999"/>
    <n v="-88681779"/>
    <x v="0"/>
    <x v="2"/>
  </r>
  <r>
    <x v="5"/>
    <x v="4"/>
    <n v="26"/>
    <s v="FW24"/>
    <s v="EARRINGS"/>
    <s v="FW24"/>
    <n v="-96831498"/>
    <n v="-95580000"/>
    <d v="2024-06-26T00:00:00"/>
    <n v="209312"/>
    <s v="RHN4532"/>
    <x v="9"/>
    <x v="1"/>
    <s v="WJEW"/>
    <n v="4532"/>
    <n v="-1"/>
    <s v="None"/>
    <n v="-243375000"/>
    <n v="-225347222"/>
    <n v="0"/>
    <n v="0"/>
    <n v="0"/>
    <s v="Huyen_Dang"/>
    <s v="VHN - EARCLIPS Abbraccio S Gold"/>
    <s v="Mrs. Pham Thanh Nga"/>
    <s v="0N1511B 100 A"/>
    <n v="14"/>
    <s v="GOLD"/>
    <n v="-243375000"/>
    <s v="U"/>
    <n v="-225347222"/>
    <x v="30"/>
    <s v="0912195999"/>
    <n v="-128515724"/>
    <x v="0"/>
    <x v="2"/>
  </r>
  <r>
    <x v="5"/>
    <x v="4"/>
    <n v="26"/>
    <s v="SS23"/>
    <s v="NECKLACE"/>
    <s v="SS23"/>
    <n v="30187759"/>
    <n v="25542000"/>
    <d v="2024-06-26T00:00:00"/>
    <n v="186484"/>
    <s v="RHN4535"/>
    <x v="1"/>
    <x v="1"/>
    <s v="WACC"/>
    <n v="4535"/>
    <n v="1"/>
    <s v="Account"/>
    <n v="72552488"/>
    <n v="67178230"/>
    <n v="12.6"/>
    <n v="9684733"/>
    <n v="10459512"/>
    <s v="Huyen_Dang"/>
    <s v="RM-PE ROBERTA 3 VP SP S ST S DIX CO 2R PE-C-ROBERTA3VP-2 Necklaces - Chain - With Setting Sterling Silver - Cognac Diamonds: 138p, 1.15ct"/>
    <s v="Mrs. Pham Thanh Nga"/>
    <s v="PE-000962"/>
    <n v="14"/>
    <s v="Cognac Diamonds"/>
    <n v="83012000"/>
    <s v="U"/>
    <n v="76862963"/>
    <x v="30"/>
    <s v="0912195999"/>
    <n v="36990471"/>
    <x v="0"/>
    <x v="2"/>
  </r>
  <r>
    <x v="5"/>
    <x v="4"/>
    <n v="26"/>
    <s v="SS23"/>
    <s v="EARRINGS"/>
    <s v="SS23"/>
    <n v="14022423"/>
    <n v="11868000"/>
    <d v="2024-06-26T00:00:00"/>
    <n v="186452"/>
    <s v="RHN4535"/>
    <x v="1"/>
    <x v="1"/>
    <s v="WACC"/>
    <n v="4535"/>
    <n v="1"/>
    <s v="Account"/>
    <n v="33711054"/>
    <n v="31213939"/>
    <n v="12.6"/>
    <n v="4499950"/>
    <n v="4859946"/>
    <s v="Huyen_Dang"/>
    <s v="RM-BO 13 S ST C1½ S DIX IG  BO-C-13-2 Earrings - Setting Each Piece: Sterling Silver - Icy Grey Diamonds: 30p, 0.32ct"/>
    <s v="Mrs. Pham Thanh Nga"/>
    <s v="BO-000223"/>
    <n v="14"/>
    <s v="Icy Grey Diamond"/>
    <n v="38571000"/>
    <s v="U"/>
    <n v="35713889"/>
    <x v="30"/>
    <s v="0912195999"/>
    <n v="17191516"/>
    <x v="0"/>
    <x v="2"/>
  </r>
  <r>
    <x v="5"/>
    <x v="4"/>
    <n v="26"/>
    <s v="SS23"/>
    <s v="RING"/>
    <s v="SS23"/>
    <n v="15722373"/>
    <n v="13312800"/>
    <d v="2024-06-26T00:00:00"/>
    <n v="186469"/>
    <s v="RHN4535"/>
    <x v="1"/>
    <x v="1"/>
    <s v="WACC"/>
    <n v="4535"/>
    <n v="1"/>
    <s v="Account"/>
    <n v="37815358"/>
    <n v="35014220"/>
    <n v="12.6"/>
    <n v="5047817"/>
    <n v="5451642"/>
    <s v="Huyen_Dang"/>
    <s v="RM-MALLOW R S S GY S DIX IG  (53) R-C-MALLOWR-6 Rings - With Setting Sterling Silver - Yellow Gold (18K) - Icy Grey Diamonds: 7p, 0.06ct"/>
    <s v="Mrs. Pham Thanh Nga"/>
    <s v="RG-023088"/>
    <n v="14"/>
    <s v="Yellow Gold, Icy"/>
    <n v="43267000"/>
    <s v="53/G3"/>
    <n v="40062037"/>
    <x v="30"/>
    <s v="0912195999"/>
    <n v="19291847"/>
    <x v="0"/>
    <x v="2"/>
  </r>
  <r>
    <x v="5"/>
    <x v="4"/>
    <n v="26"/>
    <s v="FW16"/>
    <s v="JEWELRY"/>
    <s v="FW16"/>
    <n v="9771300"/>
    <n v="9771300"/>
    <d v="2024-06-26T00:00:00"/>
    <n v="90572"/>
    <s v="RHN4535"/>
    <x v="1"/>
    <x v="1"/>
    <s v="WACC"/>
    <n v="4535"/>
    <n v="1"/>
    <s v="Account"/>
    <n v="28467054"/>
    <n v="26358383"/>
    <n v="12.6"/>
    <n v="3799950"/>
    <n v="4103946"/>
    <s v="Huyen_Dang"/>
    <s v="RM TWISTED SILVER ROUND RING-TOP SILVER TREATED FRAME SET WITH ICY GREY DIAMONDS-MIDDLE SMOKY QUARTZ"/>
    <s v="Mrs. Pham Thanh Nga"/>
    <s v="TOVE(5)(TW) S-ST DIA"/>
    <n v="14"/>
    <s v="ICY GRIS(1)-S.QT"/>
    <n v="32571000"/>
    <n v="12"/>
    <n v="30158333"/>
    <x v="30"/>
    <s v="0912195999"/>
    <n v="16587083"/>
    <x v="0"/>
    <x v="2"/>
  </r>
  <r>
    <x v="5"/>
    <x v="4"/>
    <n v="26"/>
    <s v="SS24"/>
    <s v="RING"/>
    <s v="SS24"/>
    <n v="3501402"/>
    <n v="2616300"/>
    <d v="2024-06-26T00:00:00"/>
    <n v="202765"/>
    <s v="RHN4535"/>
    <x v="1"/>
    <x v="1"/>
    <s v="WJEW"/>
    <n v="4535"/>
    <n v="1"/>
    <s v="Account"/>
    <n v="7577580"/>
    <n v="7016278"/>
    <n v="12.6"/>
    <n v="1011500"/>
    <n v="1092420"/>
    <s v="Huyen_Dang"/>
    <s v="ROM-MARILOO DIX SWQTZ (53) R-H-MARILOO-2 Rings - With Setting Silver - Strawberry Quartz: 1p, 0.78ct"/>
    <s v="Mrs. Pham Thanh Nga"/>
    <s v="RG-070798"/>
    <n v="14"/>
    <s v="Strawberry Quart"/>
    <n v="8670000"/>
    <n v="53"/>
    <n v="8027778"/>
    <x v="30"/>
    <s v="0912195999"/>
    <n v="3514876"/>
    <x v="0"/>
    <x v="2"/>
  </r>
  <r>
    <x v="5"/>
    <x v="4"/>
    <n v="26"/>
    <s v="SS23"/>
    <s v="RING"/>
    <s v="SS23"/>
    <n v="6280608"/>
    <n v="5314800"/>
    <d v="2024-06-26T00:00:00"/>
    <n v="186472"/>
    <s v="RHN4535"/>
    <x v="1"/>
    <x v="1"/>
    <s v="WACC"/>
    <n v="4535"/>
    <n v="1"/>
    <s v="Account"/>
    <n v="15097476"/>
    <n v="13979144"/>
    <n v="12.6"/>
    <n v="2015300"/>
    <n v="2176524"/>
    <s v="Huyen_Dang"/>
    <s v="RM-NENA DIA 8X8 (51) R-C-NENA-4 Rings - With Setting Sterling Silver - 8X8 Cut Diamonds: 30p, 0.34ct"/>
    <s v="Mrs. Pham Thanh Nga"/>
    <s v="RG-048689"/>
    <n v="14"/>
    <s v="8x8 Cut Diamonds"/>
    <n v="17274000"/>
    <s v="51/G5"/>
    <n v="15994444"/>
    <x v="30"/>
    <s v="0912195999"/>
    <n v="7698536"/>
    <x v="0"/>
    <x v="2"/>
  </r>
  <r>
    <x v="5"/>
    <x v="4"/>
    <n v="26"/>
    <s v="SS23"/>
    <s v="NECKLACE"/>
    <s v="SS23"/>
    <n v="-30187759"/>
    <n v="-25542000"/>
    <d v="2024-06-26T00:00:00"/>
    <n v="186484"/>
    <s v="RHN4534"/>
    <x v="1"/>
    <x v="1"/>
    <s v="WACC"/>
    <n v="4534"/>
    <n v="-1"/>
    <s v="None"/>
    <n v="-78861400"/>
    <n v="-73019815"/>
    <n v="5"/>
    <n v="-3843148"/>
    <n v="-4150600"/>
    <s v="Huyen_Dang"/>
    <s v="RM-PE ROBERTA 3 VP SP S ST S DIX CO 2R PE-C-ROBERTA3VP-2 Necklaces - Chain - With Setting Sterling Silver - Cognac Diamonds: 138p, 1.15ct"/>
    <s v="Mrs. Pham Thanh Nga"/>
    <s v="PE-000962"/>
    <n v="14"/>
    <s v="Cognac Diamonds"/>
    <n v="-83012000"/>
    <s v="U"/>
    <n v="-76862963"/>
    <x v="30"/>
    <s v="0912195999"/>
    <n v="-42832056"/>
    <x v="0"/>
    <x v="2"/>
  </r>
  <r>
    <x v="5"/>
    <x v="4"/>
    <n v="26"/>
    <s v="SS23"/>
    <s v="EARRINGS"/>
    <s v="SS23"/>
    <n v="-14022423"/>
    <n v="-11868000"/>
    <d v="2024-06-26T00:00:00"/>
    <n v="186452"/>
    <s v="RHN4534"/>
    <x v="1"/>
    <x v="1"/>
    <s v="WACC"/>
    <n v="4534"/>
    <n v="-1"/>
    <s v="None"/>
    <n v="-36642450"/>
    <n v="-33928194"/>
    <n v="5"/>
    <n v="-1785694"/>
    <n v="-1928550"/>
    <s v="Huyen_Dang"/>
    <s v="RM-BO 13 S ST C1½ S DIX IG  BO-C-13-2 Earrings - Setting Each Piece: Sterling Silver - Icy Grey Diamonds: 30p, 0.32ct"/>
    <s v="Mrs. Pham Thanh Nga"/>
    <s v="BO-000223"/>
    <n v="14"/>
    <s v="Icy Grey Diamond"/>
    <n v="-38571000"/>
    <s v="U"/>
    <n v="-35713889"/>
    <x v="30"/>
    <s v="0912195999"/>
    <n v="-19905771"/>
    <x v="0"/>
    <x v="2"/>
  </r>
  <r>
    <x v="5"/>
    <x v="4"/>
    <n v="26"/>
    <s v="SS23"/>
    <s v="RING"/>
    <s v="SS23"/>
    <n v="-15722373"/>
    <n v="-13312800"/>
    <d v="2024-06-26T00:00:00"/>
    <n v="186469"/>
    <s v="RHN4534"/>
    <x v="1"/>
    <x v="1"/>
    <s v="WACC"/>
    <n v="4534"/>
    <n v="-1"/>
    <s v="None"/>
    <n v="-41103650"/>
    <n v="-38058935"/>
    <n v="5"/>
    <n v="-2003102"/>
    <n v="-2163350"/>
    <s v="Huyen_Dang"/>
    <s v="RM-MALLOW R S S GY S DIX IG  (53) R-C-MALLOWR-6 Rings - With Setting Sterling Silver - Yellow Gold (18K) - Icy Grey Diamonds: 7p, 0.06ct"/>
    <s v="Mrs. Pham Thanh Nga"/>
    <s v="RG-023088"/>
    <n v="14"/>
    <s v="Yellow Gold, Icy"/>
    <n v="-43267000"/>
    <s v="53/G3"/>
    <n v="-40062037"/>
    <x v="30"/>
    <s v="0912195999"/>
    <n v="-22336562"/>
    <x v="0"/>
    <x v="2"/>
  </r>
  <r>
    <x v="5"/>
    <x v="4"/>
    <n v="26"/>
    <s v="FW16"/>
    <s v="JEWELRY"/>
    <s v="FW16"/>
    <n v="-9771300"/>
    <n v="-9771300"/>
    <d v="2024-06-26T00:00:00"/>
    <n v="90572"/>
    <s v="RHN4534"/>
    <x v="1"/>
    <x v="1"/>
    <s v="WACC"/>
    <n v="4534"/>
    <n v="-1"/>
    <s v="None"/>
    <n v="-30942450"/>
    <n v="-28650417"/>
    <n v="5"/>
    <n v="-1507917"/>
    <n v="-1628550"/>
    <s v="Huyen_Dang"/>
    <s v="RM TWISTED SILVER ROUND RING-TOP SILVER TREATED FRAME SET WITH ICY GREY DIAMONDS-MIDDLE SMOKY QUARTZ"/>
    <s v="Mrs. Pham Thanh Nga"/>
    <s v="TOVE(5)(TW) S-ST DIA"/>
    <n v="14"/>
    <s v="ICY GRIS(1)-S.QT"/>
    <n v="-32571000"/>
    <n v="12"/>
    <n v="-30158333"/>
    <x v="30"/>
    <s v="0912195999"/>
    <n v="-18879117"/>
    <x v="0"/>
    <x v="2"/>
  </r>
  <r>
    <x v="5"/>
    <x v="4"/>
    <n v="26"/>
    <s v="SS24"/>
    <s v="RING"/>
    <s v="SS24"/>
    <n v="-3501402"/>
    <n v="-2616300"/>
    <d v="2024-06-26T00:00:00"/>
    <n v="202765"/>
    <s v="RHN4534"/>
    <x v="1"/>
    <x v="1"/>
    <s v="WJEW"/>
    <n v="4534"/>
    <n v="-1"/>
    <s v="None"/>
    <n v="-8236500"/>
    <n v="-7626389"/>
    <n v="5"/>
    <n v="-401389"/>
    <n v="-433500"/>
    <s v="Huyen_Dang"/>
    <s v="ROM-MARILOO DIX SWQTZ (53) R-H-MARILOO-2 Rings - With Setting Silver - Strawberry Quartz: 1p, 0.78ct"/>
    <s v="Mrs. Pham Thanh Nga"/>
    <s v="RG-070798"/>
    <n v="14"/>
    <s v="Strawberry Quart"/>
    <n v="-8670000"/>
    <n v="53"/>
    <n v="-8027778"/>
    <x v="30"/>
    <s v="0912195999"/>
    <n v="-4124987"/>
    <x v="0"/>
    <x v="2"/>
  </r>
  <r>
    <x v="5"/>
    <x v="4"/>
    <n v="26"/>
    <s v="SS23"/>
    <s v="RING"/>
    <s v="SS23"/>
    <n v="-6280608"/>
    <n v="-5314800"/>
    <d v="2024-06-26T00:00:00"/>
    <n v="186472"/>
    <s v="RHN4534"/>
    <x v="1"/>
    <x v="1"/>
    <s v="WACC"/>
    <n v="4534"/>
    <n v="-1"/>
    <s v="None"/>
    <n v="-16410300"/>
    <n v="-15194722"/>
    <n v="5"/>
    <n v="-799722"/>
    <n v="-863700"/>
    <s v="Huyen_Dang"/>
    <s v="RM-NENA DIA 8X8 (51) R-C-NENA-4 Rings - With Setting Sterling Silver - 8X8 Cut Diamonds: 30p, 0.34ct"/>
    <s v="Mrs. Pham Thanh Nga"/>
    <s v="RG-048689"/>
    <n v="14"/>
    <s v="8x8 Cut Diamonds"/>
    <n v="-17274000"/>
    <s v="51/G5"/>
    <n v="-15994444"/>
    <x v="30"/>
    <s v="0912195999"/>
    <n v="-8914114"/>
    <x v="0"/>
    <x v="2"/>
  </r>
  <r>
    <x v="5"/>
    <x v="4"/>
    <n v="26"/>
    <s v="FW24"/>
    <s v="NECKLACE"/>
    <s v="FW24"/>
    <n v="149954336"/>
    <n v="148016250"/>
    <d v="2024-06-26T00:00:00"/>
    <n v="209324"/>
    <s v="RHN4551"/>
    <x v="9"/>
    <x v="1"/>
    <s v="WJEW"/>
    <n v="4551"/>
    <n v="1"/>
    <s v="Account"/>
    <n v="383883500"/>
    <n v="355447685"/>
    <n v="9"/>
    <n v="35154167"/>
    <n v="37966500"/>
    <s v="Huyen_Dang"/>
    <s v="VHN - Chain Pop Gold Gr 35,20  10 Ebony Gr 21,65"/>
    <s v="Ms. Nikita Chu"/>
    <s v="001266CL280 A"/>
    <n v="15"/>
    <s v="GOLD"/>
    <n v="421850000"/>
    <s v="U"/>
    <n v="390601852"/>
    <x v="1"/>
    <s v="0973749931"/>
    <n v="205493349"/>
    <x v="0"/>
    <x v="0"/>
  </r>
  <r>
    <x v="5"/>
    <x v="4"/>
    <n v="26"/>
    <s v="FW24"/>
    <s v="RING"/>
    <s v="FW24"/>
    <n v="129108666"/>
    <n v="127440000"/>
    <d v="2024-06-26T00:00:00"/>
    <n v="209311"/>
    <s v="RHN4555"/>
    <x v="9"/>
    <x v="1"/>
    <s v="WJEW"/>
    <n v="4555"/>
    <n v="1"/>
    <s v="Account"/>
    <n v="298247950"/>
    <n v="276155509"/>
    <n v="9"/>
    <n v="27312083"/>
    <n v="29497050"/>
    <s v="Huyen_Dang"/>
    <s v="VHN - Ring Abbraccio S White gold Gr 18,20  75 Diamonds Ct 0,64"/>
    <s v="Ms. Nikita Chu"/>
    <s v="PG1511A 365"/>
    <n v="17"/>
    <s v="GOLD"/>
    <n v="327745000"/>
    <n v="53"/>
    <n v="303467593"/>
    <x v="1"/>
    <s v="0973749931"/>
    <n v="147046843"/>
    <x v="0"/>
    <x v="0"/>
  </r>
  <r>
    <x v="5"/>
    <x v="4"/>
    <n v="26"/>
    <s v="FW24"/>
    <s v="NECKLACE"/>
    <s v="FW24"/>
    <n v="131798429"/>
    <n v="130095000"/>
    <d v="2024-06-26T00:00:00"/>
    <n v="209307"/>
    <s v="RHN4549"/>
    <x v="9"/>
    <x v="1"/>
    <s v="WJEW"/>
    <n v="4549"/>
    <n v="1"/>
    <s v="Account"/>
    <n v="304153850"/>
    <n v="281623935"/>
    <n v="9"/>
    <n v="27852917"/>
    <n v="30081150"/>
    <s v="Huyen_Dang"/>
    <s v="VHN - Necklace Calla Gold Gr 32,95  Gold Gr 1,35  10 Ebony Gr 44,80"/>
    <s v="Ms. Nikita Chu"/>
    <s v="000648CL264 B"/>
    <n v="15"/>
    <s v="GOLD"/>
    <n v="334235000"/>
    <s v="U"/>
    <n v="309476852"/>
    <x v="1"/>
    <s v="0973749931"/>
    <n v="149825506"/>
    <x v="0"/>
    <x v="0"/>
  </r>
  <r>
    <x v="5"/>
    <x v="4"/>
    <n v="26"/>
    <s v="FW24"/>
    <s v="EARRINGS"/>
    <s v="FW24"/>
    <n v="96831498"/>
    <n v="95580000"/>
    <d v="2024-06-30T00:00:00"/>
    <n v="209313"/>
    <s v="RWR8350"/>
    <x v="9"/>
    <x v="0"/>
    <s v="WJEW"/>
    <n v="8350"/>
    <n v="1"/>
    <s v="Account"/>
    <n v="231206250"/>
    <n v="214079861"/>
    <n v="5"/>
    <n v="11267361"/>
    <n v="12168750"/>
    <s v="Nghia_Nguyen"/>
    <s v="VHN - EARCLIPS Abbraccio S Gold"/>
    <s v="Mrs. Le Thi Van"/>
    <s v="0N1511B 100 B"/>
    <n v="11"/>
    <s v="GOLD"/>
    <n v="243375000"/>
    <s v="U"/>
    <n v="225347222"/>
    <x v="15"/>
    <s v="0903803780"/>
    <n v="117248363"/>
    <x v="0"/>
    <x v="1"/>
  </r>
  <r>
    <x v="5"/>
    <x v="10"/>
    <n v="27"/>
    <s v="SS23"/>
    <s v="EARRINGS"/>
    <s v="SS23"/>
    <n v="20675523"/>
    <n v="17492400"/>
    <d v="2024-07-01T00:00:00"/>
    <n v="186451"/>
    <s v="RHN4574"/>
    <x v="1"/>
    <x v="1"/>
    <s v="WACC"/>
    <n v="4574"/>
    <n v="1"/>
    <s v="Cash"/>
    <n v="56851000"/>
    <n v="52639815"/>
    <n v="0"/>
    <n v="0"/>
    <n v="0"/>
    <s v="Ngoc_Nguyen"/>
    <s v="RM-BO 13 S ST C1½ GY DIX CO BO-C-13-6 Earrings - Setting Each Piece: Sterling Silver - Yellow Gold (18K) - Cognac Diamonds: 30p, 0.32ct"/>
    <s v="Tran Thi Minh Vy"/>
    <s v="BO-000603"/>
    <n v="16"/>
    <s v="Yellow Gold, Cog"/>
    <n v="56851000"/>
    <s v="U"/>
    <n v="52639815"/>
    <x v="14"/>
    <s v="0904399159"/>
    <n v="31964292"/>
    <x v="0"/>
    <x v="1"/>
  </r>
  <r>
    <x v="5"/>
    <x v="10"/>
    <n v="28"/>
    <s v="FW24"/>
    <s v="NECKLACE"/>
    <s v="FW24"/>
    <n v="1494675"/>
    <n v="1376173.8"/>
    <d v="2024-07-08T00:00:00"/>
    <n v="205011"/>
    <s v="RWT7176"/>
    <x v="4"/>
    <x v="4"/>
    <s v="WJEW"/>
    <n v="7176"/>
    <n v="1"/>
    <s v="Cash"/>
    <n v="8258000"/>
    <n v="7646296"/>
    <n v="0"/>
    <n v="0"/>
    <n v="0"/>
    <s v="Chau_Vuong"/>
    <s v="GEO-PEARL NECKLACE"/>
    <s v="Mrs. Nguyen Thi Mai Huong"/>
    <n v="14"/>
    <n v="17"/>
    <s v="PEARL"/>
    <n v="8258000"/>
    <s v="OS"/>
    <n v="7646296"/>
    <x v="26"/>
    <s v="0908402668"/>
    <n v="6151621"/>
    <x v="0"/>
    <x v="0"/>
  </r>
  <r>
    <x v="5"/>
    <x v="10"/>
    <n v="28"/>
    <s v="SS24"/>
    <s v="NECKLACE"/>
    <s v="SS24"/>
    <n v="3064181"/>
    <n v="2850000"/>
    <d v="2024-07-09T00:00:00"/>
    <n v="208309"/>
    <s v="RWR8380"/>
    <x v="7"/>
    <x v="0"/>
    <s v="WACC"/>
    <n v="8380"/>
    <n v="1"/>
    <s v="Debit Card"/>
    <n v="9120000"/>
    <n v="8444444"/>
    <n v="0"/>
    <n v="0"/>
    <n v="0"/>
    <s v="Ha_Nguyen"/>
    <s v="LUI - SILVER NECKLACE CARVED WITH NAVETTE STONES (8X4) SPINEL - LETTER T"/>
    <s v="Mrs. Nguyen Thi Thanh"/>
    <s v="CA0276/AG T"/>
    <n v="10"/>
    <s v="BLACK"/>
    <n v="9120000"/>
    <s v="U"/>
    <n v="8444444"/>
    <x v="4"/>
    <s v="0909558899"/>
    <n v="5380263"/>
    <x v="0"/>
    <x v="1"/>
  </r>
  <r>
    <x v="5"/>
    <x v="10"/>
    <n v="28"/>
    <s v="SS24"/>
    <s v="NECKLACE"/>
    <s v="SS24"/>
    <n v="3064181"/>
    <n v="2850000"/>
    <d v="2024-07-09T00:00:00"/>
    <n v="208312"/>
    <s v="RWR8380"/>
    <x v="7"/>
    <x v="0"/>
    <s v="WACC"/>
    <n v="8380"/>
    <n v="1"/>
    <s v="Debit Card"/>
    <n v="9120000"/>
    <n v="8444444"/>
    <n v="0"/>
    <n v="0"/>
    <n v="0"/>
    <s v="Ha_Nguyen"/>
    <s v="LUI - SILVER NECKLACE CARVED WITH NAVETTE STONES (8X4) LEMON QUARTZ - LETTER M"/>
    <s v="Mrs. Nguyen Thi Thanh"/>
    <s v="CA0276/AG M"/>
    <n v="10"/>
    <s v="LIGHT YELLOW"/>
    <n v="9120000"/>
    <s v="U"/>
    <n v="8444444"/>
    <x v="4"/>
    <s v="0909558899"/>
    <n v="5380263"/>
    <x v="0"/>
    <x v="1"/>
  </r>
  <r>
    <x v="5"/>
    <x v="10"/>
    <n v="28"/>
    <s v="FW23"/>
    <s v="RING"/>
    <s v="FW23"/>
    <n v="45407407"/>
    <n v="40469880"/>
    <d v="2024-07-09T00:00:00"/>
    <n v="193096"/>
    <s v="RWR8380"/>
    <x v="0"/>
    <x v="0"/>
    <s v="WACC"/>
    <n v="8380"/>
    <n v="1"/>
    <s v="Debit Card"/>
    <n v="101175000"/>
    <n v="93680556"/>
    <n v="0"/>
    <n v="0"/>
    <n v="0"/>
    <s v="Ha_Nguyen"/>
    <s v="SPK - CUSTOM ENZO  -2.8mm silver, 3.6mm silver black diamonds, 3.8mm silver with burnished black diamonds, yellow gold connectors"/>
    <s v="Mrs. Nguyen Thi Thanh"/>
    <s v="G2-ENZSGNOIRCUST"/>
    <n v="10"/>
    <s v="BLACK + SILVER +"/>
    <n v="101175000"/>
    <n v="6"/>
    <n v="93680556"/>
    <x v="4"/>
    <s v="0909558899"/>
    <n v="48273149"/>
    <x v="0"/>
    <x v="1"/>
  </r>
  <r>
    <x v="5"/>
    <x v="10"/>
    <n v="28"/>
    <s v="FW24"/>
    <s v="NECKLACE"/>
    <s v="FW24"/>
    <n v="-1494675"/>
    <n v="-1376173.8"/>
    <d v="2024-07-09T00:00:00"/>
    <n v="205011"/>
    <s v="RWT7185"/>
    <x v="4"/>
    <x v="4"/>
    <s v="WJEW"/>
    <n v="7185"/>
    <n v="-1"/>
    <s v="Cash"/>
    <n v="-8258000"/>
    <n v="-7646296"/>
    <n v="0"/>
    <n v="0"/>
    <n v="0"/>
    <s v="Chau_Vuong"/>
    <s v="GEO-PEARL NECKLACE"/>
    <s v="Mrs. Nguyen Thi Mai Huong"/>
    <n v="14"/>
    <n v="16"/>
    <s v="PEARL"/>
    <n v="-8258000"/>
    <s v="OS"/>
    <n v="-7646296"/>
    <x v="48"/>
    <s v="0908402668"/>
    <n v="-6151621"/>
    <x v="0"/>
    <x v="0"/>
  </r>
  <r>
    <x v="5"/>
    <x v="10"/>
    <n v="28"/>
    <s v="FW24"/>
    <s v="NECKLACE"/>
    <s v="FW24"/>
    <n v="1836333"/>
    <n v="1732959.5999999999"/>
    <d v="2024-07-09T00:00:00"/>
    <n v="204998"/>
    <s v="RWT7185"/>
    <x v="4"/>
    <x v="4"/>
    <s v="WJEW"/>
    <n v="7185"/>
    <n v="1"/>
    <s v="Cash"/>
    <n v="10398000"/>
    <n v="9627778"/>
    <n v="0"/>
    <n v="0"/>
    <n v="0"/>
    <s v="Chau_Vuong"/>
    <s v="GEO-EMATOIDE NECKLACE"/>
    <s v="Mrs. Nguyen Thi Mai Huong"/>
    <n v="1"/>
    <n v="16"/>
    <s v="PINK"/>
    <n v="10398000"/>
    <s v="OS"/>
    <n v="9627778"/>
    <x v="48"/>
    <s v="0908402668"/>
    <n v="7791445"/>
    <x v="0"/>
    <x v="0"/>
  </r>
  <r>
    <x v="5"/>
    <x v="10"/>
    <n v="28"/>
    <s v="FW24"/>
    <s v="NECKLACE"/>
    <s v="FW24"/>
    <n v="1494675"/>
    <n v="1376173.8"/>
    <d v="2024-07-09T00:00:00"/>
    <n v="205011"/>
    <s v="RWT7184"/>
    <x v="4"/>
    <x v="4"/>
    <s v="WJEW"/>
    <n v="7184"/>
    <n v="1"/>
    <s v="Cash"/>
    <n v="8258000"/>
    <n v="7646296"/>
    <n v="0"/>
    <n v="0"/>
    <n v="0"/>
    <s v="Chau_Vuong"/>
    <s v="GEO-PEARL NECKLACE"/>
    <s v="Mrs. Nguyen Thi Mai Huong"/>
    <n v="14"/>
    <n v="16"/>
    <s v="PEARL"/>
    <n v="8258000"/>
    <s v="OS"/>
    <n v="7646296"/>
    <x v="26"/>
    <s v="0908402668"/>
    <n v="6151621"/>
    <x v="0"/>
    <x v="0"/>
  </r>
  <r>
    <x v="5"/>
    <x v="10"/>
    <n v="28"/>
    <s v="FW24"/>
    <s v="NECKLACE"/>
    <s v="FW24"/>
    <n v="-1836333"/>
    <n v="-1732959.5999999999"/>
    <d v="2024-07-09T00:00:00"/>
    <n v="204998"/>
    <s v="RWT7184"/>
    <x v="4"/>
    <x v="4"/>
    <s v="WJEW"/>
    <n v="7184"/>
    <n v="-1"/>
    <s v="Cash"/>
    <n v="-10398000"/>
    <n v="-9627778"/>
    <n v="0"/>
    <n v="0"/>
    <n v="0"/>
    <s v="Chau_Vuong"/>
    <s v="GEO-EMATOIDE NECKLACE"/>
    <s v="Mrs. Nguyen Thi Mai Huong"/>
    <n v="1"/>
    <n v="16"/>
    <s v="PINK"/>
    <n v="-10398000"/>
    <s v="OS"/>
    <n v="-9627778"/>
    <x v="48"/>
    <s v="0908402668"/>
    <n v="-7791445"/>
    <x v="0"/>
    <x v="0"/>
  </r>
  <r>
    <x v="5"/>
    <x v="10"/>
    <n v="28"/>
    <s v="FW24"/>
    <s v="NECKLACE"/>
    <s v="FW24"/>
    <n v="-1494675"/>
    <n v="-1376173.8"/>
    <d v="2024-07-09T00:00:00"/>
    <n v="205011"/>
    <s v="RWT7179"/>
    <x v="4"/>
    <x v="4"/>
    <s v="WJEW"/>
    <n v="7179"/>
    <n v="-1"/>
    <s v="Cash"/>
    <n v="-8258000"/>
    <n v="-7646296"/>
    <n v="0"/>
    <n v="0"/>
    <n v="0"/>
    <s v="Chau_Vuong"/>
    <s v="GEO-PEARL NECKLACE"/>
    <s v="Mrs. Nguyen Thi Mai Huong"/>
    <n v="14"/>
    <n v="16"/>
    <s v="PEARL"/>
    <n v="-8258000"/>
    <s v="OS"/>
    <n v="-7646296"/>
    <x v="26"/>
    <s v="0908402668"/>
    <n v="-6151621"/>
    <x v="0"/>
    <x v="0"/>
  </r>
  <r>
    <x v="5"/>
    <x v="10"/>
    <n v="28"/>
    <s v="FW24"/>
    <s v="NECKLACE"/>
    <s v="FW24"/>
    <n v="1836333"/>
    <n v="1732959.5999999999"/>
    <d v="2024-07-09T00:00:00"/>
    <n v="204998"/>
    <s v="RWT7179"/>
    <x v="4"/>
    <x v="4"/>
    <s v="WJEW"/>
    <n v="7179"/>
    <n v="1"/>
    <s v="Cash"/>
    <n v="10398000"/>
    <n v="9627778"/>
    <n v="0"/>
    <n v="0"/>
    <n v="0"/>
    <s v="Chau_Vuong"/>
    <s v="GEO-EMATOIDE NECKLACE"/>
    <s v="Mrs. Nguyen Thi Mai Huong"/>
    <n v="1"/>
    <n v="16"/>
    <s v="PINK"/>
    <n v="10398000"/>
    <s v="OS"/>
    <n v="9627778"/>
    <x v="48"/>
    <s v="0908402668"/>
    <n v="7791445"/>
    <x v="0"/>
    <x v="0"/>
  </r>
  <r>
    <x v="5"/>
    <x v="10"/>
    <n v="28"/>
    <s v="FW24"/>
    <s v="NECKLACE"/>
    <s v="FW24"/>
    <n v="-1494675"/>
    <n v="-1376173.8"/>
    <d v="2024-07-09T00:00:00"/>
    <n v="205011"/>
    <s v="RWT7181"/>
    <x v="4"/>
    <x v="4"/>
    <s v="WJEW"/>
    <n v="7181"/>
    <n v="-1"/>
    <s v="Cash"/>
    <n v="-8258000"/>
    <n v="-7646296"/>
    <n v="0"/>
    <n v="0"/>
    <n v="0"/>
    <s v="Chau_Vuong"/>
    <s v="GEO-PEARL NECKLACE"/>
    <s v="Mrs. Nguyen Thi Mai Huong"/>
    <n v="14"/>
    <n v="16"/>
    <s v="PEARL"/>
    <n v="-8258000"/>
    <s v="OS"/>
    <n v="-7646296"/>
    <x v="26"/>
    <s v="0908402668"/>
    <n v="-6151621"/>
    <x v="0"/>
    <x v="0"/>
  </r>
  <r>
    <x v="5"/>
    <x v="10"/>
    <n v="28"/>
    <s v="FW24"/>
    <s v="NECKLACE"/>
    <s v="FW24"/>
    <n v="1836333"/>
    <n v="1732959.5999999999"/>
    <d v="2024-07-09T00:00:00"/>
    <n v="204998"/>
    <s v="RWT7181"/>
    <x v="4"/>
    <x v="4"/>
    <s v="WJEW"/>
    <n v="7181"/>
    <n v="1"/>
    <s v="Cash"/>
    <n v="10398000"/>
    <n v="9627778"/>
    <n v="0"/>
    <n v="0"/>
    <n v="0"/>
    <s v="Chau_Vuong"/>
    <s v="GEO-EMATOIDE NECKLACE"/>
    <s v="Mrs. Nguyen Thi Mai Huong"/>
    <n v="1"/>
    <n v="16"/>
    <s v="PINK"/>
    <n v="10398000"/>
    <s v="OS"/>
    <n v="9627778"/>
    <x v="48"/>
    <s v="0908402668"/>
    <n v="7791445"/>
    <x v="0"/>
    <x v="0"/>
  </r>
  <r>
    <x v="5"/>
    <x v="10"/>
    <n v="28"/>
    <s v="FW24"/>
    <s v="NECKLACE"/>
    <s v="FW24"/>
    <n v="1494675"/>
    <n v="1376173.8"/>
    <d v="2024-07-09T00:00:00"/>
    <n v="205011"/>
    <s v="RWT7182"/>
    <x v="4"/>
    <x v="4"/>
    <s v="WJEW"/>
    <n v="7182"/>
    <n v="1"/>
    <s v="Cash"/>
    <n v="8258000"/>
    <n v="7646296"/>
    <n v="0"/>
    <n v="0"/>
    <n v="0"/>
    <s v="Chau_Vuong"/>
    <s v="GEO-PEARL NECKLACE"/>
    <s v="Mrs. Nguyen Thi Mai Huong"/>
    <n v="14"/>
    <n v="16"/>
    <s v="PEARL"/>
    <n v="8258000"/>
    <s v="OS"/>
    <n v="7646296"/>
    <x v="26"/>
    <s v="0908402668"/>
    <n v="6151621"/>
    <x v="0"/>
    <x v="0"/>
  </r>
  <r>
    <x v="5"/>
    <x v="10"/>
    <n v="28"/>
    <s v="FW24"/>
    <s v="NECKLACE"/>
    <s v="FW24"/>
    <n v="-1836333"/>
    <n v="-1732959.5999999999"/>
    <d v="2024-07-09T00:00:00"/>
    <n v="204998"/>
    <s v="RWT7182"/>
    <x v="4"/>
    <x v="4"/>
    <s v="WJEW"/>
    <n v="7182"/>
    <n v="-1"/>
    <s v="Cash"/>
    <n v="-10398000"/>
    <n v="-9627778"/>
    <n v="0"/>
    <n v="0"/>
    <n v="0"/>
    <s v="Chau_Vuong"/>
    <s v="GEO-EMATOIDE NECKLACE"/>
    <s v="Mrs. Nguyen Thi Mai Huong"/>
    <n v="1"/>
    <n v="16"/>
    <s v="PINK"/>
    <n v="-10398000"/>
    <s v="OS"/>
    <n v="-9627778"/>
    <x v="48"/>
    <s v="0908402668"/>
    <n v="-7791445"/>
    <x v="0"/>
    <x v="0"/>
  </r>
  <r>
    <x v="5"/>
    <x v="10"/>
    <n v="28"/>
    <s v="FW24"/>
    <s v="NECKLACE"/>
    <s v="FW24"/>
    <n v="-1494675"/>
    <n v="-1376173.8"/>
    <d v="2024-07-09T00:00:00"/>
    <n v="205011"/>
    <s v="RWT7183"/>
    <x v="4"/>
    <x v="4"/>
    <s v="WJEW"/>
    <n v="7183"/>
    <n v="-1"/>
    <s v="Cash"/>
    <n v="-8258000"/>
    <n v="-7646296"/>
    <n v="0"/>
    <n v="0"/>
    <n v="0"/>
    <s v="Chau_Vuong"/>
    <s v="GEO-PEARL NECKLACE"/>
    <s v="Mrs. Nguyen Thi Mai Huong"/>
    <n v="14"/>
    <n v="16"/>
    <s v="PEARL"/>
    <n v="-8258000"/>
    <s v="OS"/>
    <n v="-7646296"/>
    <x v="26"/>
    <s v="0908402668"/>
    <n v="-6151621"/>
    <x v="0"/>
    <x v="0"/>
  </r>
  <r>
    <x v="5"/>
    <x v="10"/>
    <n v="28"/>
    <s v="FW24"/>
    <s v="NECKLACE"/>
    <s v="FW24"/>
    <n v="1836333"/>
    <n v="1732959.5999999999"/>
    <d v="2024-07-09T00:00:00"/>
    <n v="204998"/>
    <s v="RWT7183"/>
    <x v="4"/>
    <x v="4"/>
    <s v="WJEW"/>
    <n v="7183"/>
    <n v="1"/>
    <s v="Cash"/>
    <n v="10398000"/>
    <n v="9627778"/>
    <n v="0"/>
    <n v="0"/>
    <n v="0"/>
    <s v="Chau_Vuong"/>
    <s v="GEO-EMATOIDE NECKLACE"/>
    <s v="Mrs. Nguyen Thi Mai Huong"/>
    <n v="1"/>
    <n v="16"/>
    <s v="PINK"/>
    <n v="10398000"/>
    <s v="OS"/>
    <n v="9627778"/>
    <x v="48"/>
    <s v="0908402668"/>
    <n v="7791445"/>
    <x v="0"/>
    <x v="0"/>
  </r>
  <r>
    <x v="5"/>
    <x v="10"/>
    <n v="28"/>
    <s v="FW24"/>
    <s v="NECKLACE"/>
    <s v="FW24"/>
    <n v="1494675"/>
    <n v="1376173.8"/>
    <d v="2024-07-09T00:00:00"/>
    <n v="205011"/>
    <s v="RWT7180"/>
    <x v="4"/>
    <x v="4"/>
    <s v="WJEW"/>
    <n v="7180"/>
    <n v="1"/>
    <s v="Cash"/>
    <n v="8258000"/>
    <n v="7646296"/>
    <n v="0"/>
    <n v="0"/>
    <n v="0"/>
    <s v="Chau_Vuong"/>
    <s v="GEO-PEARL NECKLACE"/>
    <s v="Mrs. Nguyen Thi Mai Huong"/>
    <n v="14"/>
    <n v="16"/>
    <s v="PEARL"/>
    <n v="8258000"/>
    <s v="OS"/>
    <n v="7646296"/>
    <x v="26"/>
    <s v="0908402668"/>
    <n v="6151621"/>
    <x v="0"/>
    <x v="0"/>
  </r>
  <r>
    <x v="5"/>
    <x v="10"/>
    <n v="28"/>
    <s v="FW24"/>
    <s v="NECKLACE"/>
    <s v="FW24"/>
    <n v="-1836333"/>
    <n v="-1732959.5999999999"/>
    <d v="2024-07-09T00:00:00"/>
    <n v="204998"/>
    <s v="RWT7180"/>
    <x v="4"/>
    <x v="4"/>
    <s v="WJEW"/>
    <n v="7180"/>
    <n v="-1"/>
    <s v="Cash"/>
    <n v="-10398000"/>
    <n v="-9627778"/>
    <n v="0"/>
    <n v="0"/>
    <n v="0"/>
    <s v="Chau_Vuong"/>
    <s v="GEO-EMATOIDE NECKLACE"/>
    <s v="Mrs. Nguyen Thi Mai Huong"/>
    <n v="1"/>
    <n v="16"/>
    <s v="PINK"/>
    <n v="-10398000"/>
    <s v="OS"/>
    <n v="-9627778"/>
    <x v="48"/>
    <s v="0908402668"/>
    <n v="-7791445"/>
    <x v="0"/>
    <x v="0"/>
  </r>
  <r>
    <x v="5"/>
    <x v="10"/>
    <n v="28"/>
    <s v="SS23"/>
    <s v="EARRINGS"/>
    <s v="SS23"/>
    <n v="8472421"/>
    <n v="7172400"/>
    <d v="2024-07-12T00:00:00"/>
    <n v="186458"/>
    <s v="RHN4620"/>
    <x v="1"/>
    <x v="1"/>
    <s v="WACC"/>
    <n v="4620"/>
    <n v="1"/>
    <s v="Credit Card"/>
    <n v="23311000"/>
    <n v="21584259"/>
    <n v="0"/>
    <n v="0"/>
    <n v="0"/>
    <s v="Ngoc_Nguyen"/>
    <s v="RM-BO BERIL S ST DIA BLK SPL 8X8 BO-C-BERIL-48 Earrings - Setting Each Piece: Sterling Silver - Black Spinal: 1p, 2.2ct -  8X8 Cut Diamonds: 4p, 0.06ct"/>
    <s v="Mrs. Tran Thanh My"/>
    <s v="BO-000625"/>
    <n v="11"/>
    <s v="Black Spinal, Di"/>
    <n v="23311000"/>
    <s v="U"/>
    <n v="21584259"/>
    <x v="18"/>
    <s v="0983861971"/>
    <n v="13111838"/>
    <x v="0"/>
    <x v="2"/>
  </r>
  <r>
    <x v="5"/>
    <x v="10"/>
    <n v="28"/>
    <s v="FW24"/>
    <s v="RING"/>
    <s v="FW24"/>
    <n v="65899215"/>
    <n v="65047500"/>
    <d v="2024-07-13T00:00:00"/>
    <n v="209308"/>
    <s v="RWR8396"/>
    <x v="9"/>
    <x v="0"/>
    <s v="WJEW"/>
    <n v="8396"/>
    <n v="1"/>
    <s v="Account"/>
    <n v="160303000"/>
    <n v="148428704"/>
    <n v="5"/>
    <n v="7812037"/>
    <n v="8437000"/>
    <s v="Ha_Nguyen"/>
    <s v="VHN - Ring Abbraccio S Gold Gr 14,80"/>
    <s v="Mrs. Le Thi Van"/>
    <s v="0N1511A 100"/>
    <n v="17"/>
    <s v="GOLD"/>
    <n v="168740000"/>
    <n v="51"/>
    <n v="156240741"/>
    <x v="6"/>
    <s v="0903803780"/>
    <n v="82529489"/>
    <x v="0"/>
    <x v="1"/>
  </r>
  <r>
    <x v="5"/>
    <x v="10"/>
    <n v="28"/>
    <s v="SS24"/>
    <s v="NECKLACE"/>
    <s v="SS24"/>
    <n v="4778431"/>
    <n v="4446000"/>
    <d v="2024-07-14T00:00:00"/>
    <n v="208281"/>
    <s v="RWT7213"/>
    <x v="7"/>
    <x v="4"/>
    <s v="WACC"/>
    <n v="7213"/>
    <n v="1"/>
    <s v="Credit Card"/>
    <n v="14228000"/>
    <n v="13174074"/>
    <n v="0"/>
    <n v="0"/>
    <n v="0"/>
    <s v="Chau_Vuong"/>
    <s v="LUI - SILVER NECKLACE WITH SMALL CROSS COLLANA SMALL WITH EMERALD CUT STONES  ( 4 X 6 ) RED RODOLITE"/>
    <s v="Nguyen Thi Bich Lien"/>
    <s v="CA0227/V2"/>
    <n v="13"/>
    <s v="RED"/>
    <n v="14228000"/>
    <s v="U"/>
    <n v="13174074"/>
    <x v="48"/>
    <s v="0919306262"/>
    <n v="8395643"/>
    <x v="0"/>
    <x v="0"/>
  </r>
  <r>
    <x v="5"/>
    <x v="10"/>
    <n v="28"/>
    <s v="SS24"/>
    <s v="EARRINGS"/>
    <s v="SS24"/>
    <n v="1839716"/>
    <n v="1710000"/>
    <d v="2024-07-14T00:00:00"/>
    <n v="208322"/>
    <s v="RWT7213"/>
    <x v="7"/>
    <x v="4"/>
    <s v="WACC"/>
    <n v="7213"/>
    <n v="1"/>
    <s v="Credit Card"/>
    <n v="5472000"/>
    <n v="5066667"/>
    <n v="0"/>
    <n v="0"/>
    <n v="0"/>
    <s v="Chau_Vuong"/>
    <s v="LUI - SILVER, ENGRAVES EARRINGS"/>
    <s v="Nguyen Thi Bich Lien"/>
    <s v="OA0117/POG"/>
    <n v="13"/>
    <s v="GOLD, BLACK"/>
    <n v="5472000"/>
    <s v="U"/>
    <n v="5066667"/>
    <x v="48"/>
    <s v="0919306262"/>
    <n v="3226951"/>
    <x v="0"/>
    <x v="0"/>
  </r>
  <r>
    <x v="5"/>
    <x v="10"/>
    <n v="28"/>
    <s v="SS24"/>
    <s v="NECKLACE"/>
    <s v="SS24"/>
    <n v="3064181"/>
    <n v="2850000"/>
    <d v="2024-07-14T00:00:00"/>
    <n v="208306"/>
    <s v="RWT7215"/>
    <x v="7"/>
    <x v="4"/>
    <s v="WACC"/>
    <n v="7215"/>
    <n v="1"/>
    <s v="Credit Card"/>
    <n v="9120000"/>
    <n v="8444444"/>
    <n v="0"/>
    <n v="0"/>
    <n v="0"/>
    <s v="Chau_Vuong"/>
    <s v="LUI - SILVER NECKLACE CARVED WITH NAVETTE STONES (8X4) SPINEL _x000a_LETTER D"/>
    <s v="Tourist"/>
    <s v="CA0276/AG D"/>
    <n v="18"/>
    <s v="BLACK"/>
    <n v="9120000"/>
    <s v="U"/>
    <n v="8444444"/>
    <x v="52"/>
    <m/>
    <n v="5380263"/>
    <x v="0"/>
    <x v="0"/>
  </r>
  <r>
    <x v="5"/>
    <x v="10"/>
    <n v="29"/>
    <s v="SS23"/>
    <s v="EARRINGS"/>
    <s v="SS23"/>
    <n v="54642566"/>
    <n v="50987250"/>
    <d v="2024-07-15T00:00:00"/>
    <n v="182561"/>
    <s v="HQ456"/>
    <x v="2"/>
    <x v="5"/>
    <s v="WACC"/>
    <n v="456"/>
    <n v="1"/>
    <s v="Debit Card"/>
    <n v="122601600"/>
    <n v="113520000"/>
    <n v="10"/>
    <n v="12613333"/>
    <n v="13622400"/>
    <s v="Thuan_Nguyen"/>
    <s v="NAK - Pagoda Earrings: 3 cts black spinel, 0.21 cts G-H VS white diamond pave and 20k rose gold; 7/8 inches in length"/>
    <s v="Mrs. Tran Kieu Anh"/>
    <s v="10389-BSL-20R"/>
    <n v="14"/>
    <s v="BLACK + WHITE +"/>
    <n v="136224000"/>
    <s v="U"/>
    <n v="126133333"/>
    <x v="53"/>
    <s v="0862333555"/>
    <n v="58877434"/>
    <x v="0"/>
    <x v="2"/>
  </r>
  <r>
    <x v="5"/>
    <x v="10"/>
    <n v="29"/>
    <s v="SS24"/>
    <s v="NECKLACE"/>
    <s v="SS24"/>
    <n v="7227360"/>
    <n v="6726000"/>
    <d v="2024-07-15T00:00:00"/>
    <n v="208317"/>
    <s v="RWR8408"/>
    <x v="7"/>
    <x v="0"/>
    <s v="WACC"/>
    <n v="8408"/>
    <n v="1"/>
    <s v="Check"/>
    <n v="21524000"/>
    <n v="19929630"/>
    <n v="0"/>
    <n v="0"/>
    <n v="0"/>
    <s v="Ha_Nguyen"/>
    <s v="LUI - SILVER NECKLACE SMALL INTAGLIATO A CROCE CON PIETRA NAVETTE (8X4) SPINELLO NERO"/>
    <s v="Mrs. Nguyen Ngoc Phuong Anh"/>
    <s v="CA0279"/>
    <n v="13"/>
    <s v="BLACK"/>
    <n v="21524000"/>
    <s v="U"/>
    <n v="19929630"/>
    <x v="15"/>
    <s v="0915227784"/>
    <n v="12702270"/>
    <x v="0"/>
    <x v="1"/>
  </r>
  <r>
    <x v="5"/>
    <x v="10"/>
    <n v="29"/>
    <s v="SS24"/>
    <s v="EARRINGS"/>
    <s v="SS24"/>
    <n v="19104789"/>
    <n v="19139175.000000004"/>
    <d v="2024-07-16T00:00:00"/>
    <n v="202710"/>
    <s v="RHN4634"/>
    <x v="8"/>
    <x v="1"/>
    <s v="WACC"/>
    <n v="4634"/>
    <n v="1"/>
    <s v="Credit Card"/>
    <n v="49898750"/>
    <n v="46202546"/>
    <n v="5"/>
    <n v="2431713"/>
    <n v="2626250"/>
    <s v="Ngoc_Nguyen"/>
    <s v="NAN - &quot;WHITE DESERT&quot; CILIEGINE GOLD 2.90 AND WHITE MOONSTONE 25.0CT BALL DROP EARRINGS WITH DIAMONDS 0.08CT  (LARGE)"/>
    <s v="Mrs. Nguyen Thu Ha"/>
    <s v="OS1-603"/>
    <n v="16"/>
    <s v="GG IN"/>
    <n v="52525000"/>
    <s v="U"/>
    <n v="48634259"/>
    <x v="10"/>
    <s v="0932391868"/>
    <n v="27097757"/>
    <x v="0"/>
    <x v="1"/>
  </r>
  <r>
    <x v="5"/>
    <x v="10"/>
    <n v="29"/>
    <s v="SS24"/>
    <s v="RING"/>
    <s v="SS24"/>
    <n v="3242039"/>
    <n v="2422500"/>
    <d v="2024-07-19T00:00:00"/>
    <n v="202774"/>
    <s v="RWD1876"/>
    <x v="1"/>
    <x v="6"/>
    <s v="WJEW"/>
    <n v="1876"/>
    <n v="1"/>
    <s v="Split"/>
    <n v="7626600"/>
    <n v="7061667"/>
    <n v="5"/>
    <n v="371667"/>
    <n v="401400"/>
    <s v="Dao_Bui"/>
    <s v="ROM-PAQUITA H S GY (52) R-H-PAQUITAH-4 Rings - No Setting Silver - Yellow Gold (18K)"/>
    <s v="Ms. Le Thi Thanh Mai"/>
    <s v="RG-077354"/>
    <n v="19"/>
    <s v="YELLOW GOLD"/>
    <n v="8028000"/>
    <n v="52"/>
    <n v="7433333"/>
    <x v="23"/>
    <s v="0933530066"/>
    <n v="3819628"/>
    <x v="0"/>
    <x v="1"/>
  </r>
  <r>
    <x v="5"/>
    <x v="10"/>
    <n v="29"/>
    <s v="SS24"/>
    <s v="NECKLACE"/>
    <s v="SS24"/>
    <n v="21822397"/>
    <n v="21861675.000000004"/>
    <d v="2024-07-21T00:00:00"/>
    <n v="202692"/>
    <s v="RHN4666"/>
    <x v="8"/>
    <x v="1"/>
    <s v="WACC"/>
    <n v="4666"/>
    <n v="1"/>
    <s v="Check"/>
    <n v="59996000"/>
    <n v="55551852"/>
    <n v="0"/>
    <n v="0"/>
    <n v="0"/>
    <s v="Ngoc_Nguyen"/>
    <s v="NAN - “DANCING ELITE” GOLD 3.98"/>
    <s v="Ms. Dinh Thuy Quynh"/>
    <s v="CS6-583"/>
    <n v="20"/>
    <s v="GG IN"/>
    <n v="59996000"/>
    <n v="425"/>
    <n v="55551852"/>
    <x v="47"/>
    <s v="0917781299"/>
    <n v="33729455"/>
    <x v="0"/>
    <x v="0"/>
  </r>
  <r>
    <x v="5"/>
    <x v="10"/>
    <n v="29"/>
    <s v="SS24"/>
    <s v="EARRINGS"/>
    <s v="SS24"/>
    <n v="5145772"/>
    <n v="4788000"/>
    <d v="2024-07-21T00:00:00"/>
    <n v="208331"/>
    <s v="RWD1892"/>
    <x v="7"/>
    <x v="6"/>
    <s v="WACC"/>
    <n v="1892"/>
    <n v="1"/>
    <s v="Credit Card"/>
    <n v="15322000"/>
    <n v="14187037"/>
    <n v="0"/>
    <n v="0"/>
    <n v="0"/>
    <s v="Tam_Nguyen"/>
    <s v="LUI - GOLD PLATED EARRINGS WITH"/>
    <s v="Mrs. Mai Ngoc Hiep"/>
    <s v="OA0282/AG/POG"/>
    <n v="17"/>
    <s v="GOLD, WHITE"/>
    <n v="15322000"/>
    <s v="U"/>
    <n v="14187037"/>
    <x v="29"/>
    <s v="0909089999"/>
    <n v="9041265"/>
    <x v="0"/>
    <x v="1"/>
  </r>
  <r>
    <x v="5"/>
    <x v="10"/>
    <n v="30"/>
    <s v="SS23"/>
    <s v="EARRINGS"/>
    <s v="SS23"/>
    <n v="-108790221"/>
    <n v="-101426250"/>
    <d v="2024-07-23T00:00:00"/>
    <n v="182560"/>
    <s v="RHN4672"/>
    <x v="2"/>
    <x v="1"/>
    <s v="WACC"/>
    <n v="4672"/>
    <n v="-1"/>
    <s v="None"/>
    <n v="-246519000"/>
    <n v="-228258333"/>
    <n v="9"/>
    <n v="-22575000"/>
    <n v="-24381000"/>
    <s v="Huyen_Dang"/>
    <s v="NAK - Ruffled Ear Lasso Earrings: 7.96 cts black spinel  rose gold; 1 5/8 inches in length"/>
    <s v="Ms. Duong Thuy Linh"/>
    <s v="10355-BSL-20R"/>
    <n v="16"/>
    <s v="BLACK SPINEL  RO"/>
    <n v="-270900000"/>
    <s v="U"/>
    <n v="-250833333"/>
    <x v="14"/>
    <s v="0914587765"/>
    <n v="-119468112"/>
    <x v="0"/>
    <x v="1"/>
  </r>
  <r>
    <x v="5"/>
    <x v="10"/>
    <n v="30"/>
    <s v="SS24"/>
    <s v="NECKLACE"/>
    <s v="SS24"/>
    <n v="6247789"/>
    <n v="5814000"/>
    <d v="2024-07-23T00:00:00"/>
    <n v="208277"/>
    <s v="RHN4673"/>
    <x v="7"/>
    <x v="1"/>
    <s v="WACC"/>
    <n v="4673"/>
    <n v="1"/>
    <s v="Cash"/>
    <n v="17674750"/>
    <n v="16365509"/>
    <n v="5"/>
    <n v="861343"/>
    <n v="930250"/>
    <s v="Ngoc_Nguyen"/>
    <s v="LUI - SILVER NECKLACE, LENGTH 116 CM WITH 10 SMALL FLAT BUTTONS AND 3 BIG FLAT BUTTONS"/>
    <s v="Ms. To Thi Hanh"/>
    <s v="CA0063/POG"/>
    <n v="19"/>
    <s v="GOLD"/>
    <n v="18605000"/>
    <s v="U"/>
    <n v="17226852"/>
    <x v="3"/>
    <s v="0916671961"/>
    <n v="10117720"/>
    <x v="0"/>
    <x v="1"/>
  </r>
  <r>
    <x v="5"/>
    <x v="10"/>
    <n v="30"/>
    <s v="SS24"/>
    <s v="NECKLACE"/>
    <s v="SS24"/>
    <n v="4411092"/>
    <n v="4104000"/>
    <d v="2024-07-23T00:00:00"/>
    <n v="208296"/>
    <s v="RHN4673"/>
    <x v="7"/>
    <x v="1"/>
    <s v="WACC"/>
    <n v="4673"/>
    <n v="1"/>
    <s v="Cash"/>
    <n v="12476350"/>
    <n v="11552176"/>
    <n v="5"/>
    <n v="608009"/>
    <n v="656650"/>
    <s v="Ngoc_Nguyen"/>
    <s v="LUI - SILVER NECKLACE GOLD-PLATED CARVED STONES NAVETTE (10X5PCS1) NAVETTE (8X4PCS2) AND PEARLS (5.5MMPCS21) SMOKY QUARTZ"/>
    <s v="Ms. To Thi Hanh"/>
    <s v="CA0257/V1/POG"/>
    <n v="19"/>
    <s v="GOLD, SMOKY"/>
    <n v="13133000"/>
    <s v="U"/>
    <n v="12160185"/>
    <x v="3"/>
    <s v="0916671961"/>
    <n v="7141084"/>
    <x v="0"/>
    <x v="1"/>
  </r>
  <r>
    <x v="5"/>
    <x v="10"/>
    <n v="30"/>
    <s v="SS24"/>
    <s v="RING"/>
    <s v="SS24"/>
    <n v="2574396"/>
    <n v="2394000"/>
    <d v="2024-07-23T00:00:00"/>
    <n v="208243"/>
    <s v="RHN4673"/>
    <x v="7"/>
    <x v="1"/>
    <s v="WACC"/>
    <n v="4673"/>
    <n v="1"/>
    <s v="Cash"/>
    <n v="7277950"/>
    <n v="6738843"/>
    <n v="5"/>
    <n v="354676"/>
    <n v="383050"/>
    <s v="Ngoc_Nguyen"/>
    <s v="LUI - GOLD PLATED RING WITH  9 MM PEARL SIZE"/>
    <s v="Ms. To Thi Hanh"/>
    <s v="AA0119/PERLA/POG"/>
    <n v="19"/>
    <s v="GOLD, WHITE"/>
    <n v="7661000"/>
    <n v="11"/>
    <n v="7093519"/>
    <x v="3"/>
    <s v="0916671961"/>
    <n v="4164447"/>
    <x v="0"/>
    <x v="1"/>
  </r>
  <r>
    <x v="5"/>
    <x v="10"/>
    <n v="30"/>
    <s v="SS24"/>
    <s v="NECKLACE"/>
    <s v="SS24"/>
    <n v="4876389"/>
    <n v="4537200.0000000009"/>
    <d v="2024-07-25T00:00:00"/>
    <n v="208316"/>
    <s v="RWT7316"/>
    <x v="7"/>
    <x v="4"/>
    <s v="WACC"/>
    <n v="7316"/>
    <n v="1"/>
    <s v="Credit Card"/>
    <n v="14520000"/>
    <n v="13444444"/>
    <n v="0"/>
    <n v="0"/>
    <n v="0"/>
    <s v="Chau_Vuong"/>
    <s v="LUI - SMALL SILVER CROSS PENDANT CARVED WITH NAVETTE STONE (8X4): GARNET STONE"/>
    <s v="Nguyen Thi Bich Lien"/>
    <s v="CA0278/V1"/>
    <n v="21"/>
    <s v="RED"/>
    <n v="14520000"/>
    <s v="U"/>
    <n v="13444444"/>
    <x v="54"/>
    <s v="0919306262"/>
    <n v="8568055"/>
    <x v="0"/>
    <x v="2"/>
  </r>
  <r>
    <x v="5"/>
    <x v="10"/>
    <n v="30"/>
    <s v="SS24"/>
    <s v="NECKLACE"/>
    <s v="SS24"/>
    <n v="20382065"/>
    <n v="20418750.000000004"/>
    <d v="2024-07-27T00:00:00"/>
    <n v="202707"/>
    <s v="RHN4686"/>
    <x v="8"/>
    <x v="1"/>
    <s v="WACC"/>
    <n v="4686"/>
    <n v="1"/>
    <s v="Credit Card"/>
    <n v="53235150"/>
    <n v="49291806"/>
    <n v="5"/>
    <n v="2594306"/>
    <n v="2801850"/>
    <s v="Huyen_Dang"/>
    <s v="NAN - &quot;SOFFIO&quot; GOLD 4.76 AND DIAMONDS 0.08CT Y NECKLACE"/>
    <s v="Mrs. Pham Thanh Nga"/>
    <s v="CS10-583"/>
    <n v="18"/>
    <s v="RRLU"/>
    <n v="56037000"/>
    <n v="550"/>
    <n v="51886111"/>
    <x v="14"/>
    <s v="0912195999"/>
    <n v="28909741"/>
    <x v="0"/>
    <x v="1"/>
  </r>
  <r>
    <x v="5"/>
    <x v="10"/>
    <n v="30"/>
    <s v="FW24"/>
    <s v="RING"/>
    <s v="FW24"/>
    <n v="49760632"/>
    <n v="49117500"/>
    <d v="2024-07-27T00:00:00"/>
    <n v="209303"/>
    <s v="RWR8452"/>
    <x v="9"/>
    <x v="0"/>
    <s v="WJEW"/>
    <n v="8452"/>
    <n v="1"/>
    <s v="Credit Card"/>
    <n v="118080000"/>
    <n v="109333333"/>
    <n v="11.25"/>
    <n v="13856481"/>
    <n v="14965000"/>
    <s v="Ha_Nguyen"/>
    <s v="VHN - Ring Calla Media Gold Gr 11,15  Titanium Gr 0,45"/>
    <s v="Ms. Le Thi Thanh Mai"/>
    <s v="0N1652A 160"/>
    <n v="16"/>
    <s v="GOLD"/>
    <n v="133045000"/>
    <n v="52"/>
    <n v="123189815"/>
    <x v="23"/>
    <s v="0933530066"/>
    <n v="59572701"/>
    <x v="0"/>
    <x v="1"/>
  </r>
  <r>
    <x v="5"/>
    <x v="10"/>
    <n v="30"/>
    <s v="FW24"/>
    <s v="EARRINGS"/>
    <s v="FW24"/>
    <n v="100866145"/>
    <n v="99562500"/>
    <d v="2024-07-27T00:00:00"/>
    <n v="209296"/>
    <s v="RWR8452"/>
    <x v="9"/>
    <x v="0"/>
    <s v="WJEW"/>
    <n v="8452"/>
    <n v="1"/>
    <s v="Credit Card"/>
    <n v="224640000"/>
    <n v="208000000"/>
    <n v="11.25"/>
    <n v="26361111"/>
    <n v="28470000"/>
    <s v="Ha_Nguyen"/>
    <s v="VHN - EARCLIPS Calla The One Gold Gr 17,65  Acciaio Gr 0,10  14 Diamonds Ct 0,06"/>
    <s v="Ms. Le Thi Thanh Mai"/>
    <s v="0G1800B 300 B"/>
    <n v="16"/>
    <s v="GOLD"/>
    <n v="253110000"/>
    <s v="U"/>
    <n v="234361111"/>
    <x v="23"/>
    <s v="0933530066"/>
    <n v="107133855"/>
    <x v="0"/>
    <x v="1"/>
  </r>
  <r>
    <x v="5"/>
    <x v="10"/>
    <n v="30"/>
    <s v="SS24"/>
    <s v="NECKLACE"/>
    <s v="SS24"/>
    <n v="-20382065"/>
    <n v="-20418750.000000004"/>
    <d v="2024-07-28T00:00:00"/>
    <n v="202707"/>
    <s v="RHN4690"/>
    <x v="8"/>
    <x v="1"/>
    <s v="WACC"/>
    <n v="4690"/>
    <n v="-1"/>
    <s v="None"/>
    <n v="-53235150"/>
    <n v="-49291806"/>
    <n v="5"/>
    <n v="-2594306"/>
    <n v="-2801850"/>
    <s v="Huyen_Dang"/>
    <s v="NAN - &quot;SOFFIO&quot; GOLD 4.76 AND DIAMONDS 0.08CT Y NECKLACE"/>
    <s v="Mrs. Pham Thanh Nga"/>
    <s v="CS10-583"/>
    <n v="11"/>
    <s v="RRLU"/>
    <n v="-56037000"/>
    <n v="550"/>
    <n v="-51886111"/>
    <x v="14"/>
    <s v="0912195999"/>
    <n v="-28909741"/>
    <x v="0"/>
    <x v="1"/>
  </r>
  <r>
    <x v="5"/>
    <x v="10"/>
    <n v="30"/>
    <s v="SS24"/>
    <s v="NECKLACE"/>
    <s v="SS24"/>
    <n v="20382065"/>
    <n v="20418750.000000004"/>
    <d v="2024-07-28T00:00:00"/>
    <n v="202707"/>
    <s v="RHN4690"/>
    <x v="8"/>
    <x v="1"/>
    <s v="WACC"/>
    <n v="4690"/>
    <n v="1"/>
    <s v="None"/>
    <n v="53235150"/>
    <n v="49291806"/>
    <n v="5"/>
    <n v="2594306"/>
    <n v="2801850"/>
    <s v="Huyen_Dang"/>
    <s v="NAN - &quot;SOFFIO&quot; GOLD 4.76 AND DIAMONDS 0.08CT Y NECKLACE"/>
    <s v="Mrs. Pham Thanh Nga"/>
    <s v="CS10-583"/>
    <n v="11"/>
    <s v="RRLU"/>
    <n v="56037000"/>
    <n v="550"/>
    <n v="51886111"/>
    <x v="3"/>
    <s v="0912195999"/>
    <n v="28909741"/>
    <x v="0"/>
    <x v="1"/>
  </r>
  <r>
    <x v="5"/>
    <x v="10"/>
    <n v="31"/>
    <s v="SS24"/>
    <s v="RING"/>
    <s v="SS24"/>
    <n v="4288646"/>
    <n v="3990000"/>
    <d v="2024-07-30T00:00:00"/>
    <n v="208259"/>
    <s v="RWT7348"/>
    <x v="7"/>
    <x v="4"/>
    <s v="WACC"/>
    <n v="7348"/>
    <n v="1"/>
    <s v="Credit Card"/>
    <n v="12768000"/>
    <n v="11822222"/>
    <n v="0"/>
    <n v="0"/>
    <n v="0"/>
    <s v="Chau_Vuong"/>
    <s v="LUI - SILVER RING CARVED WITH 10 EMERALD-CUT STONES (6 X 4) CITRINE"/>
    <s v="Ms. Le Thi Thanh Mai"/>
    <s v="AA0138/V1"/>
    <n v="11"/>
    <s v="LIGHT YELLOW"/>
    <n v="12768000"/>
    <n v="11"/>
    <n v="11822222"/>
    <x v="22"/>
    <s v="0933530066"/>
    <n v="7533576"/>
    <x v="0"/>
    <x v="0"/>
  </r>
  <r>
    <x v="5"/>
    <x v="5"/>
    <n v="31"/>
    <s v="SS25"/>
    <s v="RING"/>
    <s v="SS25"/>
    <n v="35665636"/>
    <n v="34647750"/>
    <d v="2024-08-01T00:00:00"/>
    <n v="210744"/>
    <s v="RHN4713"/>
    <x v="9"/>
    <x v="1"/>
    <s v="WJEW"/>
    <n v="4713"/>
    <n v="1"/>
    <s v="Account"/>
    <n v="85635550"/>
    <n v="79292176"/>
    <n v="9"/>
    <n v="7842083"/>
    <n v="8469450"/>
    <s v="Huyen_Dang"/>
    <s v="VHN-CALLA THE ONE RING SIZE 53"/>
    <s v="Mrs. Pham Thanh Nga"/>
    <s v="MG1800A 301"/>
    <n v="16"/>
    <s v="WHITE GOLD &amp; DIA"/>
    <n v="94105000"/>
    <s v="U"/>
    <n v="87134259"/>
    <x v="1"/>
    <s v="0912195999"/>
    <n v="43626540"/>
    <x v="0"/>
    <x v="0"/>
  </r>
  <r>
    <x v="5"/>
    <x v="5"/>
    <n v="31"/>
    <s v="SS25"/>
    <s v="RING"/>
    <s v="SS25"/>
    <n v="177098333"/>
    <n v="172044000"/>
    <d v="2024-08-01T00:00:00"/>
    <n v="210745"/>
    <s v="RHN4713"/>
    <x v="9"/>
    <x v="1"/>
    <s v="WJEW"/>
    <n v="4713"/>
    <n v="1"/>
    <s v="Account"/>
    <n v="425224800"/>
    <n v="393726667"/>
    <n v="9"/>
    <n v="38940000"/>
    <n v="42055200"/>
    <s v="Huyen_Dang"/>
    <s v="VHN-CALLA THE ONE RING SIZE 53"/>
    <s v="Mrs. Pham Thanh Nga"/>
    <s v="MG1800A 010"/>
    <n v="16"/>
    <s v="WHITE GOLD &amp; DIA"/>
    <n v="467280000"/>
    <s v="U"/>
    <n v="432666667"/>
    <x v="1"/>
    <s v="0912195999"/>
    <n v="216628334"/>
    <x v="0"/>
    <x v="0"/>
  </r>
  <r>
    <x v="5"/>
    <x v="5"/>
    <n v="31"/>
    <s v="SS25"/>
    <s v="EARRINGS"/>
    <s v="SS25"/>
    <n v="106996908"/>
    <n v="103943250"/>
    <d v="2024-08-01T00:00:00"/>
    <n v="210747"/>
    <s v="RHN4713"/>
    <x v="9"/>
    <x v="1"/>
    <s v="WJEW"/>
    <n v="4713"/>
    <n v="1"/>
    <s v="Account"/>
    <n v="256906650"/>
    <n v="237876528"/>
    <n v="9"/>
    <n v="23526250"/>
    <n v="25408350"/>
    <s v="Huyen_Dang"/>
    <s v="VHN-CALLA THE ONE EARRINGS"/>
    <s v="Mrs. Pham Thanh Nga"/>
    <s v="MG1800B 301"/>
    <n v="16"/>
    <s v="WHITE GOLD &amp; DIA"/>
    <n v="282315000"/>
    <s v="U"/>
    <n v="261402778"/>
    <x v="1"/>
    <s v="0912195999"/>
    <n v="130879620"/>
    <x v="0"/>
    <x v="0"/>
  </r>
  <r>
    <x v="5"/>
    <x v="5"/>
    <n v="31"/>
    <s v="SS25"/>
    <s v="EARRINGS"/>
    <s v="SS25"/>
    <n v="227522162"/>
    <n v="221028750"/>
    <d v="2024-08-01T00:00:00"/>
    <n v="210748"/>
    <s v="RHN4713"/>
    <x v="9"/>
    <x v="1"/>
    <s v="WJEW"/>
    <n v="4713"/>
    <n v="1"/>
    <s v="Account"/>
    <n v="546295750"/>
    <n v="505829398"/>
    <n v="9"/>
    <n v="50027083"/>
    <n v="54029250"/>
    <s v="Huyen_Dang"/>
    <s v="VHN-CALLA THE ONE EARRINGS"/>
    <s v="Mrs. Pham Thanh Nga"/>
    <s v="MG1800B 020"/>
    <n v="16"/>
    <s v="WHITE GOLD &amp; DIA"/>
    <n v="600325000"/>
    <s v="U"/>
    <n v="555856481"/>
    <x v="1"/>
    <s v="0912195999"/>
    <n v="278307236"/>
    <x v="0"/>
    <x v="0"/>
  </r>
  <r>
    <x v="5"/>
    <x v="5"/>
    <n v="31"/>
    <s v="SS25"/>
    <s v="BRACELET"/>
    <s v="SS25"/>
    <n v="133747502"/>
    <n v="129930390"/>
    <d v="2024-08-01T00:00:00"/>
    <n v="210756"/>
    <s v="RHN4713"/>
    <x v="9"/>
    <x v="1"/>
    <s v="WJEW"/>
    <n v="4713"/>
    <n v="1"/>
    <s v="Account"/>
    <n v="291939830"/>
    <n v="270314657"/>
    <n v="9"/>
    <n v="26734417"/>
    <n v="28873170"/>
    <s v="Huyen_Dang"/>
    <s v="VHN-MON JEU BRACELET"/>
    <s v="Mrs. Pham Thanh Nga"/>
    <s v="T01332CO630 &amp; TG1332CO030"/>
    <n v="16"/>
    <s v="BLACK TITANIUM &amp;"/>
    <n v="320813000"/>
    <s v="U"/>
    <n v="297049074"/>
    <x v="1"/>
    <s v="0912195999"/>
    <n v="136567155"/>
    <x v="0"/>
    <x v="0"/>
  </r>
  <r>
    <x v="5"/>
    <x v="5"/>
    <n v="31"/>
    <s v="SS25"/>
    <s v="BRACELET"/>
    <s v="SS25"/>
    <n v="82461865"/>
    <n v="80108430"/>
    <d v="2024-08-01T00:00:00"/>
    <n v="210757"/>
    <s v="RHN4713"/>
    <x v="9"/>
    <x v="1"/>
    <s v="WJEW"/>
    <n v="4713"/>
    <n v="1"/>
    <s v="Account"/>
    <n v="228182500"/>
    <n v="211280093"/>
    <n v="9"/>
    <n v="20895833"/>
    <n v="22567500"/>
    <s v="Huyen_Dang"/>
    <s v="VHN-MON JEU BRACELET"/>
    <s v="Mrs. Pham Thanh Nga"/>
    <s v="P01332CO101 &amp; T013322CO630"/>
    <n v="16"/>
    <s v="GOLD &amp; BLACK TIT"/>
    <n v="250750000"/>
    <s v="U"/>
    <n v="232175926"/>
    <x v="1"/>
    <s v="0912195999"/>
    <n v="128818228"/>
    <x v="0"/>
    <x v="0"/>
  </r>
  <r>
    <x v="5"/>
    <x v="5"/>
    <n v="31"/>
    <s v="SS25"/>
    <s v="BRACELET"/>
    <s v="SS25"/>
    <n v="37818024"/>
    <n v="36738562.5"/>
    <d v="2024-08-01T00:00:00"/>
    <n v="210758"/>
    <s v="RHN4713"/>
    <x v="9"/>
    <x v="1"/>
    <s v="WJEW"/>
    <n v="4713"/>
    <n v="1"/>
    <s v="Account"/>
    <n v="99998080"/>
    <n v="92590815"/>
    <n v="9"/>
    <n v="9157333"/>
    <n v="9889920"/>
    <s v="Huyen_Dang"/>
    <s v="VHN-MON JEU BRACELET"/>
    <s v="Mrs. Pham Thanh Nga"/>
    <s v="TG1332CO061"/>
    <n v="16"/>
    <s v="BLACK TITANIUM &amp;"/>
    <n v="109888000"/>
    <s v="U"/>
    <n v="101748148"/>
    <x v="1"/>
    <s v="0912195999"/>
    <n v="54772791"/>
    <x v="0"/>
    <x v="0"/>
  </r>
  <r>
    <x v="5"/>
    <x v="5"/>
    <n v="31"/>
    <s v="SS25"/>
    <s v="RING"/>
    <s v="SS25"/>
    <n v="50423830"/>
    <n v="48984750"/>
    <d v="2024-08-01T00:00:00"/>
    <n v="210759"/>
    <s v="RHN4713"/>
    <x v="9"/>
    <x v="1"/>
    <s v="WJEW"/>
    <n v="4713"/>
    <n v="1"/>
    <s v="Account"/>
    <n v="121070950"/>
    <n v="112102731"/>
    <n v="9"/>
    <n v="11087083"/>
    <n v="11974050"/>
    <s v="Huyen_Dang"/>
    <s v="VHN-TROTTOLA RING SIZE 53"/>
    <s v="Mrs. Pham Thanh Nga"/>
    <s v="T00749A 100"/>
    <n v="16"/>
    <s v="BLACK TITANIUM &amp;"/>
    <n v="133045000"/>
    <n v="53"/>
    <n v="123189815"/>
    <x v="1"/>
    <s v="0912195999"/>
    <n v="61678901"/>
    <x v="0"/>
    <x v="0"/>
  </r>
  <r>
    <x v="5"/>
    <x v="5"/>
    <n v="31"/>
    <s v="SS23"/>
    <s v="NECKLACE"/>
    <s v="SS23"/>
    <n v="2098346"/>
    <n v="1890000"/>
    <d v="2024-08-01T00:00:00"/>
    <n v="182223"/>
    <s v="RHN4714"/>
    <x v="7"/>
    <x v="1"/>
    <s v="WACC"/>
    <n v="4714"/>
    <n v="1"/>
    <s v="Credit Card"/>
    <n v="6048000"/>
    <n v="5600000"/>
    <n v="0"/>
    <n v="0"/>
    <n v="0"/>
    <s v="Huyen_Dang"/>
    <s v="MAL - SILVER NECKLACE, SHRI CAPSULE, WITH ONE NATURAL STONE NAVETTE CUT (10X5) AND ONE STONE DROP CUT (9X6)   PERIDOT"/>
    <s v="Ms. Duong thi Hong Hanh"/>
    <s v="CA0186/V1"/>
    <n v="18"/>
    <s v="PERIDOT"/>
    <n v="6048000"/>
    <s v="U"/>
    <n v="5600000"/>
    <x v="50"/>
    <s v="0942388869"/>
    <n v="3501654"/>
    <x v="0"/>
    <x v="0"/>
  </r>
  <r>
    <x v="5"/>
    <x v="5"/>
    <n v="31"/>
    <s v="SS24"/>
    <s v="NECKLACE"/>
    <s v="SS24"/>
    <n v="2334268"/>
    <n v="1744199.9999999998"/>
    <d v="2024-08-01T00:00:00"/>
    <n v="202782"/>
    <s v="RHN4714"/>
    <x v="1"/>
    <x v="1"/>
    <s v="WJEW"/>
    <n v="4714"/>
    <n v="1"/>
    <s v="Credit Card"/>
    <n v="5780000"/>
    <n v="5351852"/>
    <n v="0"/>
    <n v="0"/>
    <n v="0"/>
    <s v="Huyen_Dang"/>
    <s v="ROM-PE SPYRO 2 S CRS ENG 2T PE-C-SPYRO2-6 Necklaces - Chain - No Setting Silver"/>
    <s v="Ms. Duong thi Hong Hanh"/>
    <s v="PE-001821"/>
    <n v="18"/>
    <s v="SILVER"/>
    <n v="5780000"/>
    <s v="U"/>
    <n v="5351852"/>
    <x v="50"/>
    <s v="0942388869"/>
    <n v="3017584"/>
    <x v="0"/>
    <x v="0"/>
  </r>
  <r>
    <x v="5"/>
    <x v="5"/>
    <n v="31"/>
    <s v="SS24"/>
    <s v="NECKLACE"/>
    <s v="SS24"/>
    <n v="1491338"/>
    <n v="1114350"/>
    <d v="2024-08-01T00:00:00"/>
    <n v="202781"/>
    <s v="RHN4714"/>
    <x v="1"/>
    <x v="1"/>
    <s v="WJEW"/>
    <n v="4714"/>
    <n v="1"/>
    <s v="Credit Card"/>
    <n v="3693000"/>
    <n v="3419444"/>
    <n v="0"/>
    <n v="0"/>
    <n v="0"/>
    <s v="Huyen_Dang"/>
    <s v="ROM-PE POMEGRANATE H PE-H-POMEGRANATEH-3 Necklaces - Chain - No Setting Silver"/>
    <s v="Ms. Duong thi Hong Hanh"/>
    <s v="PE-002021"/>
    <n v="18"/>
    <s v="Silver, POMEGRAN"/>
    <n v="3693000"/>
    <s v="U"/>
    <n v="3419444"/>
    <x v="50"/>
    <s v="0942388869"/>
    <n v="1928106"/>
    <x v="0"/>
    <x v="0"/>
  </r>
  <r>
    <x v="5"/>
    <x v="5"/>
    <n v="31"/>
    <s v="SS24"/>
    <s v="BRACELET"/>
    <s v="SS24"/>
    <n v="16006715"/>
    <n v="16035525.000000004"/>
    <d v="2024-08-04T00:00:00"/>
    <n v="202688"/>
    <s v="RHN4719"/>
    <x v="8"/>
    <x v="1"/>
    <s v="WACC"/>
    <n v="4719"/>
    <n v="1"/>
    <s v="Check"/>
    <n v="44008000"/>
    <n v="40748148"/>
    <n v="0"/>
    <n v="0"/>
    <n v="0"/>
    <s v="Ngoc_Nguyen"/>
    <s v="NAN - &quot;AZURE&quot; GOLD 3.40, AQUAMARINE 0.73CT AND DIAMONDS 0.08 CT HANDMADE BANGLE"/>
    <s v="Trinh Thi Ha"/>
    <s v="BS7-597"/>
    <n v="10"/>
    <s v="GG IN"/>
    <n v="44008000"/>
    <n v="175"/>
    <n v="40748148"/>
    <x v="3"/>
    <s v="0982235678"/>
    <n v="24741433"/>
    <x v="0"/>
    <x v="1"/>
  </r>
  <r>
    <x v="5"/>
    <x v="5"/>
    <n v="31"/>
    <s v="SS24"/>
    <s v="NECKLACE"/>
    <s v="SS24"/>
    <n v="15250969"/>
    <n v="16138980"/>
    <d v="2024-08-04T00:00:00"/>
    <n v="206899"/>
    <s v="RHN4719"/>
    <x v="8"/>
    <x v="1"/>
    <s v="WACC"/>
    <n v="4719"/>
    <n v="1"/>
    <s v="Check"/>
    <n v="44292000"/>
    <n v="41011111"/>
    <n v="0"/>
    <n v="0"/>
    <n v="0"/>
    <s v="Ngoc_Nguyen"/>
    <s v="NAN - “SPECIAL EDITION” NECKLACE GOLD 18K 3.40 DIAMONDS 0.03CT MOONSTONE 13.25CT"/>
    <s v="Trinh Thi Ha"/>
    <s v="CS6-603"/>
    <n v="10"/>
    <s v="YELLOW, WHITE"/>
    <n v="44292000"/>
    <n v="0"/>
    <n v="41011111"/>
    <x v="3"/>
    <s v="0982235678"/>
    <n v="25760142"/>
    <x v="0"/>
    <x v="1"/>
  </r>
  <r>
    <x v="5"/>
    <x v="5"/>
    <n v="32"/>
    <s v="SS24"/>
    <s v="EARRINGS"/>
    <s v="SS24"/>
    <n v="49107187"/>
    <n v="49195575"/>
    <d v="2024-08-09T00:00:00"/>
    <n v="202697"/>
    <s v="RHN4740"/>
    <x v="8"/>
    <x v="1"/>
    <s v="WACC"/>
    <n v="4740"/>
    <n v="1"/>
    <s v="Account"/>
    <n v="135009000"/>
    <n v="125008333"/>
    <n v="0"/>
    <n v="0"/>
    <n v="0"/>
    <s v="Ngoc_Nguyen"/>
    <s v="NAN - “DANCING ELITE” GOLD 7.84"/>
    <s v="Ms. Dinh Thuy Quynh"/>
    <s v="OS18-583"/>
    <n v="12"/>
    <s v="GG IN"/>
    <n v="135009000"/>
    <s v="U"/>
    <n v="125008333"/>
    <x v="47"/>
    <s v="0917781299"/>
    <n v="75901146"/>
    <x v="0"/>
    <x v="0"/>
  </r>
  <r>
    <x v="5"/>
    <x v="5"/>
    <n v="33"/>
    <s v="SS24"/>
    <s v="EARRINGS"/>
    <s v="SS24"/>
    <n v="12584715"/>
    <n v="13317480"/>
    <d v="2024-08-15T00:00:00"/>
    <n v="206904"/>
    <s v="RHN4768"/>
    <x v="8"/>
    <x v="1"/>
    <s v="WACC"/>
    <n v="4768"/>
    <n v="1"/>
    <s v="Cash"/>
    <n v="36549000"/>
    <n v="33841667"/>
    <n v="0"/>
    <n v="0"/>
    <n v="0"/>
    <s v="Huyen_Dang"/>
    <s v="NAN - &quot;LIBERA&quot; GOLD 18K 1.92 AND DIAMONDS 0.11CT HOOP EARRINGS (SMALL)"/>
    <s v="Tran Thi Minh Vy"/>
    <s v="OS10-602"/>
    <n v="13"/>
    <s v="ROSE"/>
    <n v="36549000"/>
    <n v="0"/>
    <n v="33841667"/>
    <x v="14"/>
    <s v="0904399159"/>
    <n v="21256952"/>
    <x v="0"/>
    <x v="1"/>
  </r>
  <r>
    <x v="5"/>
    <x v="5"/>
    <n v="33"/>
    <s v="SS23"/>
    <s v="RING"/>
    <s v="SS23"/>
    <n v="1798582"/>
    <n v="1620000"/>
    <d v="2024-08-16T00:00:00"/>
    <n v="182193"/>
    <s v="RWT7497"/>
    <x v="7"/>
    <x v="4"/>
    <s v="WACC"/>
    <n v="7497"/>
    <n v="1"/>
    <s v="Credit Card"/>
    <n v="5184000"/>
    <n v="4800000"/>
    <n v="0"/>
    <n v="0"/>
    <n v="0"/>
    <s v="Chau_Vuong"/>
    <s v="MAL - ENGRAVED SILVER RING, SHRI CAPSULE, ONE NATURAL STONE EMERALD CUT (6X6)  SKY TOPAZ   TG 13"/>
    <s v="Ms. Sandy Tsai"/>
    <s v="AA0118/V1/13"/>
    <n v="11"/>
    <s v="SKY TOPAZ"/>
    <n v="5184000"/>
    <n v="13"/>
    <n v="4800000"/>
    <x v="44"/>
    <s v="0918684553"/>
    <n v="3001418"/>
    <x v="0"/>
    <x v="2"/>
  </r>
  <r>
    <x v="5"/>
    <x v="5"/>
    <n v="33"/>
    <s v="SS23"/>
    <s v="NECKLACE"/>
    <s v="SS23"/>
    <n v="28361249"/>
    <n v="23994000"/>
    <d v="2024-08-17T00:00:00"/>
    <n v="186481"/>
    <s v="RHN4779"/>
    <x v="1"/>
    <x v="1"/>
    <s v="WACC"/>
    <n v="4779"/>
    <n v="1"/>
    <s v="Check"/>
    <n v="70182900"/>
    <n v="64984167"/>
    <n v="10"/>
    <n v="7220463"/>
    <n v="7798100"/>
    <s v="Ngoc_Nguyen"/>
    <s v="RM-PE OLYMPE A V S ST DIA BLK 1G PE-C-OLYMPEAV-23 Necklaces - Chain - With Setting Sterling Silver - Black Diamonds: 26p, 2.24ct"/>
    <s v="Ms. Nikita Chu"/>
    <s v="PE-001772"/>
    <n v="15"/>
    <s v="Black Diamonds"/>
    <n v="77981000"/>
    <s v="U"/>
    <n v="72204630"/>
    <x v="1"/>
    <s v="0973749931"/>
    <n v="36622918"/>
    <x v="0"/>
    <x v="0"/>
  </r>
  <r>
    <x v="5"/>
    <x v="5"/>
    <n v="33"/>
    <s v="SS24"/>
    <s v="RING"/>
    <s v="SS24"/>
    <n v="7975415"/>
    <n v="5959350"/>
    <d v="2024-08-17T00:00:00"/>
    <n v="202751"/>
    <s v="RHN4783"/>
    <x v="1"/>
    <x v="1"/>
    <s v="WJEW"/>
    <n v="4783"/>
    <n v="1"/>
    <s v="Credit Card"/>
    <n v="19748000"/>
    <n v="18285185"/>
    <n v="0"/>
    <n v="0"/>
    <n v="0"/>
    <s v="Ngoc_Nguyen"/>
    <s v="ROM-BLUE C DIA IG SBL CO (52) R-H-BLUEC-2 Rings - With Setting Silver - Icy Grey Diamonds : 35p, 0.26ct - Blue Sapphires: 7p, 0.10ct - Cognac Diamond: 1p, 0.04ct"/>
    <s v="Nguyen Xuan Hanh"/>
    <s v="RG-077400"/>
    <n v="17"/>
    <s v="IcyGrey, Blue Sa"/>
    <n v="19748000"/>
    <n v="52"/>
    <n v="18285185"/>
    <x v="47"/>
    <s v="0904085048"/>
    <n v="10309770"/>
    <x v="0"/>
    <x v="0"/>
  </r>
  <r>
    <x v="5"/>
    <x v="5"/>
    <n v="33"/>
    <s v="SS24"/>
    <s v="BRACELET"/>
    <s v="SS24"/>
    <n v="26022633"/>
    <n v="27537840"/>
    <d v="2024-08-18T00:00:00"/>
    <n v="206894"/>
    <s v="RHN4786"/>
    <x v="8"/>
    <x v="1"/>
    <s v="WACC"/>
    <n v="4786"/>
    <n v="1"/>
    <s v="Credit Card"/>
    <n v="75573000"/>
    <n v="69975000"/>
    <n v="0"/>
    <n v="0"/>
    <n v="0"/>
    <s v="Ngoc_Nguyen"/>
    <s v="NAN - “SPECIAL EDITION” BRACELET GOLD 18K 2.79 AND DIAMONDS 0.39CT"/>
    <s v="Nguyen Thi My Dung"/>
    <s v="BS32-583"/>
    <n v="12"/>
    <s v="ROSE"/>
    <n v="75573000"/>
    <n v="195"/>
    <n v="69975000"/>
    <x v="47"/>
    <s v="0912281123"/>
    <n v="43952367"/>
    <x v="0"/>
    <x v="0"/>
  </r>
  <r>
    <x v="5"/>
    <x v="5"/>
    <n v="34"/>
    <s v="SS25"/>
    <s v="BRACELET"/>
    <s v="SS25"/>
    <n v="97397754"/>
    <n v="93190500"/>
    <d v="2024-08-20T00:00:00"/>
    <n v="210751"/>
    <s v="RHN4807"/>
    <x v="9"/>
    <x v="1"/>
    <s v="WJEW"/>
    <n v="4807"/>
    <n v="1"/>
    <s v="Split"/>
    <n v="253110000"/>
    <n v="234361111"/>
    <n v="0"/>
    <n v="0"/>
    <n v="0"/>
    <s v="Ngoc_Nguyen"/>
    <s v="VHN-CALLA MEDIA BRACELET"/>
    <s v="Ms. Duong Thuy Linh"/>
    <s v="0G1652BR313"/>
    <n v="18"/>
    <s v="GOLD &amp; TITANIUM"/>
    <n v="253110000"/>
    <s v="U"/>
    <n v="234361111"/>
    <x v="14"/>
    <s v="0914587765"/>
    <n v="136963357"/>
    <x v="0"/>
    <x v="1"/>
  </r>
  <r>
    <x v="5"/>
    <x v="5"/>
    <n v="34"/>
    <s v="FW24"/>
    <s v="EARRINGS"/>
    <s v="FW24"/>
    <n v="452728"/>
    <n v="407755.2"/>
    <d v="2024-08-22T00:00:00"/>
    <n v="205037"/>
    <s v="RWT7601"/>
    <x v="4"/>
    <x v="4"/>
    <s v="WJEW"/>
    <n v="7601"/>
    <n v="1"/>
    <s v="Cash"/>
    <n v="2447000"/>
    <n v="2265741"/>
    <n v="0"/>
    <n v="0"/>
    <n v="0"/>
    <s v="Chau_Vuong"/>
    <s v="GEO-EARRING MOONSTONE"/>
    <s v="Tourist"/>
    <n v="40"/>
    <n v="11"/>
    <s v="Moon"/>
    <n v="2447000"/>
    <s v="OS"/>
    <n v="2265741"/>
    <x v="26"/>
    <m/>
    <n v="1813013"/>
    <x v="0"/>
    <x v="0"/>
  </r>
  <r>
    <x v="5"/>
    <x v="5"/>
    <n v="34"/>
    <s v="SS23"/>
    <s v="NECKLACE"/>
    <s v="SS23"/>
    <n v="2697875"/>
    <n v="2430000"/>
    <d v="2024-08-25T00:00:00"/>
    <n v="182230"/>
    <s v="RWD2066"/>
    <x v="7"/>
    <x v="6"/>
    <s v="WACC"/>
    <n v="2066"/>
    <n v="1"/>
    <s v="Credit Card"/>
    <n v="7776000"/>
    <n v="7200000"/>
    <n v="0"/>
    <n v="0"/>
    <n v="0"/>
    <s v="Minh_Nguyen"/>
    <s v="MAL - ENGRAVED SILVER 12.7G NECKLACE WITH SMALL CROSS, 5 STONES EMERALD CUT (4X6 MM) AND ONE ROUND CUT STONE (6 MM).   CITRINE"/>
    <s v="Mrs. Truong Huynh Diem Chi"/>
    <s v="CA0227/V1/CITRINE"/>
    <n v="11"/>
    <s v="CITRINE"/>
    <n v="7776000"/>
    <s v="U"/>
    <n v="7200000"/>
    <x v="37"/>
    <s v="0937394949"/>
    <n v="4502125"/>
    <x v="0"/>
    <x v="1"/>
  </r>
  <r>
    <x v="5"/>
    <x v="6"/>
    <n v="38"/>
    <s v="FW23"/>
    <s v="EARRINGS"/>
    <s v="FW23"/>
    <n v="22037775"/>
    <n v="20220750"/>
    <d v="2024-09-19T00:00:00"/>
    <n v="193281"/>
    <s v="RHN4930"/>
    <x v="8"/>
    <x v="1"/>
    <s v="WACC"/>
    <n v="4930"/>
    <n v="1"/>
    <s v="Check"/>
    <n v="61998000"/>
    <n v="57405556"/>
    <n v="0"/>
    <n v="0"/>
    <n v="0"/>
    <s v="Ngoc_Nguyen"/>
    <s v="NAN - EARRINGS DIAMONDS pcs 14 ct 0.16"/>
    <s v="Ms. Dinh Thuy Quynh"/>
    <s v="OS21-583"/>
    <n v="19"/>
    <s v="GG"/>
    <n v="61998000"/>
    <s v="U"/>
    <n v="57405556"/>
    <x v="47"/>
    <s v="0917781299"/>
    <n v="35367781"/>
    <x v="0"/>
    <x v="0"/>
  </r>
  <r>
    <x v="5"/>
    <x v="6"/>
    <n v="39"/>
    <s v="FW23"/>
    <s v="RING"/>
    <s v="FW23"/>
    <n v="17856803"/>
    <n v="16384499.999999998"/>
    <d v="2024-09-24T00:00:00"/>
    <n v="193272"/>
    <s v="RWR8623"/>
    <x v="8"/>
    <x v="0"/>
    <s v="WACC"/>
    <n v="8623"/>
    <n v="1"/>
    <s v="Credit Card"/>
    <n v="47724200"/>
    <n v="44189074"/>
    <n v="5"/>
    <n v="2325741"/>
    <n v="2511800"/>
    <s v="Ha_Nguyen"/>
    <s v="NAN - RING DIAMONDS pcs 22 ct 0,17"/>
    <s v="Mrs. Le Thu Ngan"/>
    <s v="AS8-583"/>
    <n v="12"/>
    <s v="GG"/>
    <n v="50236000"/>
    <n v="14"/>
    <n v="46514815"/>
    <x v="4"/>
    <s v="0983352011"/>
    <n v="26332271"/>
    <x v="0"/>
    <x v="1"/>
  </r>
  <r>
    <x v="5"/>
    <x v="6"/>
    <n v="39"/>
    <s v="FW24"/>
    <s v="NECKLACE"/>
    <s v="FW24"/>
    <n v="1857529"/>
    <n v="1732959.5999999999"/>
    <d v="2024-09-26T00:00:00"/>
    <n v="205012"/>
    <s v="RWT7790"/>
    <x v="4"/>
    <x v="4"/>
    <s v="WJEW"/>
    <n v="7790"/>
    <n v="1"/>
    <s v="Credit Card"/>
    <n v="10398000"/>
    <n v="9627778"/>
    <n v="0"/>
    <n v="0"/>
    <n v="0"/>
    <s v="Chau_Vuong"/>
    <s v="GEO-CITRIN NECKLACE"/>
    <s v="Mrs. Xuan"/>
    <n v="15"/>
    <n v="21"/>
    <s v="Citrin"/>
    <n v="10398000"/>
    <s v="OS"/>
    <n v="9627778"/>
    <x v="46"/>
    <s v="0935603555"/>
    <n v="7770249"/>
    <x v="0"/>
    <x v="1"/>
  </r>
  <r>
    <x v="5"/>
    <x v="6"/>
    <n v="39"/>
    <s v="SS24"/>
    <s v="EARRINGS"/>
    <s v="SS24"/>
    <n v="17543946"/>
    <n v="18565470"/>
    <d v="2024-09-28T00:00:00"/>
    <n v="206905"/>
    <s v="RHN4975"/>
    <x v="8"/>
    <x v="1"/>
    <s v="WACC"/>
    <n v="4975"/>
    <n v="1"/>
    <s v="Credit Card"/>
    <n v="50951000"/>
    <n v="47176852"/>
    <n v="0"/>
    <n v="0"/>
    <n v="0"/>
    <s v="Huyen_Dang"/>
    <s v="NAN - &quot;ÉLITE&quot; GOLD 18K 3.68 AND"/>
    <s v="Ms. Nguyen Le Binh"/>
    <s v="OS16-583"/>
    <n v="13"/>
    <s v="ROSE"/>
    <n v="50951000"/>
    <n v="0"/>
    <n v="47176852"/>
    <x v="10"/>
    <s v="0985277989"/>
    <n v="29632906"/>
    <x v="0"/>
    <x v="1"/>
  </r>
  <r>
    <x v="5"/>
    <x v="6"/>
    <n v="39"/>
    <s v="FW23"/>
    <s v="NECKLACE"/>
    <s v="FW23"/>
    <n v="64980417"/>
    <n v="59622750"/>
    <d v="2024-09-28T00:00:00"/>
    <n v="193276"/>
    <s v="RHN4978"/>
    <x v="8"/>
    <x v="1"/>
    <s v="WACC"/>
    <n v="4978"/>
    <n v="1"/>
    <s v="Check"/>
    <n v="165015000"/>
    <n v="152791667"/>
    <n v="0"/>
    <n v="0"/>
    <n v="0"/>
    <s v="Huyen_Dang"/>
    <s v="NAN - NECKLACE ACQUAMARINE pcs 117 ct 1.04"/>
    <s v="Ms. Dinh Thuy Quynh"/>
    <s v="CS29-583"/>
    <n v="20"/>
    <s v="GG"/>
    <n v="165015000"/>
    <n v="550"/>
    <n v="152791667"/>
    <x v="47"/>
    <s v="0917781299"/>
    <n v="87811250"/>
    <x v="0"/>
    <x v="0"/>
  </r>
  <r>
    <x v="5"/>
    <x v="6"/>
    <n v="39"/>
    <s v="SS24"/>
    <s v="NECKLACE"/>
    <s v="SS24"/>
    <n v="6247789"/>
    <n v="5814000"/>
    <d v="2024-09-28T00:00:00"/>
    <n v="208277"/>
    <s v="RWR8643"/>
    <x v="7"/>
    <x v="0"/>
    <s v="WACC"/>
    <n v="8643"/>
    <n v="1"/>
    <s v="Credit Card"/>
    <n v="18605000"/>
    <n v="17226852"/>
    <n v="0"/>
    <n v="0"/>
    <n v="0"/>
    <s v="Ha_Nguyen"/>
    <s v="LUI - SILVER NECKLACE, LENGTH 116 CM WITH 10 SMALL FLAT BUTTONS AND 3 BIG FLAT BUTTONS"/>
    <s v="Mrs. Nguyen Thi Hang"/>
    <s v="CA0063/POG"/>
    <n v="19"/>
    <s v="GOLD"/>
    <n v="18605000"/>
    <s v="U"/>
    <n v="17226852"/>
    <x v="15"/>
    <s v="0983216688"/>
    <n v="10979063"/>
    <x v="0"/>
    <x v="1"/>
  </r>
  <r>
    <x v="5"/>
    <x v="6"/>
    <n v="39"/>
    <s v="FW24"/>
    <s v="EARRINGS"/>
    <s v="FW24"/>
    <n v="904597"/>
    <n v="917449.20000000007"/>
    <d v="2024-09-28T00:00:00"/>
    <n v="205056"/>
    <s v="RWT7800"/>
    <x v="4"/>
    <x v="4"/>
    <s v="WJEW"/>
    <n v="7800"/>
    <n v="1"/>
    <s v="Credit Card"/>
    <n v="5505000"/>
    <n v="5097222"/>
    <n v="0"/>
    <n v="0"/>
    <n v="0"/>
    <s v="Chau_Vuong"/>
    <s v="GEO-EARRING PEARL"/>
    <s v="Tourist"/>
    <n v="59"/>
    <n v="17"/>
    <s v="PEARL"/>
    <n v="5505000"/>
    <s v="OS"/>
    <n v="5097222"/>
    <x v="25"/>
    <m/>
    <n v="4192625"/>
    <x v="0"/>
    <x v="0"/>
  </r>
  <r>
    <x v="5"/>
    <x v="6"/>
    <n v="39"/>
    <s v="FW23"/>
    <s v="EARRINGS"/>
    <s v="FW23"/>
    <n v="31802371"/>
    <n v="29180249.999999996"/>
    <d v="2024-09-29T00:00:00"/>
    <n v="193283"/>
    <s v="RHN4980"/>
    <x v="8"/>
    <x v="1"/>
    <s v="WACC"/>
    <n v="4980"/>
    <n v="1"/>
    <s v="Check"/>
    <n v="84994600"/>
    <n v="78698704"/>
    <n v="5"/>
    <n v="4142037"/>
    <n v="4473400"/>
    <s v="Ngoc_Nguyen"/>
    <s v="NAN - EARRINGS DIAMONDS pcs 62 ct 0.49"/>
    <s v="Mrs. Pham Thanh Nga"/>
    <s v="OS28-583"/>
    <n v="12"/>
    <s v="GG"/>
    <n v="89468000"/>
    <s v="U"/>
    <n v="82840741"/>
    <x v="50"/>
    <s v="0912195999"/>
    <n v="46896333"/>
    <x v="0"/>
    <x v="0"/>
  </r>
  <r>
    <x v="5"/>
    <x v="6"/>
    <n v="39"/>
    <s v="SS24"/>
    <s v="RING"/>
    <s v="SS24"/>
    <n v="109362139"/>
    <n v="99229875"/>
    <d v="2024-09-29T00:00:00"/>
    <n v="211109"/>
    <s v="RHN4979"/>
    <x v="6"/>
    <x v="1"/>
    <s v="WJEW"/>
    <n v="4979"/>
    <n v="1"/>
    <s v="Account"/>
    <n v="228130150"/>
    <n v="211231620"/>
    <n v="5"/>
    <n v="11117454"/>
    <n v="12006850"/>
    <s v="Ngoc_Nguyen"/>
    <s v="GVC-PINK GOLD RING W GOLD 12.90GR DIAMOND 2.43CT"/>
    <s v="Ms. Pham Thi Anh Tuyet"/>
    <s v="AR17054"/>
    <n v="10"/>
    <s v="GOLD/DIAMOND"/>
    <n v="240137000"/>
    <n v="15"/>
    <n v="222349074"/>
    <x v="30"/>
    <s v="0904005226"/>
    <n v="101869481"/>
    <x v="0"/>
    <x v="2"/>
  </r>
  <r>
    <x v="5"/>
    <x v="6"/>
    <n v="40"/>
    <s v="FW24"/>
    <s v="NECKLACE"/>
    <s v="FW24"/>
    <n v="131798429"/>
    <n v="130095000"/>
    <d v="2024-09-30T00:00:00"/>
    <n v="209307"/>
    <s v="RHN4986"/>
    <x v="9"/>
    <x v="1"/>
    <s v="WJEW"/>
    <n v="4986"/>
    <n v="1"/>
    <s v="Account"/>
    <n v="288946157.5"/>
    <n v="267542738"/>
    <n v="13.55"/>
    <n v="41934113"/>
    <n v="45288842.5"/>
    <s v="Huyen_Dang"/>
    <s v="VHN - Necklace Calla Gold Gr 32,95  Gold Gr 1,35  10 Ebony Gr 44,80"/>
    <s v="Ms. Nikita Chu"/>
    <s v="000648CL264 B"/>
    <n v="16"/>
    <s v="GOLD"/>
    <n v="334235000"/>
    <s v="U"/>
    <n v="309476852"/>
    <x v="1"/>
    <s v="0973749931"/>
    <n v="135744309"/>
    <x v="0"/>
    <x v="0"/>
  </r>
  <r>
    <x v="5"/>
    <x v="6"/>
    <n v="40"/>
    <s v="SS25"/>
    <s v="RING"/>
    <s v="SS25"/>
    <n v="262452587"/>
    <n v="249702750"/>
    <d v="2024-09-30T00:00:00"/>
    <n v="210750"/>
    <s v="RHN4987"/>
    <x v="9"/>
    <x v="1"/>
    <s v="WJEW"/>
    <n v="4987"/>
    <n v="1"/>
    <s v="Account"/>
    <n v="588119029.85000002"/>
    <n v="544554657"/>
    <n v="13.28"/>
    <n v="83412935"/>
    <n v="90085970.150000006"/>
    <s v="Huyen_Dang"/>
    <s v="VHN-CALLA MEDIA RING SIZE 60"/>
    <s v="Mrs. Pham Thanh Nga"/>
    <s v="PG1652A 056"/>
    <n v="17"/>
    <s v="WHITE GOLD &amp; BLA"/>
    <n v="678205000"/>
    <s v="U"/>
    <n v="627967593"/>
    <x v="1"/>
    <s v="0912195999"/>
    <n v="282102070"/>
    <x v="0"/>
    <x v="0"/>
  </r>
  <r>
    <x v="5"/>
    <x v="6"/>
    <n v="40"/>
    <s v="SS25"/>
    <s v="EARRINGS"/>
    <s v="SS25"/>
    <n v="107994844"/>
    <n v="102748500"/>
    <d v="2024-09-30T00:00:00"/>
    <n v="210761"/>
    <s v="RHN4987"/>
    <x v="9"/>
    <x v="1"/>
    <s v="WJEW"/>
    <n v="4987"/>
    <n v="1"/>
    <s v="Account"/>
    <n v="242952760.59999999"/>
    <n v="224956260"/>
    <n v="12.94"/>
    <n v="33441888"/>
    <n v="36117239.399999999"/>
    <s v="Huyen_Dang"/>
    <s v="VHN-TROTTOLA EARSLIPS"/>
    <s v="Mrs. Pham Thanh Nga"/>
    <s v="T00749B 100"/>
    <n v="17"/>
    <s v="BLACK TITANIUM &amp;"/>
    <n v="279070000"/>
    <s v="U"/>
    <n v="258398148"/>
    <x v="1"/>
    <s v="0912195999"/>
    <n v="116961416"/>
    <x v="0"/>
    <x v="0"/>
  </r>
  <r>
    <x v="5"/>
    <x v="6"/>
    <n v="40"/>
    <s v="SS25"/>
    <s v="RING"/>
    <s v="SS25"/>
    <n v="52741668"/>
    <n v="50179500"/>
    <d v="2024-09-30T00:00:00"/>
    <n v="210743"/>
    <s v="RHN4987"/>
    <x v="9"/>
    <x v="1"/>
    <s v="WJEW"/>
    <n v="4987"/>
    <n v="1"/>
    <s v="Account"/>
    <n v="118651348.2"/>
    <n v="109862359"/>
    <n v="12.94"/>
    <n v="16332085"/>
    <n v="17638651.800000001"/>
    <s v="Huyen_Dang"/>
    <s v="VHN-CALLA THE ONE RING SIZE 60"/>
    <s v="Mrs. Pham Thanh Nga"/>
    <s v="MG1801A 301"/>
    <n v="17"/>
    <s v="WHITE GOLD &amp; DIA"/>
    <n v="136290000"/>
    <s v="U"/>
    <n v="126194444"/>
    <x v="1"/>
    <s v="0912195999"/>
    <n v="57120691"/>
    <x v="0"/>
    <x v="0"/>
  </r>
  <r>
    <x v="5"/>
    <x v="6"/>
    <n v="40"/>
    <s v="FW24"/>
    <s v="NECKLACE"/>
    <s v="FW24"/>
    <n v="-131798429"/>
    <n v="-130095000"/>
    <d v="2024-09-30T00:00:00"/>
    <n v="209307"/>
    <s v="RHN4985"/>
    <x v="9"/>
    <x v="1"/>
    <s v="WJEW"/>
    <n v="4985"/>
    <n v="-1"/>
    <s v="None"/>
    <n v="-304153850"/>
    <n v="-281623935"/>
    <n v="9"/>
    <n v="-27852917"/>
    <n v="-30081150"/>
    <s v="Huyen_Dang"/>
    <s v="VHN - Necklace Calla Gold Gr 32,95  Gold Gr 1,35  10 Ebony Gr 44,80"/>
    <s v="Ms. Nikita Chu"/>
    <s v="000648CL264 B"/>
    <n v="16"/>
    <s v="GOLD"/>
    <n v="-334235000"/>
    <s v="U"/>
    <n v="-309476852"/>
    <x v="1"/>
    <s v="0973749931"/>
    <n v="-149825506"/>
    <x v="0"/>
    <x v="0"/>
  </r>
  <r>
    <x v="5"/>
    <x v="7"/>
    <n v="40"/>
    <s v="SS25"/>
    <s v="RING"/>
    <s v="SS25"/>
    <n v="-35665636"/>
    <n v="-34647750"/>
    <d v="2024-10-04T00:00:00"/>
    <n v="210744"/>
    <s v="RHN5004"/>
    <x v="9"/>
    <x v="1"/>
    <s v="WJEW"/>
    <n v="5004"/>
    <n v="-1"/>
    <s v="None"/>
    <n v="-85635550"/>
    <n v="-79292176"/>
    <n v="9"/>
    <n v="-7842083"/>
    <n v="-8469450"/>
    <s v="Ngoc_Nguyen"/>
    <s v="VHN-CALLA THE ONE RING SIZE 53"/>
    <s v="Mrs. Pham Thanh Nga"/>
    <s v="MG1800A 301"/>
    <n v="17"/>
    <s v="WHITE GOLD &amp; DIA"/>
    <n v="-94105000"/>
    <s v="U"/>
    <n v="-87134259"/>
    <x v="1"/>
    <s v="0912195999"/>
    <n v="-43626540"/>
    <x v="0"/>
    <x v="0"/>
  </r>
  <r>
    <x v="5"/>
    <x v="7"/>
    <n v="40"/>
    <s v="SS25"/>
    <s v="RING"/>
    <s v="SS25"/>
    <n v="-177098333"/>
    <n v="-172044000"/>
    <d v="2024-10-04T00:00:00"/>
    <n v="210745"/>
    <s v="RHN5004"/>
    <x v="9"/>
    <x v="1"/>
    <s v="WJEW"/>
    <n v="5004"/>
    <n v="-1"/>
    <s v="None"/>
    <n v="-425224800"/>
    <n v="-393726667"/>
    <n v="9"/>
    <n v="-38940000"/>
    <n v="-42055200"/>
    <s v="Ngoc_Nguyen"/>
    <s v="VHN-CALLA THE ONE RING SIZE 53"/>
    <s v="Mrs. Pham Thanh Nga"/>
    <s v="MG1800A 010"/>
    <n v="17"/>
    <s v="WHITE GOLD &amp; DIA"/>
    <n v="-467280000"/>
    <s v="U"/>
    <n v="-432666667"/>
    <x v="1"/>
    <s v="0912195999"/>
    <n v="-216628334"/>
    <x v="0"/>
    <x v="0"/>
  </r>
  <r>
    <x v="5"/>
    <x v="7"/>
    <n v="40"/>
    <s v="SS25"/>
    <s v="EARRINGS"/>
    <s v="SS25"/>
    <n v="-106996908"/>
    <n v="-103943250"/>
    <d v="2024-10-04T00:00:00"/>
    <n v="210747"/>
    <s v="RHN5004"/>
    <x v="9"/>
    <x v="1"/>
    <s v="WJEW"/>
    <n v="5004"/>
    <n v="-1"/>
    <s v="None"/>
    <n v="-256906650"/>
    <n v="-237876528"/>
    <n v="9"/>
    <n v="-23526250"/>
    <n v="-25408350"/>
    <s v="Ngoc_Nguyen"/>
    <s v="VHN-CALLA THE ONE EARRINGS"/>
    <s v="Mrs. Pham Thanh Nga"/>
    <s v="MG1800B 301"/>
    <n v="17"/>
    <s v="WHITE GOLD &amp; DIA"/>
    <n v="-282315000"/>
    <s v="U"/>
    <n v="-261402778"/>
    <x v="1"/>
    <s v="0912195999"/>
    <n v="-130879620"/>
    <x v="0"/>
    <x v="0"/>
  </r>
  <r>
    <x v="5"/>
    <x v="7"/>
    <n v="40"/>
    <s v="SS25"/>
    <s v="EARRINGS"/>
    <s v="SS25"/>
    <n v="-227522162"/>
    <n v="-221028750"/>
    <d v="2024-10-04T00:00:00"/>
    <n v="210748"/>
    <s v="RHN5004"/>
    <x v="9"/>
    <x v="1"/>
    <s v="WJEW"/>
    <n v="5004"/>
    <n v="-1"/>
    <s v="None"/>
    <n v="-546295750"/>
    <n v="-505829398"/>
    <n v="9"/>
    <n v="-50027083"/>
    <n v="-54029250"/>
    <s v="Ngoc_Nguyen"/>
    <s v="VHN-CALLA THE ONE EARRINGS"/>
    <s v="Mrs. Pham Thanh Nga"/>
    <s v="MG1800B 020"/>
    <n v="17"/>
    <s v="WHITE GOLD &amp; DIA"/>
    <n v="-600325000"/>
    <s v="U"/>
    <n v="-555856481"/>
    <x v="1"/>
    <s v="0912195999"/>
    <n v="-278307236"/>
    <x v="0"/>
    <x v="0"/>
  </r>
  <r>
    <x v="5"/>
    <x v="7"/>
    <n v="40"/>
    <s v="SS25"/>
    <s v="BRACELET"/>
    <s v="SS25"/>
    <n v="-133747502"/>
    <n v="-129930390"/>
    <d v="2024-10-04T00:00:00"/>
    <n v="210756"/>
    <s v="RHN5004"/>
    <x v="9"/>
    <x v="1"/>
    <s v="WJEW"/>
    <n v="5004"/>
    <n v="-1"/>
    <s v="None"/>
    <n v="-291939830"/>
    <n v="-270314657"/>
    <n v="9"/>
    <n v="-26734417"/>
    <n v="-28873170"/>
    <s v="Ngoc_Nguyen"/>
    <s v="VHN-MON JEU BRACELET"/>
    <s v="Mrs. Pham Thanh Nga"/>
    <s v="T01332CO630 &amp; TG1332CO030"/>
    <n v="17"/>
    <s v="BLACK TITANIUM &amp;"/>
    <n v="-320813000"/>
    <s v="U"/>
    <n v="-297049074"/>
    <x v="1"/>
    <s v="0912195999"/>
    <n v="-136567155"/>
    <x v="0"/>
    <x v="0"/>
  </r>
  <r>
    <x v="5"/>
    <x v="7"/>
    <n v="40"/>
    <s v="SS25"/>
    <s v="BRACELET"/>
    <s v="SS25"/>
    <n v="-82461865"/>
    <n v="-80108430"/>
    <d v="2024-10-04T00:00:00"/>
    <n v="210757"/>
    <s v="RHN5004"/>
    <x v="9"/>
    <x v="1"/>
    <s v="WJEW"/>
    <n v="5004"/>
    <n v="-1"/>
    <s v="None"/>
    <n v="-228182500"/>
    <n v="-211280093"/>
    <n v="9"/>
    <n v="-20895833"/>
    <n v="-22567500"/>
    <s v="Ngoc_Nguyen"/>
    <s v="VHN-MON JEU BRACELET"/>
    <s v="Mrs. Pham Thanh Nga"/>
    <s v="P01332CO101 &amp; T013322CO630"/>
    <n v="17"/>
    <s v="GOLD &amp; BLACK TIT"/>
    <n v="-250750000"/>
    <s v="U"/>
    <n v="-232175926"/>
    <x v="1"/>
    <s v="0912195999"/>
    <n v="-128818228"/>
    <x v="0"/>
    <x v="0"/>
  </r>
  <r>
    <x v="5"/>
    <x v="7"/>
    <n v="40"/>
    <s v="SS25"/>
    <s v="BRACELET"/>
    <s v="SS25"/>
    <n v="-37818024"/>
    <n v="-36738562.5"/>
    <d v="2024-10-04T00:00:00"/>
    <n v="210758"/>
    <s v="RHN5004"/>
    <x v="9"/>
    <x v="1"/>
    <s v="WJEW"/>
    <n v="5004"/>
    <n v="-1"/>
    <s v="None"/>
    <n v="-99998080"/>
    <n v="-92590815"/>
    <n v="9"/>
    <n v="-9157333"/>
    <n v="-9889920"/>
    <s v="Ngoc_Nguyen"/>
    <s v="VHN-MON JEU BRACELET"/>
    <s v="Mrs. Pham Thanh Nga"/>
    <s v="TG1332CO061"/>
    <n v="17"/>
    <s v="BLACK TITANIUM &amp;"/>
    <n v="-109888000"/>
    <s v="U"/>
    <n v="-101748148"/>
    <x v="1"/>
    <s v="0912195999"/>
    <n v="-54772791"/>
    <x v="0"/>
    <x v="0"/>
  </r>
  <r>
    <x v="5"/>
    <x v="7"/>
    <n v="40"/>
    <s v="SS25"/>
    <s v="RING"/>
    <s v="SS25"/>
    <n v="-50423830"/>
    <n v="-48984750"/>
    <d v="2024-10-04T00:00:00"/>
    <n v="210759"/>
    <s v="RHN5004"/>
    <x v="9"/>
    <x v="1"/>
    <s v="WJEW"/>
    <n v="5004"/>
    <n v="-1"/>
    <s v="None"/>
    <n v="-121070950"/>
    <n v="-112102731"/>
    <n v="9"/>
    <n v="-11087083"/>
    <n v="-11974050"/>
    <s v="Ngoc_Nguyen"/>
    <s v="VHN-TROTTOLA RING SIZE 53"/>
    <s v="Mrs. Pham Thanh Nga"/>
    <s v="T00749A 100"/>
    <n v="17"/>
    <s v="BLACK TITANIUM &amp;"/>
    <n v="-133045000"/>
    <n v="53"/>
    <n v="-123189815"/>
    <x v="1"/>
    <s v="0912195999"/>
    <n v="-61678901"/>
    <x v="0"/>
    <x v="0"/>
  </r>
  <r>
    <x v="5"/>
    <x v="7"/>
    <n v="40"/>
    <s v="SS25"/>
    <s v="RING"/>
    <s v="SS25"/>
    <n v="35665636"/>
    <n v="34647750"/>
    <d v="2024-10-04T00:00:00"/>
    <n v="210744"/>
    <s v="RHN5004"/>
    <x v="9"/>
    <x v="1"/>
    <s v="WJEW"/>
    <n v="5004"/>
    <n v="1"/>
    <s v="None"/>
    <n v="81926401.430000007"/>
    <n v="75857779"/>
    <n v="12.94"/>
    <n v="11276480"/>
    <n v="12178598.57"/>
    <s v="Ngoc_Nguyen"/>
    <s v="VHN-CALLA THE ONE RING SIZE 53"/>
    <s v="Mrs. Pham Thanh Nga"/>
    <s v="MG1800A 301"/>
    <n v="17"/>
    <s v="WHITE GOLD &amp; DIA"/>
    <n v="94105000"/>
    <s v="U"/>
    <n v="87134259"/>
    <x v="1"/>
    <s v="0912195999"/>
    <n v="40192143"/>
    <x v="0"/>
    <x v="0"/>
  </r>
  <r>
    <x v="5"/>
    <x v="7"/>
    <n v="40"/>
    <s v="SS25"/>
    <s v="RING"/>
    <s v="SS25"/>
    <n v="177098333"/>
    <n v="172044000"/>
    <d v="2024-10-04T00:00:00"/>
    <n v="210745"/>
    <s v="RHN5004"/>
    <x v="9"/>
    <x v="1"/>
    <s v="WJEW"/>
    <n v="5004"/>
    <n v="1"/>
    <s v="None"/>
    <n v="406803687.83999997"/>
    <n v="376670081"/>
    <n v="12.94"/>
    <n v="55996585"/>
    <n v="60476312.159999996"/>
    <s v="Ngoc_Nguyen"/>
    <s v="VHN-CALLA THE ONE RING SIZE 53"/>
    <s v="Mrs. Pham Thanh Nga"/>
    <s v="MG1800A 010"/>
    <n v="17"/>
    <s v="WHITE GOLD &amp; DIA"/>
    <n v="467280000"/>
    <s v="U"/>
    <n v="432666667"/>
    <x v="1"/>
    <s v="0912195999"/>
    <n v="199571748"/>
    <x v="0"/>
    <x v="0"/>
  </r>
  <r>
    <x v="5"/>
    <x v="7"/>
    <n v="40"/>
    <s v="SS25"/>
    <s v="EARRINGS"/>
    <s v="SS25"/>
    <n v="106996908"/>
    <n v="103943250"/>
    <d v="2024-10-04T00:00:00"/>
    <n v="210747"/>
    <s v="RHN5004"/>
    <x v="9"/>
    <x v="1"/>
    <s v="WJEW"/>
    <n v="5004"/>
    <n v="1"/>
    <s v="None"/>
    <n v="245777228.06999999"/>
    <n v="227571507"/>
    <n v="12.94"/>
    <n v="33831270"/>
    <n v="36537771.93"/>
    <s v="Ngoc_Nguyen"/>
    <s v="VHN-CALLA THE ONE EARRINGS"/>
    <s v="Mrs. Pham Thanh Nga"/>
    <s v="MG1800B 301"/>
    <n v="17"/>
    <s v="WHITE GOLD &amp; DIA"/>
    <n v="282315000"/>
    <s v="U"/>
    <n v="261402778"/>
    <x v="1"/>
    <s v="0912195999"/>
    <n v="120574599"/>
    <x v="0"/>
    <x v="0"/>
  </r>
  <r>
    <x v="5"/>
    <x v="7"/>
    <n v="40"/>
    <s v="SS25"/>
    <s v="EARRINGS"/>
    <s v="SS25"/>
    <n v="227522162"/>
    <n v="221028750"/>
    <d v="2024-10-04T00:00:00"/>
    <n v="210748"/>
    <s v="RHN5004"/>
    <x v="9"/>
    <x v="1"/>
    <s v="WJEW"/>
    <n v="5004"/>
    <n v="1"/>
    <s v="None"/>
    <n v="522629137.52999997"/>
    <n v="483915868"/>
    <n v="12.94"/>
    <n v="71940613"/>
    <n v="77695862.469999999"/>
    <s v="Ngoc_Nguyen"/>
    <s v="VHN-CALLA THE ONE EARRINGS"/>
    <s v="Mrs. Pham Thanh Nga"/>
    <s v="MG1800B 020"/>
    <n v="17"/>
    <s v="WHITE GOLD &amp; DIA"/>
    <n v="600325000"/>
    <s v="U"/>
    <n v="555856481"/>
    <x v="1"/>
    <s v="0912195999"/>
    <n v="256393706"/>
    <x v="0"/>
    <x v="0"/>
  </r>
  <r>
    <x v="5"/>
    <x v="7"/>
    <n v="40"/>
    <s v="SS25"/>
    <s v="BRACELET"/>
    <s v="SS25"/>
    <n v="133747502"/>
    <n v="129930390"/>
    <d v="2024-10-04T00:00:00"/>
    <n v="210756"/>
    <s v="RHN5004"/>
    <x v="9"/>
    <x v="1"/>
    <s v="WJEW"/>
    <n v="5004"/>
    <n v="1"/>
    <s v="None"/>
    <n v="279292739.91000003"/>
    <n v="258604389"/>
    <n v="12.94"/>
    <n v="38444685"/>
    <n v="41520260.090000004"/>
    <s v="Ngoc_Nguyen"/>
    <s v="VHN-MON JEU BRACELET"/>
    <s v="Mrs. Pham Thanh Nga"/>
    <s v="T01332CO630 &amp; TG1332CO030"/>
    <n v="17"/>
    <s v="BLACK TITANIUM &amp;"/>
    <n v="320813000"/>
    <s v="U"/>
    <n v="297049074"/>
    <x v="1"/>
    <s v="0912195999"/>
    <n v="124856887"/>
    <x v="0"/>
    <x v="0"/>
  </r>
  <r>
    <x v="5"/>
    <x v="7"/>
    <n v="40"/>
    <s v="SS25"/>
    <s v="BRACELET"/>
    <s v="SS25"/>
    <n v="37818024"/>
    <n v="36738562.5"/>
    <d v="2024-10-04T00:00:00"/>
    <n v="210758"/>
    <s v="RHN5004"/>
    <x v="9"/>
    <x v="1"/>
    <s v="WJEW"/>
    <n v="5004"/>
    <n v="1"/>
    <s v="None"/>
    <n v="95665525.819999993"/>
    <n v="88579191"/>
    <n v="12.94"/>
    <n v="13168958"/>
    <n v="14222474.18"/>
    <s v="Ngoc_Nguyen"/>
    <s v="VHN-MON JEU BRACELET"/>
    <s v="Mrs. Pham Thanh Nga"/>
    <s v="TG1332CO061"/>
    <n v="17"/>
    <s v="BLACK TITANIUM &amp;"/>
    <n v="109888000"/>
    <s v="U"/>
    <n v="101748148"/>
    <x v="1"/>
    <s v="0912195999"/>
    <n v="50761167"/>
    <x v="0"/>
    <x v="0"/>
  </r>
  <r>
    <x v="5"/>
    <x v="7"/>
    <n v="40"/>
    <s v="SS25"/>
    <s v="BRACELET"/>
    <s v="SS25"/>
    <n v="82461865"/>
    <n v="80108430"/>
    <d v="2024-10-04T00:00:00"/>
    <n v="210757"/>
    <s v="RHN5004"/>
    <x v="9"/>
    <x v="1"/>
    <s v="WJEW"/>
    <n v="5004"/>
    <n v="1"/>
    <s v="None"/>
    <n v="218297182.75"/>
    <n v="202127021"/>
    <n v="12.94"/>
    <n v="30048905"/>
    <n v="32452817.25"/>
    <s v="Ngoc_Nguyen"/>
    <s v="VHN-MON JEU BRACELET"/>
    <s v="Mrs. Pham Thanh Nga"/>
    <s v="P01332CO101 &amp; T013322CO630"/>
    <n v="17"/>
    <s v="GOLD &amp; BLACK TIT"/>
    <n v="250750000"/>
    <s v="U"/>
    <n v="232175926"/>
    <x v="1"/>
    <s v="0912195999"/>
    <n v="119665156"/>
    <x v="0"/>
    <x v="0"/>
  </r>
  <r>
    <x v="5"/>
    <x v="7"/>
    <n v="40"/>
    <s v="SS25"/>
    <s v="RING"/>
    <s v="SS25"/>
    <n v="50423830"/>
    <n v="48984750"/>
    <d v="2024-10-04T00:00:00"/>
    <n v="210759"/>
    <s v="RHN5004"/>
    <x v="9"/>
    <x v="1"/>
    <s v="WJEW"/>
    <n v="5004"/>
    <n v="1"/>
    <s v="None"/>
    <n v="115826582.19"/>
    <n v="107246835"/>
    <n v="12.94"/>
    <n v="15942979"/>
    <n v="17218417.809999999"/>
    <s v="Ngoc_Nguyen"/>
    <s v="VHN-TROTTOLA RING SIZE 53"/>
    <s v="Mrs. Pham Thanh Nga"/>
    <s v="T00749A 100"/>
    <n v="17"/>
    <s v="BLACK TITANIUM &amp;"/>
    <n v="133045000"/>
    <n v="53"/>
    <n v="123189815"/>
    <x v="1"/>
    <s v="0912195999"/>
    <n v="56823005"/>
    <x v="0"/>
    <x v="0"/>
  </r>
  <r>
    <x v="5"/>
    <x v="7"/>
    <n v="40"/>
    <s v="FW24"/>
    <s v="EARRINGS"/>
    <s v="FW24"/>
    <n v="108935436"/>
    <n v="107527500"/>
    <d v="2024-10-05T00:00:00"/>
    <n v="209320"/>
    <s v="RWR8664"/>
    <x v="9"/>
    <x v="0"/>
    <s v="WJEW"/>
    <n v="8664"/>
    <n v="1"/>
    <s v="Credit Card"/>
    <n v="272580000"/>
    <n v="252388889"/>
    <n v="0"/>
    <n v="0"/>
    <n v="0"/>
    <s v="Ha_Nguyen"/>
    <s v="VHN - EARCLIPS Pirouette White Gold Gr 0,80"/>
    <s v="Mrs. Nguyen Thi Thao Nhi"/>
    <s v="0N0623B 110 B"/>
    <n v="13"/>
    <s v="GOLD"/>
    <n v="272580000"/>
    <s v="U"/>
    <n v="252388889"/>
    <x v="4"/>
    <s v="0908297658"/>
    <n v="143453453"/>
    <x v="0"/>
    <x v="1"/>
  </r>
  <r>
    <x v="5"/>
    <x v="7"/>
    <n v="42"/>
    <s v="SS24"/>
    <s v="NECKLACE"/>
    <s v="SS24"/>
    <n v="3553967"/>
    <n v="3306000"/>
    <d v="2024-10-18T00:00:00"/>
    <n v="208273"/>
    <s v="RWR8695"/>
    <x v="7"/>
    <x v="0"/>
    <s v="WACC"/>
    <n v="8695"/>
    <n v="1"/>
    <s v="Cash"/>
    <n v="10580000"/>
    <n v="9796296"/>
    <n v="0"/>
    <n v="0"/>
    <n v="0"/>
    <s v="Ha_Nguyen"/>
    <s v="LUI - SHORT SILVER NECKLACE GOLD-PLATED WITH SHIVA LINGAM 40 CM WITH RINGS (5 CM) FINAL SHIVA LINGAM."/>
    <s v="Mrs. Nguyen Hong Thao"/>
    <s v="CA0012/POG"/>
    <n v="13"/>
    <s v="GOLD"/>
    <n v="10580000"/>
    <s v="U"/>
    <n v="9796296"/>
    <x v="37"/>
    <s v="0937793338"/>
    <n v="6242329"/>
    <x v="0"/>
    <x v="1"/>
  </r>
  <r>
    <x v="5"/>
    <x v="7"/>
    <n v="43"/>
    <s v="FW24"/>
    <s v="NECKLACE"/>
    <s v="FW24"/>
    <n v="2204274"/>
    <n v="2140714.7999999998"/>
    <d v="2024-10-22T00:00:00"/>
    <n v="205008"/>
    <s v="RWT7933"/>
    <x v="4"/>
    <x v="4"/>
    <s v="WJEW"/>
    <n v="7933"/>
    <n v="1"/>
    <s v="Credit Card"/>
    <n v="12845000"/>
    <n v="11893519"/>
    <n v="0"/>
    <n v="0"/>
    <n v="0"/>
    <s v="Chau_Vuong"/>
    <s v="GEO-PEARL NECKLACE"/>
    <s v="Ms. Vu Thi Hoa"/>
    <n v="11"/>
    <n v="18"/>
    <s v="PEARL"/>
    <n v="12845000"/>
    <s v="OS"/>
    <n v="11893519"/>
    <x v="46"/>
    <s v="0904911411"/>
    <n v="9689245"/>
    <x v="0"/>
    <x v="1"/>
  </r>
  <r>
    <x v="5"/>
    <x v="7"/>
    <n v="43"/>
    <s v="SS24"/>
    <s v="EARRINGS"/>
    <s v="SS24"/>
    <n v="4166199"/>
    <n v="3876000"/>
    <d v="2024-10-25T00:00:00"/>
    <n v="208330"/>
    <s v="RHN5103"/>
    <x v="7"/>
    <x v="1"/>
    <s v="WACC"/>
    <n v="5103"/>
    <n v="1"/>
    <s v="Credit Card"/>
    <n v="12404000"/>
    <n v="11485185"/>
    <n v="0"/>
    <n v="0"/>
    <n v="0"/>
    <s v="Ngoc_Nguyen"/>
    <s v="LUI - SILVER EARRINGS WITH 6 STONES (4MM) ROCK CRYSTAL"/>
    <s v="Le Hoang Phuong"/>
    <s v="OA0279/V/1"/>
    <n v="14"/>
    <s v="WHITE"/>
    <n v="12404000"/>
    <s v="U"/>
    <n v="11485185"/>
    <x v="30"/>
    <s v="0388883333"/>
    <n v="7318986"/>
    <x v="0"/>
    <x v="2"/>
  </r>
  <r>
    <x v="5"/>
    <x v="7"/>
    <n v="43"/>
    <s v="SS23"/>
    <s v="RING"/>
    <s v="SS23"/>
    <n v="5605583"/>
    <n v="5049000"/>
    <d v="2024-10-25T00:00:00"/>
    <n v="182180"/>
    <s v="RHN5102"/>
    <x v="7"/>
    <x v="1"/>
    <s v="WACC"/>
    <n v="5102"/>
    <n v="1"/>
    <s v="Credit Card"/>
    <n v="16157000"/>
    <n v="14960185"/>
    <n v="0"/>
    <n v="0"/>
    <n v="0"/>
    <s v="Ngoc_Nguyen"/>
    <s v="MAL - ENGRAVED SILVER RING WITH NATURAL STONE, EMERALD CUT ( 14 X 12,40 X H 8 MM )   COLOR CITRINE   TG 11"/>
    <s v="Le Hoang Phuong"/>
    <s v="AA0093/V2"/>
    <n v="13"/>
    <s v="CITRINE"/>
    <n v="16157000"/>
    <n v="11"/>
    <n v="14960185"/>
    <x v="30"/>
    <s v="0388883333"/>
    <n v="9354602"/>
    <x v="0"/>
    <x v="2"/>
  </r>
  <r>
    <x v="5"/>
    <x v="7"/>
    <n v="43"/>
    <s v="SS24"/>
    <s v="NECKLACE"/>
    <s v="SS24"/>
    <n v="4655984"/>
    <n v="4332000"/>
    <d v="2024-10-25T00:00:00"/>
    <n v="208282"/>
    <s v="RHN5102"/>
    <x v="7"/>
    <x v="1"/>
    <s v="WACC"/>
    <n v="5102"/>
    <n v="1"/>
    <s v="Credit Card"/>
    <n v="13863000"/>
    <n v="12836111"/>
    <n v="0"/>
    <n v="0"/>
    <n v="0"/>
    <s v="Ngoc_Nguyen"/>
    <s v="LUI - SILVER NECKLACE, ENGRAVED"/>
    <s v="Le Hoang Phuong"/>
    <s v="CA0228"/>
    <n v="13"/>
    <s v="WHITE"/>
    <n v="13863000"/>
    <s v="U"/>
    <n v="12836111"/>
    <x v="30"/>
    <s v="0388883333"/>
    <n v="8180127"/>
    <x v="0"/>
    <x v="2"/>
  </r>
  <r>
    <x v="5"/>
    <x v="7"/>
    <n v="43"/>
    <s v="SS24"/>
    <s v="NECKLACE"/>
    <s v="SS24"/>
    <n v="3651924"/>
    <n v="3397200"/>
    <d v="2024-10-25T00:00:00"/>
    <n v="208292"/>
    <s v="RHN5102"/>
    <x v="7"/>
    <x v="1"/>
    <s v="WACC"/>
    <n v="5102"/>
    <n v="1"/>
    <s v="Credit Card"/>
    <n v="10872000"/>
    <n v="10066667"/>
    <n v="0"/>
    <n v="0"/>
    <n v="0"/>
    <s v="Ngoc_Nguyen"/>
    <s v="LUI - SILVER NECKLACE WITH STONES AND STONES AND PEARLS EMERALD CUT  ROCK CRYSTAL"/>
    <s v="Le Hoang Phuong"/>
    <s v="CA0256/V1"/>
    <n v="13"/>
    <s v="SMOKY, WHITE"/>
    <n v="10872000"/>
    <s v="U"/>
    <n v="10066667"/>
    <x v="30"/>
    <s v="0388883333"/>
    <n v="6414743"/>
    <x v="0"/>
    <x v="2"/>
  </r>
  <r>
    <x v="5"/>
    <x v="7"/>
    <n v="43"/>
    <s v="SS23"/>
    <s v="NECKLACE"/>
    <s v="SS23"/>
    <n v="4706292"/>
    <n v="4239000"/>
    <d v="2024-10-25T00:00:00"/>
    <n v="182207"/>
    <s v="RHN5102"/>
    <x v="7"/>
    <x v="1"/>
    <s v="WACC"/>
    <n v="5102"/>
    <n v="1"/>
    <s v="Credit Card"/>
    <n v="15687000"/>
    <n v="14525000"/>
    <n v="0"/>
    <n v="0"/>
    <n v="0"/>
    <s v="Ngoc_Nguyen"/>
    <s v="MAL - SILVER NECKLESS WITH SHIVA LINGAM AND PEARLS"/>
    <s v="Le Hoang Phuong"/>
    <s v="CA0012/PERLE"/>
    <n v="13"/>
    <s v="SHIVA LINGAM AND"/>
    <n v="15687000"/>
    <s v="U"/>
    <n v="14525000"/>
    <x v="30"/>
    <s v="0388883333"/>
    <n v="9818708"/>
    <x v="0"/>
    <x v="2"/>
  </r>
  <r>
    <x v="5"/>
    <x v="7"/>
    <n v="44"/>
    <s v="SS25"/>
    <s v="EARRINGS"/>
    <s v="SS25"/>
    <n v="297616497"/>
    <n v="285545250"/>
    <d v="2024-10-30T00:00:00"/>
    <n v="211202"/>
    <s v="RHN5128"/>
    <x v="9"/>
    <x v="1"/>
    <s v="WJEW"/>
    <n v="5128"/>
    <n v="1"/>
    <s v="Account"/>
    <n v="697999500"/>
    <n v="646295833"/>
    <n v="10"/>
    <n v="71810648"/>
    <n v="77555500"/>
    <s v="Ngoc_Nguyen"/>
    <s v="VHN-CALLA THE ONE EARRINGS"/>
    <s v="Mrs. Pham Thanh Nga"/>
    <s v="MG1800B 050"/>
    <n v="19"/>
    <s v="GOLD DIAMONDS"/>
    <n v="775555000"/>
    <s v="U"/>
    <n v="718106481"/>
    <x v="3"/>
    <s v="0912195999"/>
    <n v="348679336"/>
    <x v="0"/>
    <x v="1"/>
  </r>
  <r>
    <x v="5"/>
    <x v="7"/>
    <n v="44"/>
    <s v="SS23"/>
    <s v="EARRINGS"/>
    <s v="SS23"/>
    <n v="108790221"/>
    <n v="101426250"/>
    <d v="2024-10-30T00:00:00"/>
    <n v="182560"/>
    <s v="RHN5125"/>
    <x v="2"/>
    <x v="1"/>
    <s v="WACC"/>
    <n v="5125"/>
    <n v="1"/>
    <s v="Account"/>
    <n v="270900000"/>
    <n v="250833333"/>
    <n v="0"/>
    <n v="0"/>
    <n v="0"/>
    <s v="Ngoc_Nguyen"/>
    <s v="NAK - Ruffled Ear Lasso Earrings: 7.96 cts black spinel  rose gold; 1 5/8 inches in length"/>
    <s v="Ms. Duong Thuy Linh"/>
    <s v="10355-BSL-20R"/>
    <n v="17"/>
    <s v="BLACK SPINEL  RO"/>
    <n v="270900000"/>
    <s v="U"/>
    <n v="250833333"/>
    <x v="14"/>
    <s v="0914587765"/>
    <n v="142043112"/>
    <x v="0"/>
    <x v="1"/>
  </r>
  <r>
    <x v="5"/>
    <x v="11"/>
    <n v="44"/>
    <s v="SS24"/>
    <s v="RING"/>
    <s v="SS24"/>
    <n v="3177199"/>
    <n v="2374050"/>
    <d v="2024-11-02T00:00:00"/>
    <n v="202748"/>
    <s v="RWR8736"/>
    <x v="1"/>
    <x v="0"/>
    <s v="WJEW"/>
    <n v="8736"/>
    <n v="1"/>
    <s v="Credit Card"/>
    <n v="7867000"/>
    <n v="7284259"/>
    <n v="0"/>
    <n v="0"/>
    <n v="0"/>
    <s v="Ha_Nguyen"/>
    <s v="ROM-AYA DIX IG (52) R-C-AYA-6 Rings - With Setting Sterling Silver - Icy Grey Diamond: 1p, 0.2ct"/>
    <s v="Tourist"/>
    <s v="RG-077271"/>
    <n v="12"/>
    <s v="IcyGrey Diamond"/>
    <n v="7867000"/>
    <n v="52"/>
    <n v="7284259"/>
    <x v="37"/>
    <m/>
    <n v="4107060"/>
    <x v="0"/>
    <x v="1"/>
  </r>
  <r>
    <x v="5"/>
    <x v="11"/>
    <n v="44"/>
    <s v="SS12"/>
    <s v="JEWELRY"/>
    <s v="SS12"/>
    <n v="3841200"/>
    <n v="3841200"/>
    <d v="2024-11-02T00:00:00"/>
    <n v="37103"/>
    <s v="RWR8735"/>
    <x v="1"/>
    <x v="0"/>
    <s v="WACC"/>
    <n v="8735"/>
    <n v="1"/>
    <s v="Credit Card"/>
    <n v="14367000"/>
    <n v="13302778"/>
    <n v="0"/>
    <n v="0"/>
    <n v="0"/>
    <s v="Ha_Nguyen"/>
    <s v="RM Silver ring-top silver treated head set with icy diamonds-middle rubis"/>
    <s v="Tourist"/>
    <s v="NINKA S-ST DIX (ICY-RU)"/>
    <n v="12"/>
    <s v="SILVER"/>
    <n v="14367000"/>
    <n v="10"/>
    <n v="13302778"/>
    <x v="37"/>
    <m/>
    <n v="9461578"/>
    <x v="0"/>
    <x v="1"/>
  </r>
  <r>
    <x v="5"/>
    <x v="11"/>
    <n v="44"/>
    <s v="SS24"/>
    <s v="RING"/>
    <s v="SS24"/>
    <n v="10478376"/>
    <n v="11088495"/>
    <d v="2024-11-02T00:00:00"/>
    <n v="206888"/>
    <s v="RWR8737"/>
    <x v="8"/>
    <x v="0"/>
    <s v="WACC"/>
    <n v="8737"/>
    <n v="1"/>
    <s v="Credit Card"/>
    <n v="28910400"/>
    <n v="26768889"/>
    <n v="5"/>
    <n v="1408889"/>
    <n v="1521600"/>
    <s v="Ha_Nguyen"/>
    <s v="NAN - &quot;ÉLITE&quot; RING GOLD 18K 1.7"/>
    <s v="Ms. Nguyen Thi Xuan Hong"/>
    <s v="AS25-583"/>
    <n v="16"/>
    <s v="ROSE"/>
    <n v="30432000"/>
    <n v="13"/>
    <n v="28177778"/>
    <x v="4"/>
    <s v="0908140263"/>
    <n v="16290513"/>
    <x v="0"/>
    <x v="1"/>
  </r>
  <r>
    <x v="5"/>
    <x v="11"/>
    <n v="44"/>
    <s v="SS24"/>
    <s v="RING"/>
    <s v="SS24"/>
    <n v="8958612"/>
    <n v="9480240"/>
    <d v="2024-11-02T00:00:00"/>
    <n v="206889"/>
    <s v="RWR8737"/>
    <x v="8"/>
    <x v="0"/>
    <s v="WACC"/>
    <n v="8737"/>
    <n v="1"/>
    <s v="Credit Card"/>
    <n v="24716150"/>
    <n v="22885324"/>
    <n v="5"/>
    <n v="1204491"/>
    <n v="1300850"/>
    <s v="Ha_Nguyen"/>
    <s v="NAN - &quot;ÉLITE&quot; SMALL RING GOLD 18K 1.28 WITH DIAMOND 0.05CT"/>
    <s v="Ms. Nguyen Thi Xuan Hong"/>
    <s v="AS26-583"/>
    <n v="16"/>
    <s v="ROSE"/>
    <n v="26017000"/>
    <n v="10"/>
    <n v="24089815"/>
    <x v="4"/>
    <s v="0908140263"/>
    <n v="13926712"/>
    <x v="0"/>
    <x v="1"/>
  </r>
  <r>
    <x v="5"/>
    <x v="11"/>
    <n v="44"/>
    <s v="SS24"/>
    <s v="RING"/>
    <s v="SS24"/>
    <n v="11998140"/>
    <n v="12696750"/>
    <d v="2024-11-02T00:00:00"/>
    <n v="206891"/>
    <s v="RWR8737"/>
    <x v="8"/>
    <x v="0"/>
    <s v="WACC"/>
    <n v="8737"/>
    <n v="1"/>
    <s v="Credit Card"/>
    <n v="33102750"/>
    <n v="30650694"/>
    <n v="5"/>
    <n v="1613194"/>
    <n v="1742250"/>
    <s v="Ha_Nguyen"/>
    <s v="NAN - &quot;AZURE&quot; SMALL RING GOLD 2.20, DIAMONDS 0.04CT AND MILKY AQUAMARINE 4.75CT"/>
    <s v="Ms. Nguyen Thi Xuan Hong"/>
    <s v="AS5-575"/>
    <n v="16"/>
    <s v="YELLOW"/>
    <n v="34845000"/>
    <n v="11"/>
    <n v="32263889"/>
    <x v="4"/>
    <s v="0908140263"/>
    <n v="18652554"/>
    <x v="0"/>
    <x v="1"/>
  </r>
  <r>
    <x v="5"/>
    <x v="11"/>
    <n v="44"/>
    <s v="SS24"/>
    <s v="EARRINGS"/>
    <s v="SS24"/>
    <n v="34839743"/>
    <n v="34902450"/>
    <d v="2024-11-03T00:00:00"/>
    <n v="202695"/>
    <s v="RWD2288"/>
    <x v="8"/>
    <x v="6"/>
    <s v="WACC"/>
    <n v="2288"/>
    <n v="1"/>
    <s v="Account"/>
    <n v="90995750"/>
    <n v="84255324"/>
    <n v="5"/>
    <n v="4434491"/>
    <n v="4789250"/>
    <s v="Diem_NguyenSM"/>
    <s v="NAN - &quot;LIBERA&quot; BIG GOLD 5.92 SQUARE HOOP EARRINGS WITH DIAMONDS 0.29CT"/>
    <s v="Mrs. Le Thu Ngan"/>
    <s v="OS3-602"/>
    <n v="12"/>
    <s v="RRLU"/>
    <n v="95785000"/>
    <s v="L"/>
    <n v="88689815"/>
    <x v="29"/>
    <s v="0983352011"/>
    <n v="49415581"/>
    <x v="0"/>
    <x v="1"/>
  </r>
  <r>
    <x v="5"/>
    <x v="11"/>
    <n v="44"/>
    <s v="FW24"/>
    <s v="RING"/>
    <s v="FW24"/>
    <n v="65899215"/>
    <n v="65047500"/>
    <d v="2024-11-03T00:00:00"/>
    <n v="209310"/>
    <s v="RWR8739"/>
    <x v="9"/>
    <x v="0"/>
    <s v="WJEW"/>
    <n v="8739"/>
    <n v="1"/>
    <s v="Credit Card"/>
    <n v="168740000"/>
    <n v="156240741"/>
    <n v="0"/>
    <n v="0"/>
    <n v="0"/>
    <s v="Nghia_Nguyen"/>
    <s v="VHN - Ring Abbraccio S Gold Gr 15,00"/>
    <s v="Ms. Le Thi Thu Ngan"/>
    <s v="0N1511A 100"/>
    <n v="12"/>
    <s v="GOLD"/>
    <n v="168740000"/>
    <n v="54"/>
    <n v="156240741"/>
    <x v="19"/>
    <s v="0905932376"/>
    <n v="90341526"/>
    <x v="0"/>
    <x v="0"/>
  </r>
  <r>
    <x v="5"/>
    <x v="11"/>
    <n v="44"/>
    <s v="FW24"/>
    <s v="RING"/>
    <s v="FW24"/>
    <n v="65899215"/>
    <n v="65047500"/>
    <d v="2024-11-03T00:00:00"/>
    <n v="209310"/>
    <s v="RWR8741"/>
    <x v="9"/>
    <x v="0"/>
    <s v="WJEW"/>
    <n v="8741"/>
    <n v="1"/>
    <s v="Credit Card"/>
    <n v="168740000"/>
    <n v="156240741"/>
    <n v="0"/>
    <n v="0"/>
    <n v="0"/>
    <s v="Nghia_Nguyen"/>
    <s v="VHN - Ring Abbraccio S Gold Gr 15,00"/>
    <s v="Mrs. Le Thu Ngan"/>
    <s v="0N1511A 100"/>
    <n v="12"/>
    <s v="GOLD"/>
    <n v="168740000"/>
    <n v="54"/>
    <n v="156240741"/>
    <x v="19"/>
    <s v="0983352011"/>
    <n v="90341526"/>
    <x v="0"/>
    <x v="0"/>
  </r>
  <r>
    <x v="5"/>
    <x v="11"/>
    <n v="44"/>
    <s v="FW24"/>
    <s v="RING"/>
    <s v="FW24"/>
    <n v="-65899215"/>
    <n v="-65047500"/>
    <d v="2024-11-03T00:00:00"/>
    <n v="209310"/>
    <s v="RWR8740"/>
    <x v="9"/>
    <x v="0"/>
    <s v="WJEW"/>
    <n v="8740"/>
    <n v="-1"/>
    <s v="Credit Card"/>
    <n v="-168740000"/>
    <n v="-156240741"/>
    <n v="0"/>
    <n v="0"/>
    <n v="0"/>
    <s v="Nghia_Nguyen"/>
    <s v="VHN - Ring Abbraccio S Gold Gr 15,00"/>
    <s v="Ms. Le Thi Thu Ngan"/>
    <s v="0N1511A 100"/>
    <n v="12"/>
    <s v="GOLD"/>
    <n v="-168740000"/>
    <n v="54"/>
    <n v="-156240741"/>
    <x v="19"/>
    <s v="0905932376"/>
    <n v="-90341526"/>
    <x v="0"/>
    <x v="0"/>
  </r>
  <r>
    <x v="5"/>
    <x v="11"/>
    <n v="45"/>
    <s v="FW24"/>
    <s v="RING"/>
    <s v="FW24"/>
    <n v="54618107"/>
    <n v="43884000"/>
    <d v="2024-11-06T00:00:00"/>
    <n v="210772"/>
    <s v="RWR8746"/>
    <x v="0"/>
    <x v="0"/>
    <s v="WACC"/>
    <n v="8746"/>
    <n v="1"/>
    <s v="Credit Card"/>
    <n v="133560000"/>
    <n v="123666667"/>
    <n v="0"/>
    <n v="0"/>
    <n v="0"/>
    <s v="Nghia_Nguyen"/>
    <s v="SPK-G3 BANDS RING (LIBRA GRIS MAX) 3.8MM SS,  2.8MM SS/GREY DIAMOND, 3.8MM SS,  2X YG CONNECTORS (APPROX 1.2CT TW) sliver weight 25.3g / gold weight 2.2g"/>
    <s v="Ms. EKATERINA FEDORCHENKO"/>
    <s v="G3-CUSTOM"/>
    <n v="13"/>
    <s v="SLIVER, GOLD, GR"/>
    <n v="133560000"/>
    <n v="7"/>
    <n v="123666667"/>
    <x v="41"/>
    <s v="0774219134"/>
    <n v="69048560"/>
    <x v="0"/>
    <x v="1"/>
  </r>
  <r>
    <x v="5"/>
    <x v="11"/>
    <n v="45"/>
    <s v="SS23"/>
    <s v="BRACELET"/>
    <s v="SS23"/>
    <n v="3383734"/>
    <n v="3435750"/>
    <d v="2024-11-06T00:00:00"/>
    <n v="182206"/>
    <s v="RWT7991"/>
    <x v="7"/>
    <x v="4"/>
    <s v="WACC"/>
    <n v="7991"/>
    <n v="1"/>
    <s v="Credit Card"/>
    <n v="10995000"/>
    <n v="10180556"/>
    <n v="0"/>
    <n v="0"/>
    <n v="0"/>
    <s v="Chau_Vuong"/>
    <s v="MAL - ENGRAVED SILVER BANGLE WITH 2 NATURAL STONES, DROP CUT (7X10)  ROCK CRYSTAL - CITRINE"/>
    <s v="Ms. Duong thi Hong Hanh"/>
    <s v="BA0143/CITRINE"/>
    <n v="15"/>
    <s v="CITRINE - ROCK C"/>
    <n v="10995000"/>
    <s v="U"/>
    <n v="10180556"/>
    <x v="48"/>
    <s v="0942388869"/>
    <n v="6796822"/>
    <x v="0"/>
    <x v="0"/>
  </r>
  <r>
    <x v="5"/>
    <x v="11"/>
    <n v="45"/>
    <s v="SS24"/>
    <s v="NECKLACE"/>
    <s v="SS24"/>
    <n v="2427460"/>
    <n v="2257200"/>
    <d v="2024-11-06T00:00:00"/>
    <n v="208302"/>
    <s v="RWT7991"/>
    <x v="7"/>
    <x v="4"/>
    <s v="WACC"/>
    <n v="7991"/>
    <n v="1"/>
    <s v="Credit Card"/>
    <n v="7224000"/>
    <n v="6688889"/>
    <n v="0"/>
    <n v="0"/>
    <n v="0"/>
    <s v="Chau_Vuong"/>
    <s v="LUI - SOUL SILVER NECKLACE  WITH 6mm ROUND CUTTED STONE ROCK CRYSTAL  CRISTALLO DI ROCCA"/>
    <s v="Ms. Duong thi Hong Hanh"/>
    <s v="CA0261"/>
    <n v="15"/>
    <s v="GOLD, WHITE"/>
    <n v="7224000"/>
    <s v="U"/>
    <n v="6688889"/>
    <x v="48"/>
    <s v="0942388869"/>
    <n v="4261429"/>
    <x v="0"/>
    <x v="0"/>
  </r>
  <r>
    <x v="5"/>
    <x v="11"/>
    <n v="45"/>
    <s v="SS23"/>
    <s v="NECKLACE"/>
    <s v="SS23"/>
    <n v="5860382"/>
    <n v="5278500"/>
    <d v="2024-11-06T00:00:00"/>
    <n v="182224"/>
    <s v="RWT7991"/>
    <x v="7"/>
    <x v="4"/>
    <s v="WACC"/>
    <n v="7991"/>
    <n v="1"/>
    <s v="Credit Card"/>
    <n v="16892000"/>
    <n v="15640741"/>
    <n v="0"/>
    <n v="0"/>
    <n v="0"/>
    <s v="Chau_Vuong"/>
    <s v="MAL - SHRI CAPSULE NECKLACE IN SILVER WITH 15 NATURAL STONES (6 NATURAL STONES 10X5 - 9 STONES 8X4) AND CLOSURE AT 110CM   MULTICOLOR  _x000a_ATTENZIONE: FARE VENSIONE CON PIETRE NON TROPPO CHIARE"/>
    <s v="Ms. Duong thi Hong Hanh"/>
    <s v="CA0191/V1"/>
    <n v="15"/>
    <s v="15 NATURAL STONE"/>
    <n v="16892000"/>
    <s v="U"/>
    <n v="15640741"/>
    <x v="48"/>
    <s v="0942388869"/>
    <n v="9780359"/>
    <x v="0"/>
    <x v="0"/>
  </r>
  <r>
    <x v="5"/>
    <x v="11"/>
    <n v="45"/>
    <s v="FW24"/>
    <s v="NECKLACE"/>
    <s v="FW24"/>
    <n v="1494675"/>
    <n v="1376173.8"/>
    <d v="2024-11-06T00:00:00"/>
    <n v="205011"/>
    <s v="RWT7991"/>
    <x v="4"/>
    <x v="4"/>
    <s v="WJEW"/>
    <n v="7991"/>
    <n v="1"/>
    <s v="Credit Card"/>
    <n v="8258000"/>
    <n v="7646296"/>
    <n v="0"/>
    <n v="0"/>
    <n v="0"/>
    <s v="Chau_Vuong"/>
    <s v="GEO-PEARL NECKLACE"/>
    <s v="Ms. Duong thi Hong Hanh"/>
    <n v="14"/>
    <n v="15"/>
    <s v="PEARL"/>
    <n v="8258000"/>
    <s v="OS"/>
    <n v="7646296"/>
    <x v="48"/>
    <s v="0942388869"/>
    <n v="6151621"/>
    <x v="0"/>
    <x v="0"/>
  </r>
  <r>
    <x v="5"/>
    <x v="11"/>
    <n v="45"/>
    <s v="SS25"/>
    <s v="EARRINGS"/>
    <s v="SS25"/>
    <n v="115808928"/>
    <n v="111111750"/>
    <d v="2024-11-08T00:00:00"/>
    <n v="211217"/>
    <s v="RWR8767"/>
    <x v="9"/>
    <x v="0"/>
    <s v="WJEW"/>
    <n v="8767"/>
    <n v="1"/>
    <s v="Credit Card"/>
    <n v="286695750"/>
    <n v="265459028"/>
    <n v="5"/>
    <n v="13971528"/>
    <n v="15089250"/>
    <s v="Ha_Nguyen"/>
    <s v="VHN-TOURBILLON S EARRINGS"/>
    <s v="Mrs. Nguyen Ngoc Phuong Anh"/>
    <s v="PG1527B 336 3,85"/>
    <n v="20"/>
    <s v="GOLD DIAMONDS"/>
    <n v="301785000"/>
    <s v="U"/>
    <n v="279430556"/>
    <x v="1"/>
    <s v="0915227784"/>
    <n v="149650100"/>
    <x v="0"/>
    <x v="0"/>
  </r>
  <r>
    <x v="5"/>
    <x v="11"/>
    <n v="45"/>
    <s v="SS24"/>
    <s v="RING"/>
    <s v="SS24"/>
    <n v="1491338"/>
    <n v="1114350"/>
    <d v="2024-11-10T00:00:00"/>
    <n v="202790"/>
    <s v="RHN5183"/>
    <x v="1"/>
    <x v="1"/>
    <s v="WJEW"/>
    <n v="5183"/>
    <n v="1"/>
    <s v="Credit Card"/>
    <n v="3693000"/>
    <n v="3419444"/>
    <n v="0"/>
    <n v="0"/>
    <n v="0"/>
    <s v="Ngoc_Nguyen"/>
    <s v="ROM-POPPY 1(1) S ST DIX RU (51)"/>
    <s v="Nguyen Xuan Hanh"/>
    <s v="RG-077357"/>
    <n v="16"/>
    <s v="Ruby, Silver"/>
    <n v="3693000"/>
    <n v="51"/>
    <n v="3419444"/>
    <x v="50"/>
    <s v="0904085048"/>
    <n v="1928106"/>
    <x v="0"/>
    <x v="0"/>
  </r>
  <r>
    <x v="5"/>
    <x v="11"/>
    <n v="45"/>
    <s v="SS24"/>
    <s v="RING"/>
    <s v="SS24"/>
    <n v="3177198"/>
    <n v="2374050"/>
    <d v="2024-11-10T00:00:00"/>
    <n v="202814"/>
    <s v="RHN5183"/>
    <x v="1"/>
    <x v="1"/>
    <s v="WJEW"/>
    <n v="5183"/>
    <n v="1"/>
    <s v="Credit Card"/>
    <n v="7867000"/>
    <n v="7284259"/>
    <n v="0"/>
    <n v="0"/>
    <n v="0"/>
    <s v="Ngoc_Nguyen"/>
    <s v="ROM-YTO S ST DIA IG SBL (51) R-H-YTO-41 Rings - With Setting Sterling Silver - Icy Grey Diamonds: 12p, 0.11ct -Blue Sapphire: 1p, 0.02ct"/>
    <s v="Nguyen Xuan Hanh"/>
    <s v="RG-075189"/>
    <n v="16"/>
    <s v="Blue Sapphire, I"/>
    <n v="7867000"/>
    <n v="51"/>
    <n v="7284259"/>
    <x v="50"/>
    <s v="0904085048"/>
    <n v="4107061"/>
    <x v="0"/>
    <x v="0"/>
  </r>
  <r>
    <x v="5"/>
    <x v="11"/>
    <n v="46"/>
    <s v="FW24"/>
    <s v="RING"/>
    <s v="FW24"/>
    <n v="534860867"/>
    <n v="543455000"/>
    <d v="2024-11-11T00:00:00"/>
    <n v="205079"/>
    <s v="RHN5190"/>
    <x v="5"/>
    <x v="1"/>
    <s v="WJEW"/>
    <n v="5190"/>
    <n v="1"/>
    <s v="Split"/>
    <n v="700004821.12"/>
    <n v="648152612"/>
    <n v="19.5"/>
    <n v="156965906"/>
    <n v="169523178.88"/>
    <s v="Ngoc_Nguyen"/>
    <s v="ATS-WG Ring: diamond octagon 8,30ct G/VS / grm 7.65 / size U"/>
    <s v="Ms. Pham Thi Anh Tuyet"/>
    <s v="139/AW6059W"/>
    <n v="14"/>
    <s v="diamond octagon"/>
    <n v="869528000"/>
    <s v="U"/>
    <n v="805118519"/>
    <x v="18"/>
    <s v="0904005226"/>
    <n v="113291745"/>
    <x v="0"/>
    <x v="2"/>
  </r>
  <r>
    <x v="5"/>
    <x v="11"/>
    <n v="46"/>
    <s v="FW24"/>
    <s v="EARRINGS"/>
    <s v="FW24"/>
    <n v="510376"/>
    <n v="484209.3"/>
    <d v="2024-11-16T00:00:00"/>
    <n v="205058"/>
    <s v="RWT8038"/>
    <x v="4"/>
    <x v="4"/>
    <s v="WJEW"/>
    <n v="8038"/>
    <n v="1"/>
    <s v="Credit Card"/>
    <n v="2906000"/>
    <n v="2690741"/>
    <n v="0"/>
    <n v="0"/>
    <n v="0"/>
    <s v="Chau_Vuong"/>
    <s v="GEO-EARRING CORNELIAN"/>
    <s v="Mrs. Vu Thi Nga"/>
    <n v="61"/>
    <n v="18"/>
    <s v="RED"/>
    <n v="2906000"/>
    <s v="OS"/>
    <n v="2690741"/>
    <x v="48"/>
    <s v="0902838314"/>
    <n v="2180365"/>
    <x v="0"/>
    <x v="0"/>
  </r>
  <r>
    <x v="5"/>
    <x v="11"/>
    <n v="46"/>
    <s v="SS24"/>
    <s v="EARRINGS"/>
    <s v="SS24"/>
    <n v="4533539"/>
    <n v="4218000"/>
    <d v="2024-11-17T00:00:00"/>
    <n v="208326"/>
    <s v="RHN5206"/>
    <x v="7"/>
    <x v="1"/>
    <s v="WACC"/>
    <n v="5206"/>
    <n v="1"/>
    <s v="Check"/>
    <n v="13498000"/>
    <n v="12498148"/>
    <n v="0"/>
    <n v="0"/>
    <n v="0"/>
    <s v="Ngoc_Nguyen"/>
    <s v="LUI - SILVER EARRINGS,LARGE SIZE WITH 7 EMERALD CUT STONES ORECCHINO (6X4) SMOKY QUARTZ  FUME'"/>
    <s v="Ms. Pham Thanh Giang"/>
    <s v="OA0271/L/V1"/>
    <n v="15"/>
    <s v="SMOKY"/>
    <n v="13498000"/>
    <s v="U"/>
    <n v="12498148"/>
    <x v="14"/>
    <s v="0912637666"/>
    <n v="7964609"/>
    <x v="0"/>
    <x v="1"/>
  </r>
  <r>
    <x v="5"/>
    <x v="11"/>
    <n v="47"/>
    <s v="SS23"/>
    <s v="RING"/>
    <s v="SS23"/>
    <n v="2098346"/>
    <n v="1890000"/>
    <d v="2024-11-18T00:00:00"/>
    <n v="182164"/>
    <s v="RHN5214"/>
    <x v="7"/>
    <x v="1"/>
    <s v="WACC"/>
    <n v="5214"/>
    <n v="1"/>
    <s v="Check"/>
    <n v="6048000"/>
    <n v="5600000"/>
    <n v="0"/>
    <n v="0"/>
    <n v="0"/>
    <s v="Ngoc_Nguyen"/>
    <s v="MAL - SILVER ENGRAVED RING &quot;SOLITAIRE&quot; WITH FACETED STONE 8MM - PERIDOT   TG 12"/>
    <s v="Ms. Duong thi Hong Hanh"/>
    <s v="AA0050"/>
    <n v="17"/>
    <s v="PERIDOT"/>
    <n v="6048000"/>
    <n v="12"/>
    <n v="5600000"/>
    <x v="50"/>
    <s v="0942388869"/>
    <n v="3501654"/>
    <x v="0"/>
    <x v="0"/>
  </r>
  <r>
    <x v="5"/>
    <x v="11"/>
    <n v="47"/>
    <s v="SS25"/>
    <s v="EARRINGS"/>
    <s v="SS25"/>
    <n v="167015282"/>
    <n v="158901750"/>
    <d v="2024-11-18T00:00:00"/>
    <n v="211110"/>
    <s v="RHN5210"/>
    <x v="9"/>
    <x v="1"/>
    <s v="WJEW"/>
    <n v="5210"/>
    <n v="1"/>
    <s v="Cash"/>
    <n v="410005750"/>
    <n v="379634954"/>
    <n v="5"/>
    <n v="19980787"/>
    <n v="21579250"/>
    <s v="Ngoc_Nguyen"/>
    <s v="VHN-ANNRACCIO EARRINGS"/>
    <s v="Pham Thanh Huong"/>
    <s v="PG1511B 365"/>
    <n v="11"/>
    <s v="WHITE GOLD"/>
    <n v="431585000"/>
    <s v="U"/>
    <n v="399615741"/>
    <x v="18"/>
    <s v="0934449329"/>
    <n v="212619672"/>
    <x v="0"/>
    <x v="2"/>
  </r>
  <r>
    <x v="5"/>
    <x v="11"/>
    <n v="47"/>
    <s v="SS24"/>
    <s v="RING"/>
    <s v="SS24"/>
    <n v="6095032"/>
    <n v="4554300"/>
    <d v="2024-11-18T00:00:00"/>
    <n v="202788"/>
    <s v="RHN5213"/>
    <x v="1"/>
    <x v="1"/>
    <s v="WJEW"/>
    <n v="5213"/>
    <n v="1"/>
    <s v="Check"/>
    <n v="13582800"/>
    <n v="12576667"/>
    <n v="10"/>
    <n v="1397407"/>
    <n v="1509200"/>
    <s v="Ngoc_Nguyen"/>
    <s v="ROM-POLA 1 (60) R-H-POLA1-1 Rings - No Setting Silver"/>
    <s v="Mr. Tung Duong"/>
    <s v="RG-077618"/>
    <n v="17"/>
    <s v="SILVER"/>
    <n v="15092000"/>
    <n v="60"/>
    <n v="13974074"/>
    <x v="47"/>
    <s v="0904193172"/>
    <n v="6481635"/>
    <x v="0"/>
    <x v="0"/>
  </r>
  <r>
    <x v="5"/>
    <x v="11"/>
    <n v="47"/>
    <s v="FW11"/>
    <s v="JEWELRY"/>
    <s v="FW11"/>
    <n v="4114521"/>
    <n v="4114520.73"/>
    <d v="2024-11-22T00:00:00"/>
    <n v="30051"/>
    <s v="RHN5227"/>
    <x v="1"/>
    <x v="1"/>
    <s v="WACC"/>
    <n v="5227"/>
    <n v="1"/>
    <s v="Credit Card"/>
    <n v="14689000"/>
    <n v="13600926"/>
    <n v="0"/>
    <n v="0"/>
    <n v="0"/>
    <s v="Huyen_Dang"/>
    <s v="RM Silver Ring - Top Mat"/>
    <s v="Le Hoang Phuong"/>
    <s v="JAIME"/>
    <n v="12"/>
    <s v="SILVER"/>
    <n v="14689000"/>
    <n v="10"/>
    <n v="13600926"/>
    <x v="3"/>
    <s v="0388883333"/>
    <n v="9486405"/>
    <x v="0"/>
    <x v="1"/>
  </r>
  <r>
    <x v="5"/>
    <x v="11"/>
    <n v="47"/>
    <s v="SS24"/>
    <s v="RING"/>
    <s v="SS24"/>
    <n v="4020128"/>
    <n v="3003900"/>
    <d v="2024-11-22T00:00:00"/>
    <n v="202798"/>
    <s v="RHN5227"/>
    <x v="1"/>
    <x v="1"/>
    <s v="WJEW"/>
    <n v="5227"/>
    <n v="1"/>
    <s v="Credit Card"/>
    <n v="9955000"/>
    <n v="9217593"/>
    <n v="0"/>
    <n v="0"/>
    <n v="0"/>
    <s v="Huyen_Dang"/>
    <s v="ROM-ROKY 1 (53) R-H-ROKY1-1 Rings - No Setting Sterling Silver"/>
    <s v="Le Hoang Phuong"/>
    <s v="RG-071451"/>
    <n v="12"/>
    <s v="SILVER"/>
    <n v="9955000"/>
    <n v="53"/>
    <n v="9217593"/>
    <x v="3"/>
    <s v="0388883333"/>
    <n v="5197465"/>
    <x v="0"/>
    <x v="1"/>
  </r>
  <r>
    <x v="5"/>
    <x v="11"/>
    <n v="47"/>
    <s v="SS23"/>
    <s v="RING"/>
    <s v="SS23"/>
    <n v="4646339"/>
    <n v="4185000"/>
    <d v="2024-11-22T00:00:00"/>
    <n v="182183"/>
    <s v="RHN5227"/>
    <x v="7"/>
    <x v="1"/>
    <s v="WACC"/>
    <n v="5227"/>
    <n v="1"/>
    <s v="Credit Card"/>
    <n v="13392000"/>
    <n v="12400000"/>
    <n v="0"/>
    <n v="0"/>
    <n v="0"/>
    <s v="Huyen_Dang"/>
    <s v="MAL - ENGRAVED SILVER RING WITH NATURAL STONE, CABOCHON, OVAL CUT    PRASIOLITE  TG 10"/>
    <s v="Le Hoang Phuong"/>
    <s v="AA0103/V2/10"/>
    <n v="12"/>
    <s v="PRASIOLITE"/>
    <n v="13392000"/>
    <n v="10"/>
    <n v="12400000"/>
    <x v="3"/>
    <s v="0388883333"/>
    <n v="7753661"/>
    <x v="0"/>
    <x v="1"/>
  </r>
  <r>
    <x v="5"/>
    <x v="11"/>
    <n v="47"/>
    <s v="FW24"/>
    <s v="EARRINGS"/>
    <s v="FW24"/>
    <n v="94141735"/>
    <n v="92925000"/>
    <d v="2024-11-24T00:00:00"/>
    <n v="209326"/>
    <s v="RHN5253"/>
    <x v="9"/>
    <x v="1"/>
    <s v="WJEW"/>
    <n v="5253"/>
    <n v="1"/>
    <s v="Cash"/>
    <n v="225040750"/>
    <n v="208371065"/>
    <n v="5"/>
    <n v="10966898"/>
    <n v="11844250"/>
    <s v="Huyen_Dang"/>
    <s v="VHN - EARCLIPS Vague Medio Gold"/>
    <s v="Mrs. Vu Thi Kim Ngan"/>
    <s v="0N0492B 100 A"/>
    <n v="17"/>
    <s v="GOLD"/>
    <n v="236885000"/>
    <s v="U"/>
    <n v="219337963"/>
    <x v="47"/>
    <s v="0366665666"/>
    <n v="114229330"/>
    <x v="0"/>
    <x v="0"/>
  </r>
  <r>
    <x v="5"/>
    <x v="11"/>
    <n v="47"/>
    <s v="SS25"/>
    <s v="RING"/>
    <s v="SS25"/>
    <n v="288899694"/>
    <n v="277182000"/>
    <d v="2024-11-24T00:00:00"/>
    <n v="211201"/>
    <s v="RWR8825"/>
    <x v="9"/>
    <x v="0"/>
    <s v="WJEW"/>
    <n v="8825"/>
    <n v="1"/>
    <s v="Split"/>
    <n v="752840000"/>
    <n v="697074074"/>
    <n v="0"/>
    <n v="0"/>
    <n v="0"/>
    <s v="Nghia_Nguyen"/>
    <s v="VHN-CALLA THE ONE RING"/>
    <s v="Mrs. Nguyen Thi Do Quyen"/>
    <s v="MG1801A 010"/>
    <n v="20"/>
    <s v="GOLD DIAMONDS"/>
    <n v="752840000"/>
    <n v="53"/>
    <n v="697074074"/>
    <x v="1"/>
    <s v="0902367888"/>
    <n v="408174380"/>
    <x v="0"/>
    <x v="0"/>
  </r>
  <r>
    <x v="5"/>
    <x v="11"/>
    <n v="48"/>
    <s v="SS24"/>
    <s v="RING"/>
    <s v="SS24"/>
    <n v="97079781"/>
    <n v="93919375"/>
    <d v="2024-11-26T00:00:00"/>
    <n v="205100"/>
    <s v="RHN5267"/>
    <x v="6"/>
    <x v="1"/>
    <s v="WJEW"/>
    <n v="5267"/>
    <n v="1"/>
    <s v="Check"/>
    <n v="235550000"/>
    <n v="218101852"/>
    <n v="0"/>
    <n v="0"/>
    <n v="0"/>
    <s v="Ngoc_Nguyen"/>
    <s v="GVC-WHITE GOLD RING W GOLD 18.10GR DIAMOND 1.85CT"/>
    <s v="Mrs. Nguyen Thi Minh Hue"/>
    <s v="AB17191"/>
    <n v="14"/>
    <s v="WHITE/DIAMOND"/>
    <n v="235550000"/>
    <n v="14"/>
    <n v="218101852"/>
    <x v="10"/>
    <s v="0906159999"/>
    <n v="121022071"/>
    <x v="0"/>
    <x v="1"/>
  </r>
  <r>
    <x v="5"/>
    <x v="11"/>
    <n v="48"/>
    <s v="FW24"/>
    <s v="EARRINGS"/>
    <s v="FW24"/>
    <n v="103555910"/>
    <n v="102217500"/>
    <d v="2024-11-26T00:00:00"/>
    <n v="209316"/>
    <s v="RHN5267"/>
    <x v="9"/>
    <x v="1"/>
    <s v="WJEW"/>
    <n v="5267"/>
    <n v="1"/>
    <s v="Check"/>
    <n v="259600000"/>
    <n v="240370370"/>
    <n v="0"/>
    <n v="0"/>
    <n v="0"/>
    <s v="Ngoc_Nguyen"/>
    <s v="VHN - EARCLIPS Verso Medio  Gold Gr 29,75"/>
    <s v="Mrs. Nguyen Thi Minh Hue"/>
    <s v="0N0567B 100 A"/>
    <n v="14"/>
    <s v="GOLD"/>
    <n v="259600000"/>
    <s v="U"/>
    <n v="240370370"/>
    <x v="10"/>
    <s v="0906159999"/>
    <n v="136814460"/>
    <x v="0"/>
    <x v="1"/>
  </r>
  <r>
    <x v="5"/>
    <x v="11"/>
    <n v="48"/>
    <s v="FW24"/>
    <s v="RING"/>
    <s v="FW24"/>
    <n v="49088190"/>
    <n v="48453750"/>
    <d v="2024-11-26T00:00:00"/>
    <n v="209291"/>
    <s v="RHN5267"/>
    <x v="9"/>
    <x v="1"/>
    <s v="WJEW"/>
    <n v="5267"/>
    <n v="1"/>
    <s v="Check"/>
    <n v="128177500"/>
    <n v="118682870"/>
    <n v="0"/>
    <n v="0"/>
    <n v="0"/>
    <s v="Ngoc_Nguyen"/>
    <s v="VHN - Ring Calla The One Gold Gr 9,30  11 Diamonds Ct 0,07"/>
    <s v="Mrs. Nguyen Thi Minh Hue"/>
    <s v="0G1801A 300"/>
    <n v="14"/>
    <s v="GOLD"/>
    <n v="128177500"/>
    <n v="54"/>
    <n v="118682870"/>
    <x v="10"/>
    <s v="0906159999"/>
    <n v="69594680"/>
    <x v="0"/>
    <x v="1"/>
  </r>
  <r>
    <x v="5"/>
    <x v="11"/>
    <n v="48"/>
    <s v="SS25"/>
    <s v="EARRINGS"/>
    <s v="SS25"/>
    <n v="72224924"/>
    <n v="69295500"/>
    <d v="2024-11-26T00:00:00"/>
    <n v="211203"/>
    <s v="RHN5267"/>
    <x v="9"/>
    <x v="1"/>
    <s v="WJEW"/>
    <n v="5267"/>
    <n v="1"/>
    <s v="Check"/>
    <n v="188210000"/>
    <n v="174268519"/>
    <n v="0"/>
    <n v="0"/>
    <n v="0"/>
    <s v="Ngoc_Nguyen"/>
    <s v="VHN-CALLA THE ONE EARRINGS"/>
    <s v="Mrs. Nguyen Thi Minh Hue"/>
    <s v="MG1800B 311"/>
    <n v="14"/>
    <s v="GOLD DIAMONDS"/>
    <n v="188210000"/>
    <s v="U"/>
    <n v="174268519"/>
    <x v="10"/>
    <s v="0906159999"/>
    <n v="102043595"/>
    <x v="0"/>
    <x v="1"/>
  </r>
  <r>
    <x v="5"/>
    <x v="11"/>
    <n v="48"/>
    <s v="SS25"/>
    <s v="NECKLACE"/>
    <s v="SS25"/>
    <n v="129342662"/>
    <n v="123059250"/>
    <d v="2024-11-27T00:00:00"/>
    <n v="210753"/>
    <s v="RHN5283"/>
    <x v="9"/>
    <x v="1"/>
    <s v="WJEW"/>
    <n v="5283"/>
    <n v="1"/>
    <s v="Split"/>
    <n v="317523250"/>
    <n v="294003009"/>
    <n v="5"/>
    <n v="15473843"/>
    <n v="16711750"/>
    <s v="Ngoc_Nguyen"/>
    <s v="VHN-CALLA NECKLACE"/>
    <s v="Mrs. Vu Thi Kim Ngan"/>
    <s v="000648CL264"/>
    <n v="15"/>
    <s v="GOLD &amp; BLACK EBO"/>
    <n v="334235000"/>
    <s v="U"/>
    <n v="309476852"/>
    <x v="10"/>
    <s v="0366665666"/>
    <n v="164660347"/>
    <x v="0"/>
    <x v="1"/>
  </r>
  <r>
    <x v="5"/>
    <x v="11"/>
    <n v="48"/>
    <s v="FW24"/>
    <s v="RING"/>
    <s v="FW24"/>
    <n v="76658270"/>
    <n v="75667500"/>
    <d v="2024-11-27T00:00:00"/>
    <n v="209314"/>
    <s v="RHN5283"/>
    <x v="9"/>
    <x v="1"/>
    <s v="WJEW"/>
    <n v="5283"/>
    <n v="1"/>
    <s v="Split"/>
    <n v="191130500"/>
    <n v="176972685"/>
    <n v="5"/>
    <n v="9314352"/>
    <n v="10059500"/>
    <s v="Ngoc_Nguyen"/>
    <s v="VHN - Ring Eclisse Gold Gr 19,80"/>
    <s v="Mrs. Vu Thi Kim Ngan"/>
    <s v="0N1138A 100"/>
    <n v="15"/>
    <s v="GOLD"/>
    <n v="201190000"/>
    <n v="51"/>
    <n v="186287037"/>
    <x v="47"/>
    <s v="0366665666"/>
    <n v="100314415"/>
    <x v="0"/>
    <x v="0"/>
  </r>
  <r>
    <x v="5"/>
    <x v="11"/>
    <n v="48"/>
    <s v="SS24"/>
    <s v="RING"/>
    <s v="SS24"/>
    <n v="3371720"/>
    <n v="2519400"/>
    <d v="2024-11-27T00:00:00"/>
    <n v="202812"/>
    <s v="RHN5278"/>
    <x v="1"/>
    <x v="1"/>
    <s v="WJEW"/>
    <n v="5278"/>
    <n v="1"/>
    <s v="Credit Card"/>
    <n v="8349000"/>
    <n v="7730556"/>
    <n v="0"/>
    <n v="0"/>
    <n v="0"/>
    <s v="Ngoc_Nguyen"/>
    <s v="ROM-YTO S ST DIA CO BLK (51) R-H-YTO-38 Rings - With Setting Sterling Silver - Cognac Diamonds: 12p, 0.11ct - Black Diamond: 1p, 0.02ct"/>
    <s v="Ms. Phan Tra My"/>
    <s v="RG-077361"/>
    <n v="12"/>
    <s v="Black Diamond, C"/>
    <n v="8349000"/>
    <n v="51"/>
    <n v="7730556"/>
    <x v="14"/>
    <s v="0945101083"/>
    <n v="4358836"/>
    <x v="0"/>
    <x v="1"/>
  </r>
  <r>
    <x v="5"/>
    <x v="11"/>
    <n v="48"/>
    <s v="SS24"/>
    <s v="EARRINGS"/>
    <s v="SS24"/>
    <n v="4533539"/>
    <n v="4218000"/>
    <d v="2024-11-27T00:00:00"/>
    <n v="208327"/>
    <s v="RWT8166"/>
    <x v="7"/>
    <x v="4"/>
    <s v="WACC"/>
    <n v="8166"/>
    <n v="1"/>
    <s v="Credit Card"/>
    <n v="12823100"/>
    <n v="11873241"/>
    <n v="5"/>
    <n v="624907"/>
    <n v="674900"/>
    <s v="Chau_Vuong"/>
    <s v="LUI - SILVER EARRINGS,LARGE SIZE WITH 7 EMERALD CUT STONES (6X4) ONIX"/>
    <s v="Ms. Ngo Thuy Ha"/>
    <s v="OA0271/L/V1"/>
    <n v="20"/>
    <s v="BLACK"/>
    <n v="13498000"/>
    <s v="U"/>
    <n v="12498148"/>
    <x v="44"/>
    <s v="0904150888"/>
    <n v="7339702"/>
    <x v="0"/>
    <x v="2"/>
  </r>
  <r>
    <x v="5"/>
    <x v="11"/>
    <n v="48"/>
    <s v="SS25"/>
    <s v="BRACELET"/>
    <s v="SS25"/>
    <n v="142307780"/>
    <n v="137396250"/>
    <d v="2024-11-28T00:00:00"/>
    <n v="212079"/>
    <s v="RHN5293"/>
    <x v="9"/>
    <x v="1"/>
    <s v="WJEW"/>
    <n v="5293"/>
    <n v="1"/>
    <s v="Account"/>
    <n v="354516250"/>
    <n v="328255787"/>
    <n v="5"/>
    <n v="17276620"/>
    <n v="18658750"/>
    <s v="Huyen_Dang"/>
    <s v="VHN-CALLA BRACELET"/>
    <s v="Mrs. Pham Thanh Nga"/>
    <s v="TG1648BR011"/>
    <n v="13"/>
    <s v="TITANIUM &amp; Diamo"/>
    <n v="373175000"/>
    <s v="U"/>
    <n v="345532407"/>
    <x v="47"/>
    <s v="0912195999"/>
    <n v="185948007"/>
    <x v="0"/>
    <x v="0"/>
  </r>
  <r>
    <x v="5"/>
    <x v="11"/>
    <n v="48"/>
    <s v="SS25"/>
    <s v="RING"/>
    <s v="SS25"/>
    <n v="39598686"/>
    <n v="38232000"/>
    <d v="2024-11-28T00:00:00"/>
    <n v="212080"/>
    <s v="RHN5293"/>
    <x v="9"/>
    <x v="1"/>
    <s v="WJEW"/>
    <n v="5293"/>
    <n v="1"/>
    <s v="Account"/>
    <n v="98648000"/>
    <n v="91340741"/>
    <n v="5"/>
    <n v="4807407"/>
    <n v="5192000"/>
    <s v="Huyen_Dang"/>
    <s v="VHN-CALLA MEDIA RING SIZE 60"/>
    <s v="Mrs. Pham Thanh Nga"/>
    <s v="TG1652A 001"/>
    <n v="13"/>
    <s v="TITANIUM &amp; Diamo"/>
    <n v="103840000"/>
    <n v="60"/>
    <n v="96148148"/>
    <x v="14"/>
    <s v="0912195999"/>
    <n v="51742055"/>
    <x v="0"/>
    <x v="1"/>
  </r>
  <r>
    <x v="5"/>
    <x v="11"/>
    <n v="48"/>
    <s v="SS25"/>
    <s v="EARRINGS"/>
    <s v="SS25"/>
    <n v="35267582"/>
    <n v="34050375"/>
    <d v="2024-11-28T00:00:00"/>
    <n v="212081"/>
    <s v="RHN5293"/>
    <x v="9"/>
    <x v="1"/>
    <s v="WJEW"/>
    <n v="5293"/>
    <n v="1"/>
    <s v="Account"/>
    <n v="87858850"/>
    <n v="81350787"/>
    <n v="5"/>
    <n v="4281620"/>
    <n v="4624150"/>
    <s v="Huyen_Dang"/>
    <s v="VHN-MON JEU EARSLIPS"/>
    <s v="Mrs. Pham Thanh Nga"/>
    <s v="001332MB103 - P01332MB111"/>
    <n v="13"/>
    <s v="GOLD &amp; WHITE GOL"/>
    <n v="92483000"/>
    <s v="U"/>
    <n v="85632407"/>
    <x v="3"/>
    <s v="0912195999"/>
    <n v="46083205"/>
    <x v="0"/>
    <x v="1"/>
  </r>
  <r>
    <x v="5"/>
    <x v="11"/>
    <n v="48"/>
    <s v="FW24"/>
    <s v="NECKLACE"/>
    <s v="FW24"/>
    <n v="1374294"/>
    <n v="1172296.2"/>
    <d v="2024-11-28T00:00:00"/>
    <n v="205061"/>
    <s v="RWT8222"/>
    <x v="4"/>
    <x v="4"/>
    <s v="WJEW"/>
    <n v="8222"/>
    <n v="1"/>
    <s v="Credit Card"/>
    <n v="7034000"/>
    <n v="6512963"/>
    <n v="0"/>
    <n v="0"/>
    <n v="0"/>
    <s v="Chau_Vuong"/>
    <s v="GEO-CORNELIAN NECKLACE"/>
    <s v="Mrs. Nguyen Khuong"/>
    <n v="64"/>
    <n v="14"/>
    <s v="RED"/>
    <n v="7034000"/>
    <s v="OS"/>
    <n v="6512963"/>
    <x v="48"/>
    <s v="0909678388"/>
    <n v="5138669"/>
    <x v="0"/>
    <x v="0"/>
  </r>
  <r>
    <x v="5"/>
    <x v="11"/>
    <n v="48"/>
    <s v="SS25"/>
    <s v="BRACELET"/>
    <s v="SS25"/>
    <n v="44548522"/>
    <n v="43011000"/>
    <d v="2024-11-30T00:00:00"/>
    <n v="212077"/>
    <s v="RHN5336"/>
    <x v="9"/>
    <x v="1"/>
    <s v="WJEW"/>
    <n v="5336"/>
    <n v="1"/>
    <s v="Split"/>
    <n v="102086000"/>
    <n v="94524074"/>
    <n v="0"/>
    <n v="0"/>
    <n v="0"/>
    <s v="Huyen_Dang"/>
    <s v="VHN-CALLA MEDIA BRACELET"/>
    <s v="Ms. Dinh Thuy Quynh"/>
    <s v="T01652BR115"/>
    <n v="20"/>
    <s v="GOLD &amp; TITANIUM"/>
    <n v="102086000"/>
    <s v="U"/>
    <n v="94524074"/>
    <x v="47"/>
    <s v="0917781299"/>
    <n v="49975552"/>
    <x v="0"/>
    <x v="0"/>
  </r>
  <r>
    <x v="5"/>
    <x v="11"/>
    <n v="48"/>
    <s v="SS25"/>
    <s v="BRACELET"/>
    <s v="SS25"/>
    <n v="163344583"/>
    <n v="157707000"/>
    <d v="2024-11-30T00:00:00"/>
    <n v="212078"/>
    <s v="RHN5336"/>
    <x v="9"/>
    <x v="1"/>
    <s v="WJEW"/>
    <n v="5336"/>
    <n v="1"/>
    <s v="Split"/>
    <n v="374313000"/>
    <n v="346586111"/>
    <n v="0"/>
    <n v="0"/>
    <n v="0"/>
    <s v="Huyen_Dang"/>
    <s v="VHN-CALLA MEDIA BRACELET"/>
    <s v="Ms. Dinh Thuy Quynh"/>
    <s v="PG1652BR336"/>
    <n v="20"/>
    <s v="GOLD &amp; TITANIUM"/>
    <n v="374313000"/>
    <s v="U"/>
    <n v="346586111"/>
    <x v="47"/>
    <s v="0917781299"/>
    <n v="183241528"/>
    <x v="0"/>
    <x v="0"/>
  </r>
  <r>
    <x v="5"/>
    <x v="8"/>
    <n v="50"/>
    <s v="SS23"/>
    <s v="EARRINGS"/>
    <s v="SS23"/>
    <n v="13720402"/>
    <n v="11610000"/>
    <d v="2024-12-09T00:00:00"/>
    <n v="186449"/>
    <s v="RHN5384"/>
    <x v="1"/>
    <x v="1"/>
    <s v="WACC"/>
    <n v="5384"/>
    <n v="1"/>
    <s v="Split"/>
    <n v="35846350"/>
    <n v="33191065"/>
    <n v="5"/>
    <n v="1746898"/>
    <n v="1886650"/>
    <s v="Ngoc_Nguyen"/>
    <s v="RM-BO 114 V DIA 8X8 2R GRT BO-H-114V-7 Earrings - Setting Each Piece: Sterling Silver - 8X8 Cut Diamonds: 25p, 0.29ct - Garnet: 1p, 1.01ct"/>
    <s v="Ms. To Thi Hanh"/>
    <s v="BO-000639"/>
    <n v="14"/>
    <s v="Garnet, 8X8 Cut"/>
    <n v="37733000"/>
    <s v="U"/>
    <n v="34937963"/>
    <x v="14"/>
    <s v="0916671961"/>
    <n v="19470663"/>
    <x v="0"/>
    <x v="1"/>
  </r>
  <r>
    <x v="5"/>
    <x v="8"/>
    <n v="50"/>
    <s v="SS24"/>
    <s v="RING"/>
    <s v="SS24"/>
    <n v="3436561"/>
    <n v="2567849.9999999995"/>
    <d v="2024-12-09T00:00:00"/>
    <n v="202799"/>
    <s v="RHN5384"/>
    <x v="1"/>
    <x v="1"/>
    <s v="WJEW"/>
    <n v="5384"/>
    <n v="1"/>
    <s v="Split"/>
    <n v="8084500"/>
    <n v="7485648"/>
    <n v="5"/>
    <n v="393981"/>
    <n v="425500"/>
    <s v="Ngoc_Nguyen"/>
    <s v="ROM-SEI 1 DIA 8X8 (53) R-H-SEI1-3 Rings - With Setting Sterling Silver - 8X8 Cut Diamonds: 25p, 0.15ct"/>
    <s v="Ms. To Thi Hanh"/>
    <s v="RG-016447"/>
    <n v="14"/>
    <s v="8x8 Cut Diamonds"/>
    <n v="8510000"/>
    <n v="53"/>
    <n v="7879630"/>
    <x v="14"/>
    <s v="0916671961"/>
    <n v="4049087"/>
    <x v="0"/>
    <x v="1"/>
  </r>
  <r>
    <x v="5"/>
    <x v="8"/>
    <n v="50"/>
    <s v="SS25"/>
    <s v="NECKLACE"/>
    <s v="SS25"/>
    <n v="128261502"/>
    <n v="123059250"/>
    <d v="2024-12-09T00:00:00"/>
    <n v="211198"/>
    <s v="RWR8927"/>
    <x v="9"/>
    <x v="0"/>
    <s v="WJEW"/>
    <n v="8927"/>
    <n v="1"/>
    <s v="Cash"/>
    <n v="300811500"/>
    <n v="278529167"/>
    <n v="10"/>
    <n v="30947685"/>
    <n v="33423500"/>
    <s v="Nghia_Nguyen"/>
    <s v="VHN-CALLA NECKLACE"/>
    <s v="Mrs. Pham Thuy Nga"/>
    <s v="000648CL264"/>
    <n v="13"/>
    <s v="GOLD"/>
    <n v="334235000"/>
    <s v="U"/>
    <n v="309476852"/>
    <x v="37"/>
    <s v="0908545384"/>
    <n v="150267665"/>
    <x v="0"/>
    <x v="1"/>
  </r>
  <r>
    <x v="5"/>
    <x v="8"/>
    <n v="51"/>
    <s v="SS25"/>
    <s v="NECKLACE"/>
    <s v="SS25"/>
    <n v="23818439"/>
    <n v="22833000"/>
    <d v="2024-12-20T00:00:00"/>
    <n v="214605"/>
    <s v="RWR8961"/>
    <x v="8"/>
    <x v="0"/>
    <s v="WJEW"/>
    <n v="8961"/>
    <n v="1"/>
    <s v="Credit Card"/>
    <n v="79894000"/>
    <n v="73975926"/>
    <n v="0"/>
    <n v="0"/>
    <n v="0"/>
    <s v="Nghia_Nguyen"/>
    <s v="NAN-DANCING IN THE RAIN NEACKLACE CHAIN B ct 0,08"/>
    <s v="Mrs. Le Thu Ngan"/>
    <s v="CS10-583"/>
    <n v="15"/>
    <s v="GG"/>
    <n v="79894000"/>
    <n v="0"/>
    <n v="73975926"/>
    <x v="6"/>
    <s v="0983352011"/>
    <n v="50157487"/>
    <x v="0"/>
    <x v="1"/>
  </r>
  <r>
    <x v="5"/>
    <x v="8"/>
    <n v="51"/>
    <s v="SS24"/>
    <s v="RING"/>
    <s v="SS24"/>
    <n v="3566243"/>
    <n v="2664750"/>
    <d v="2024-12-22T00:00:00"/>
    <n v="202800"/>
    <s v="RHN5466"/>
    <x v="1"/>
    <x v="1"/>
    <s v="WJEW"/>
    <n v="5466"/>
    <n v="1"/>
    <s v="Credit Card"/>
    <n v="8831000"/>
    <n v="8176852"/>
    <n v="0"/>
    <n v="0"/>
    <n v="0"/>
    <s v="Huyen_Dang"/>
    <s v="ROM-SEI 2 DIA RU (51) R-H-SEI2-6 Rings - With Setting Sterling Silver - Rubies: 16p, 0.5ct"/>
    <s v="Nguyen Xuan Hanh"/>
    <s v="RG-016545"/>
    <n v="14"/>
    <s v="Rubies, Silver"/>
    <n v="8831000"/>
    <n v="51"/>
    <n v="8176852"/>
    <x v="18"/>
    <s v="0904085048"/>
    <n v="4610609"/>
    <x v="0"/>
    <x v="2"/>
  </r>
  <r>
    <x v="5"/>
    <x v="8"/>
    <n v="52"/>
    <s v="SS25"/>
    <s v="EARRINGS"/>
    <s v="SS25"/>
    <n v="-310347470"/>
    <n v="-319927500"/>
    <d v="2024-12-23T00:00:00"/>
    <n v="211678"/>
    <s v="RHN5477"/>
    <x v="9"/>
    <x v="1"/>
    <s v="WJEW"/>
    <n v="5477"/>
    <n v="-1"/>
    <s v="None"/>
    <n v="-782045000"/>
    <n v="-724115741"/>
    <n v="0"/>
    <n v="0"/>
    <n v="0"/>
    <s v="Huyen_Dang"/>
    <s v="VHN-ECLISSE MEDIO MP EARCLIPS WHITE GOLD WHITE DIAMONDS"/>
    <s v="Ms. Dinh Thuy Quynh"/>
    <s v="PG1138B 010"/>
    <n v="10"/>
    <s v="GOLD"/>
    <n v="-782045000"/>
    <m/>
    <n v="-724115741"/>
    <x v="47"/>
    <s v="0917781299"/>
    <n v="-413768271"/>
    <x v="0"/>
    <x v="0"/>
  </r>
  <r>
    <x v="5"/>
    <x v="8"/>
    <n v="52"/>
    <s v="SS25"/>
    <s v="EARRINGS"/>
    <s v="SS25"/>
    <n v="310347470"/>
    <n v="319927500"/>
    <d v="2024-12-23T00:00:00"/>
    <n v="211678"/>
    <s v="RHN5473"/>
    <x v="9"/>
    <x v="1"/>
    <s v="WJEW"/>
    <n v="5473"/>
    <n v="1"/>
    <s v="Account"/>
    <n v="782045000"/>
    <n v="724115741"/>
    <n v="0"/>
    <n v="0"/>
    <n v="0"/>
    <s v="Huyen_Dang"/>
    <s v="VHN-ECLISSE MEDIO MP EARCLIPS WHITE GOLD WHITE DIAMONDS"/>
    <s v="Ms. Dinh Thuy Quynh"/>
    <s v="PG1138B 010"/>
    <n v="10"/>
    <s v="GOLD"/>
    <n v="782045000"/>
    <m/>
    <n v="724115741"/>
    <x v="47"/>
    <s v="0917781299"/>
    <n v="413768271"/>
    <x v="0"/>
    <x v="0"/>
  </r>
  <r>
    <x v="5"/>
    <x v="8"/>
    <n v="52"/>
    <s v="SS23"/>
    <s v="EARRINGS"/>
    <s v="SS23"/>
    <n v="2098346"/>
    <n v="1890000"/>
    <d v="2024-12-24T00:00:00"/>
    <n v="182266"/>
    <s v="RHN5484"/>
    <x v="7"/>
    <x v="1"/>
    <s v="WACC"/>
    <n v="5484"/>
    <n v="1"/>
    <s v="Credit Card"/>
    <n v="6048000"/>
    <n v="5600000"/>
    <n v="0"/>
    <n v="0"/>
    <n v="0"/>
    <s v="Ngoc_Nguyen"/>
    <s v="MAL - ENGRAVED SILVER MONACHELLA EARRINGS WITH ONE NATURAL STONE, ROUND CUT (6 MM)  PERIDOT"/>
    <s v="Le Thi Thanh Mai"/>
    <s v="OA0258/V1/PERIDOT"/>
    <n v="17"/>
    <s v="PERIDOT"/>
    <n v="6048000"/>
    <s v="U"/>
    <n v="5600000"/>
    <x v="10"/>
    <s v="0971841966"/>
    <n v="3501654"/>
    <x v="0"/>
    <x v="1"/>
  </r>
  <r>
    <x v="5"/>
    <x v="8"/>
    <n v="52"/>
    <s v="SS25"/>
    <s v="EARRINGS"/>
    <s v="SS25"/>
    <n v="310347470"/>
    <n v="319927500"/>
    <d v="2024-12-24T00:00:00"/>
    <n v="211678"/>
    <s v="RHN5483"/>
    <x v="9"/>
    <x v="1"/>
    <s v="WJEW"/>
    <n v="5483"/>
    <n v="1"/>
    <s v="Account"/>
    <n v="782045000"/>
    <n v="724115741"/>
    <n v="0"/>
    <n v="0"/>
    <n v="0"/>
    <s v="Ngoc_Nguyen"/>
    <s v="VHN-ECLISSE MEDIO MP EARCLIPS WHITE GOLD WHITE DIAMONDS"/>
    <s v="Ms. Dinh Thuy Quynh"/>
    <s v="PG1138B 010"/>
    <n v="17"/>
    <s v="GOLD"/>
    <n v="782045000"/>
    <m/>
    <n v="724115741"/>
    <x v="47"/>
    <s v="0917781299"/>
    <n v="413768271"/>
    <x v="0"/>
    <x v="0"/>
  </r>
  <r>
    <x v="5"/>
    <x v="8"/>
    <n v="52"/>
    <s v="FW24"/>
    <s v="NECKLACE"/>
    <s v="FW24"/>
    <n v="1190324"/>
    <n v="968418.6"/>
    <d v="2024-12-24T00:00:00"/>
    <n v="205033"/>
    <s v="RHN5481"/>
    <x v="4"/>
    <x v="1"/>
    <s v="WJEW"/>
    <n v="5481"/>
    <n v="1"/>
    <s v="Credit Card"/>
    <n v="5811000"/>
    <n v="5380556"/>
    <n v="0"/>
    <n v="0"/>
    <n v="0"/>
    <s v="Ngoc_Nguyen"/>
    <s v="GEO-BAMBOO CORAL NECKLACE"/>
    <s v="Ms. Le Tra My"/>
    <n v="36"/>
    <n v="14"/>
    <s v="RED"/>
    <n v="5811000"/>
    <s v="OS"/>
    <n v="5380556"/>
    <x v="14"/>
    <s v="0936888888"/>
    <n v="4190232"/>
    <x v="0"/>
    <x v="1"/>
  </r>
  <r>
    <x v="5"/>
    <x v="8"/>
    <n v="52"/>
    <s v="SS25"/>
    <s v="EARRINGS"/>
    <s v="SS25"/>
    <n v="64043455"/>
    <n v="60932250"/>
    <d v="2024-12-25T00:00:00"/>
    <n v="210746"/>
    <s v="RHN5500"/>
    <x v="9"/>
    <x v="1"/>
    <s v="WJEW"/>
    <n v="5500"/>
    <n v="1"/>
    <s v="Split"/>
    <n v="165495000"/>
    <n v="153236111"/>
    <n v="0"/>
    <n v="0"/>
    <n v="0"/>
    <s v="Huyen_Dang"/>
    <s v="VHN-CALLA THE ONE EARSLIPS"/>
    <s v="Mrs. Do Thanh Hoa"/>
    <s v="0G1800B 310"/>
    <n v="17"/>
    <s v="GOLD &amp; ACCIAO &amp;"/>
    <n v="165495000"/>
    <s v="U"/>
    <n v="153236111"/>
    <x v="18"/>
    <s v="0904374728"/>
    <n v="89192656"/>
    <x v="0"/>
    <x v="2"/>
  </r>
  <r>
    <x v="5"/>
    <x v="8"/>
    <n v="52"/>
    <s v="SS25"/>
    <s v="BRACELET"/>
    <s v="SS25"/>
    <n v="101242974"/>
    <n v="110182500"/>
    <d v="2024-12-25T00:00:00"/>
    <n v="211673"/>
    <s v="RHN5488"/>
    <x v="9"/>
    <x v="1"/>
    <s v="WJEW"/>
    <n v="5488"/>
    <n v="1"/>
    <s v="Account"/>
    <n v="269335000"/>
    <n v="249384259"/>
    <n v="0"/>
    <n v="0"/>
    <n v="0"/>
    <s v="Huyen_Dang"/>
    <s v="VHN-CALLA MEDIA...W BRACELET BLACK TITANIUM  PINK GOLD 26 EL 4 GOLD 22 BLACK TIT"/>
    <s v="Ms. Duong Thuy Linh"/>
    <s v="T01652BR161"/>
    <n v="10"/>
    <s v="GOLD, BLACK"/>
    <n v="269335000"/>
    <m/>
    <n v="249384259"/>
    <x v="14"/>
    <s v="0914587765"/>
    <n v="148141285"/>
    <x v="0"/>
    <x v="1"/>
  </r>
  <r>
    <x v="6"/>
    <x v="0"/>
    <n v="1"/>
    <s v="SS25"/>
    <s v="EARRINGS"/>
    <s v="SS25"/>
    <n v="107994844"/>
    <n v="102748500"/>
    <d v="2025-01-01T00:00:00"/>
    <n v="210761"/>
    <s v="RWR8999"/>
    <x v="9"/>
    <x v="0"/>
    <s v="WJEW"/>
    <n v="8999"/>
    <n v="1"/>
    <s v="Credit Card"/>
    <n v="279070000"/>
    <n v="258398148"/>
    <n v="0"/>
    <n v="0"/>
    <n v="0"/>
    <s v="Nghia_Nguyen"/>
    <s v="VHN-TROTTOLA EARSLIPS"/>
    <s v="Ms. Le Thi Thanh Mai"/>
    <s v="T00749B 100"/>
    <n v="16"/>
    <s v="BLACK TITANIUM &amp;"/>
    <n v="279070000"/>
    <s v="U"/>
    <n v="258398148"/>
    <x v="23"/>
    <s v="0933530066"/>
    <n v="150403304"/>
    <x v="0"/>
    <x v="1"/>
  </r>
  <r>
    <x v="6"/>
    <x v="0"/>
    <n v="1"/>
    <s v="FW24"/>
    <s v="EARRINGS"/>
    <s v="FW24"/>
    <n v="103555910"/>
    <n v="102217500"/>
    <d v="2025-01-04T00:00:00"/>
    <n v="209317"/>
    <s v="RHN5550"/>
    <x v="9"/>
    <x v="1"/>
    <s v="WJEW"/>
    <n v="5550"/>
    <n v="1"/>
    <s v="Check"/>
    <n v="254408000"/>
    <n v="235562963"/>
    <n v="2"/>
    <n v="4807407"/>
    <n v="5192000"/>
    <s v="Ngoc_Nguyen"/>
    <s v="VHN - EARCLIPS Verso Medio  Gold Gr 29,75"/>
    <s v="Ms. Nguyen Thuy Hoa"/>
    <s v="0N0567B 100 B"/>
    <n v="17"/>
    <s v="GOLD"/>
    <n v="259600000"/>
    <s v="U"/>
    <n v="240370370"/>
    <x v="3"/>
    <s v="0979667071"/>
    <n v="132007053"/>
    <x v="0"/>
    <x v="1"/>
  </r>
  <r>
    <x v="6"/>
    <x v="0"/>
    <n v="2"/>
    <s v="SS24"/>
    <s v="RING"/>
    <s v="SS24"/>
    <n v="10478376"/>
    <n v="11088495"/>
    <d v="2025-01-07T00:00:00"/>
    <n v="206887"/>
    <s v="RWR9013"/>
    <x v="8"/>
    <x v="0"/>
    <s v="WACC"/>
    <n v="9013"/>
    <n v="1"/>
    <s v="Credit Card"/>
    <n v="36138000"/>
    <n v="33461111"/>
    <n v="5"/>
    <n v="1761111"/>
    <n v="1902000"/>
    <s v="Nghia_Nguyen"/>
    <s v="NAN - &quot;ÉLITE&quot; RING GOLD 18K 1.64 WITH DIAMOND 0.05CT"/>
    <s v="Mrs. Le Thu Hien"/>
    <s v="AS25-583"/>
    <n v="13"/>
    <s v="ROSE"/>
    <n v="38040000"/>
    <n v="11"/>
    <n v="35222222"/>
    <x v="37"/>
    <s v="0985728769"/>
    <n v="22982735"/>
    <x v="0"/>
    <x v="1"/>
  </r>
  <r>
    <x v="6"/>
    <x v="0"/>
    <n v="2"/>
    <s v="SS24"/>
    <s v="NECKLACE"/>
    <s v="SS24"/>
    <n v="12202062"/>
    <n v="12224025.000000002"/>
    <d v="2025-01-07T00:00:00"/>
    <n v="202706"/>
    <s v="RWR9013"/>
    <x v="8"/>
    <x v="0"/>
    <s v="WACC"/>
    <n v="9013"/>
    <n v="1"/>
    <s v="Credit Card"/>
    <n v="43025500"/>
    <n v="39838426"/>
    <n v="5"/>
    <n v="2096759"/>
    <n v="2264500"/>
    <s v="Nghia_Nguyen"/>
    <s v="NAN - &quot;SOFFIO&quot; GOLD 3.56 BOULES"/>
    <s v="Mrs. Le Thu Hien"/>
    <s v="CN6-583"/>
    <n v="13"/>
    <s v="RRLU"/>
    <n v="45290000"/>
    <n v="420"/>
    <n v="41935185"/>
    <x v="37"/>
    <s v="0985728769"/>
    <n v="27636364"/>
    <x v="0"/>
    <x v="1"/>
  </r>
  <r>
    <x v="6"/>
    <x v="0"/>
    <n v="2"/>
    <s v="SS24"/>
    <s v="RING"/>
    <s v="SS24"/>
    <n v="79109585"/>
    <n v="79251975.000000015"/>
    <d v="2025-01-12T00:00:00"/>
    <n v="202681"/>
    <s v="RHN5586"/>
    <x v="8"/>
    <x v="1"/>
    <s v="WACC"/>
    <n v="5586"/>
    <n v="1"/>
    <s v="Cash"/>
    <n v="215318700"/>
    <n v="199369167"/>
    <n v="10"/>
    <n v="22152130"/>
    <n v="23924300"/>
    <s v="Ngoc_Nguyen"/>
    <s v="NAN - “SPECIAL EDITION” RING ROSE GOLD 6.30 WITH TANZANITE 2.75CT AND DIAMONDS 0.60CT"/>
    <s v="Mrs. Nguyen CiCi"/>
    <s v="SPC138"/>
    <n v="18"/>
    <s v="RRLU"/>
    <n v="239243000"/>
    <n v="14"/>
    <n v="221521296"/>
    <x v="3"/>
    <m/>
    <n v="120259582"/>
    <x v="0"/>
    <x v="1"/>
  </r>
  <r>
    <x v="6"/>
    <x v="0"/>
    <n v="2"/>
    <s v="SS24"/>
    <s v="EARRINGS"/>
    <s v="SS24"/>
    <n v="141234119"/>
    <n v="141488325.00000003"/>
    <d v="2025-01-12T00:00:00"/>
    <n v="202684"/>
    <s v="RHN5586"/>
    <x v="8"/>
    <x v="1"/>
    <s v="WACC"/>
    <n v="5586"/>
    <n v="1"/>
    <s v="Cash"/>
    <n v="346965300"/>
    <n v="321264167"/>
    <n v="10"/>
    <n v="35696019"/>
    <n v="38551700"/>
    <s v="Ngoc_Nguyen"/>
    <s v="NAN - “SPECIAL EDITION” EARRINGS ROSE GOLD 9.90 WITH TANZANITE 5.50CT AND DIAMONDS 1.05CT"/>
    <s v="Mrs. Nguyen CiCi"/>
    <s v="SPC148"/>
    <n v="18"/>
    <s v="RRLU"/>
    <n v="385517000"/>
    <s v="U"/>
    <n v="356960185"/>
    <x v="3"/>
    <m/>
    <n v="180030048"/>
    <x v="0"/>
    <x v="1"/>
  </r>
  <r>
    <x v="6"/>
    <x v="0"/>
    <n v="2"/>
    <s v="SS24"/>
    <s v="NECKLACE"/>
    <s v="SS24"/>
    <n v="1945223"/>
    <n v="1453500"/>
    <d v="2025-01-12T00:00:00"/>
    <n v="202783"/>
    <s v="RWR9027"/>
    <x v="1"/>
    <x v="0"/>
    <s v="WJEW"/>
    <n v="9027"/>
    <n v="1"/>
    <s v="Check"/>
    <n v="4335300"/>
    <n v="4014167"/>
    <n v="10"/>
    <n v="446019"/>
    <n v="481700"/>
    <s v="Nghia_Nguyen"/>
    <s v="ROM-PEW SUNNY 2 S ST PE-C-SUNNY2-2 Necklaces - Wax - No Setting Silver"/>
    <s v="NGUYEN THI DUC MINH"/>
    <s v="PEW-000324"/>
    <n v="12"/>
    <s v="SILVER"/>
    <n v="4817000"/>
    <s v="U"/>
    <n v="4460185"/>
    <x v="37"/>
    <s v="0912115380"/>
    <n v="2068944"/>
    <x v="0"/>
    <x v="1"/>
  </r>
  <r>
    <x v="6"/>
    <x v="0"/>
    <n v="2"/>
    <s v="FW24"/>
    <s v="EARRINGS"/>
    <s v="FW24"/>
    <n v="505291"/>
    <n v="458724.60000000003"/>
    <d v="2025-01-12T00:00:00"/>
    <n v="205046"/>
    <s v="RWT9028"/>
    <x v="4"/>
    <x v="4"/>
    <s v="WJEW"/>
    <n v="9028"/>
    <n v="1"/>
    <s v="Credit Card"/>
    <n v="2753000"/>
    <n v="2549074"/>
    <n v="0"/>
    <n v="0"/>
    <n v="0"/>
    <s v="Chau_Vuong"/>
    <s v="GEO-PEARL EARRING"/>
    <s v="Ms. Nguyen Thi Phuc"/>
    <n v="49"/>
    <n v="20"/>
    <s v="PEARL"/>
    <n v="2753000"/>
    <s v="os"/>
    <n v="2549074"/>
    <x v="52"/>
    <s v="0911270687"/>
    <n v="2043783"/>
    <x v="0"/>
    <x v="0"/>
  </r>
  <r>
    <x v="6"/>
    <x v="0"/>
    <n v="3"/>
    <s v="SS25"/>
    <s v="EARRINGS"/>
    <s v="SS25"/>
    <n v="89057397"/>
    <n v="87216750"/>
    <d v="2025-01-13T00:00:00"/>
    <n v="216113"/>
    <s v="RWR9035"/>
    <x v="9"/>
    <x v="0"/>
    <s v="WJEW"/>
    <n v="9035"/>
    <n v="1"/>
    <s v="Account"/>
    <n v="197400000"/>
    <n v="182777778"/>
    <n v="0"/>
    <n v="0"/>
    <n v="0"/>
    <s v="Nghia_Nguyen"/>
    <s v="VHN-GOCCE EARCLIPS GOLD CRYSTAL"/>
    <s v="Ms. Tran Nguyen Thien Huong"/>
    <s v="000519B 206"/>
    <n v="12"/>
    <s v="GOLD"/>
    <n v="197400000"/>
    <s v="os"/>
    <n v="182777778"/>
    <x v="37"/>
    <s v="0903331166"/>
    <n v="93720381"/>
    <x v="0"/>
    <x v="1"/>
  </r>
  <r>
    <x v="6"/>
    <x v="0"/>
    <n v="3"/>
    <s v="FW24"/>
    <s v="EARRINGS"/>
    <s v="FW24"/>
    <n v="104613224"/>
    <n v="106287500"/>
    <d v="2025-01-14T00:00:00"/>
    <n v="205074"/>
    <s v="RWR9042"/>
    <x v="5"/>
    <x v="0"/>
    <s v="WJEW"/>
    <n v="9042"/>
    <n v="1"/>
    <s v="Split"/>
    <n v="195000000"/>
    <n v="180555556"/>
    <n v="0"/>
    <n v="0"/>
    <n v="0"/>
    <s v="Nghia_Nguyen"/>
    <s v="ATS-PG Pr. of Earrings: brown diamond 3,71ct / grm gold 16.1 / size U"/>
    <s v="Ms. Nguyen Thi Ngoc Hang"/>
    <s v="30/AW25135R/CH"/>
    <n v="14"/>
    <s v="brown diamond"/>
    <n v="195000000"/>
    <s v="U"/>
    <n v="180555556"/>
    <x v="4"/>
    <s v="0928070707"/>
    <n v="75942332"/>
    <x v="0"/>
    <x v="1"/>
  </r>
  <r>
    <x v="6"/>
    <x v="0"/>
    <n v="3"/>
    <s v="FW24"/>
    <s v="NECKLACE"/>
    <s v="FW24"/>
    <n v="1200493"/>
    <n v="1019388"/>
    <d v="2025-01-19T00:00:00"/>
    <n v="205030"/>
    <s v="RHN5614"/>
    <x v="4"/>
    <x v="1"/>
    <s v="WJEW"/>
    <n v="5614"/>
    <n v="1"/>
    <s v="Split"/>
    <n v="6117000"/>
    <n v="5663889"/>
    <n v="0"/>
    <n v="0"/>
    <n v="0"/>
    <s v="Huyen_Dang"/>
    <s v="GEO-MOSS AGATE"/>
    <s v="Ms. Nguyen Bao Chi"/>
    <n v="33"/>
    <n v="19"/>
    <s v="Green"/>
    <n v="6117000"/>
    <s v="os"/>
    <n v="5663889"/>
    <x v="55"/>
    <s v="0906686858"/>
    <n v="4463396"/>
    <x v="0"/>
    <x v="1"/>
  </r>
  <r>
    <x v="6"/>
    <x v="0"/>
    <n v="4"/>
    <s v="SS24"/>
    <s v="RING"/>
    <s v="SS24"/>
    <n v="1750701"/>
    <n v="1308150"/>
    <d v="2025-01-20T00:00:00"/>
    <n v="202789"/>
    <s v="RHN5617"/>
    <x v="1"/>
    <x v="1"/>
    <s v="WJEW"/>
    <n v="5617"/>
    <n v="1"/>
    <s v="Credit Card"/>
    <n v="4335000"/>
    <n v="4013889"/>
    <n v="0"/>
    <n v="0"/>
    <n v="0"/>
    <s v="Huyen_Dang"/>
    <s v="ROM- POPPY 1(1) S ST DIX CO (53) R-H-POPPY1(1)-2 Rings - With Setting Sterling Silver - Cognac Diamond: 1p, 0.03ct"/>
    <s v="Ms. Phan Tra My"/>
    <s v="RG-072942"/>
    <n v="14"/>
    <s v="Cognac Diamond,"/>
    <n v="4335000"/>
    <n v="53"/>
    <n v="4013889"/>
    <x v="56"/>
    <s v="0945101083"/>
    <n v="2263188"/>
    <x v="0"/>
    <x v="1"/>
  </r>
  <r>
    <x v="6"/>
    <x v="0"/>
    <n v="4"/>
    <s v="SS24"/>
    <s v="BRACELET"/>
    <s v="SS24"/>
    <n v="3186627"/>
    <n v="2964000"/>
    <d v="2025-01-21T00:00:00"/>
    <n v="208267"/>
    <s v="RWD2865"/>
    <x v="7"/>
    <x v="6"/>
    <s v="WACC"/>
    <n v="2865"/>
    <n v="1"/>
    <s v="Credit Card"/>
    <n v="9485000"/>
    <n v="8782407"/>
    <n v="0"/>
    <n v="0"/>
    <n v="0"/>
    <s v="Tu_Le"/>
    <s v="LUI - SILVER BRACELET WITH 5 NAVETTE STONES SMOKY QUARTZ"/>
    <s v="Mr. Tran Huy"/>
    <s v="BA0122/V1"/>
    <n v="16"/>
    <s v="SMOKY"/>
    <n v="9485000"/>
    <s v="U"/>
    <n v="8782407"/>
    <x v="57"/>
    <s v="0963450821"/>
    <n v="5595780"/>
    <x v="0"/>
    <x v="2"/>
  </r>
  <r>
    <x v="6"/>
    <x v="0"/>
    <n v="4"/>
    <s v="SS23"/>
    <s v="RING"/>
    <s v="SS23"/>
    <n v="2398111"/>
    <n v="2160000"/>
    <d v="2025-01-22T00:00:00"/>
    <n v="182190"/>
    <s v="HQ534"/>
    <x v="7"/>
    <x v="5"/>
    <s v="WACC"/>
    <n v="534"/>
    <n v="1"/>
    <s v="None"/>
    <n v="0"/>
    <n v="0"/>
    <n v="100"/>
    <n v="6400000"/>
    <n v="6912000"/>
    <s v="son_tran"/>
    <s v="MAL - ENGRAVED SILVER RING, SHRI CAPSULE, ONE NATURAL STONE DROP CUT ( 9X6)  LONDON   TG 12"/>
    <s v="GLOBAL LINK CORPORATION"/>
    <s v="AA0117/V2/12"/>
    <n v="9"/>
    <s v="LONDON"/>
    <n v="6912000"/>
    <n v="12"/>
    <n v="6400000"/>
    <x v="58"/>
    <m/>
    <n v="-2398111"/>
    <x v="0"/>
    <x v="2"/>
  </r>
  <r>
    <x v="6"/>
    <x v="0"/>
    <n v="4"/>
    <s v="SS23"/>
    <s v="EARRINGS"/>
    <s v="SS23"/>
    <n v="6594803"/>
    <n v="5940000"/>
    <d v="2025-01-22T00:00:00"/>
    <n v="182254"/>
    <s v="HQ534"/>
    <x v="7"/>
    <x v="5"/>
    <s v="WACC"/>
    <n v="534"/>
    <n v="1"/>
    <s v="None"/>
    <n v="0"/>
    <n v="0"/>
    <n v="100"/>
    <n v="17600000"/>
    <n v="19008000"/>
    <s v="son_tran"/>
    <s v="MAL - ENGRAVED SILVER EARRINGS, SHRI CAPSULE, WITH 6 NATURAL STONES DROP CUT (ONE 9X6MM AND 6 7X5 MM)  LONDON"/>
    <s v="GLOBAL LINK CORPORATION"/>
    <s v="OA0225/V2"/>
    <n v="9"/>
    <s v="LONDON"/>
    <n v="19008000"/>
    <s v="U"/>
    <n v="17600000"/>
    <x v="58"/>
    <m/>
    <n v="-6594803"/>
    <x v="0"/>
    <x v="2"/>
  </r>
  <r>
    <x v="6"/>
    <x v="0"/>
    <n v="5"/>
    <s v="FW24"/>
    <s v="NECKLACE"/>
    <s v="FW24"/>
    <n v="1857529"/>
    <n v="1732959.5999999999"/>
    <d v="2025-01-27T00:00:00"/>
    <n v="205013"/>
    <s v="RWT9123"/>
    <x v="4"/>
    <x v="4"/>
    <s v="WJEW"/>
    <n v="9123"/>
    <n v="1"/>
    <s v="Credit Card"/>
    <n v="10398000"/>
    <n v="9627778"/>
    <n v="0"/>
    <n v="0"/>
    <n v="0"/>
    <s v="Chau_Vuong"/>
    <s v="GEO-DENTRITIC NECKLACE"/>
    <s v="Ms. Le Thu Ha"/>
    <n v="16"/>
    <n v="14"/>
    <s v="BLACK"/>
    <n v="10398000"/>
    <s v="os"/>
    <n v="9627778"/>
    <x v="25"/>
    <s v="0933669966"/>
    <n v="7770249"/>
    <x v="0"/>
    <x v="0"/>
  </r>
  <r>
    <x v="6"/>
    <x v="0"/>
    <n v="5"/>
    <s v="SS25"/>
    <s v="EARRINGS"/>
    <s v="SS25"/>
    <n v="21575074"/>
    <n v="20682450"/>
    <d v="2025-01-31T00:00:00"/>
    <n v="214604"/>
    <s v="RHN5665"/>
    <x v="8"/>
    <x v="1"/>
    <s v="WJEW"/>
    <n v="5665"/>
    <n v="1"/>
    <s v="Cash"/>
    <n v="63432000"/>
    <n v="58733333"/>
    <n v="10"/>
    <n v="6525926"/>
    <n v="7048000"/>
    <s v="Ngoc_Nguyen"/>
    <s v="NAN-DANCING IN THE RAIN EARRINGS AQ ct 25,00 MO ct 0,08"/>
    <s v="Mrs. Nguyen CiCi"/>
    <s v="OS16-587"/>
    <n v="11"/>
    <s v="GG"/>
    <n v="70480000"/>
    <n v="0"/>
    <n v="65259259"/>
    <x v="3"/>
    <m/>
    <n v="37158259"/>
    <x v="0"/>
    <x v="1"/>
  </r>
  <r>
    <x v="6"/>
    <x v="0"/>
    <n v="5"/>
    <s v="SS24"/>
    <s v="NECKLACE"/>
    <s v="SS24"/>
    <n v="15544257"/>
    <n v="16449345"/>
    <d v="2025-01-31T00:00:00"/>
    <n v="206900"/>
    <s v="RHN5665"/>
    <x v="8"/>
    <x v="1"/>
    <s v="WACC"/>
    <n v="5665"/>
    <n v="1"/>
    <s v="Cash"/>
    <n v="51192900"/>
    <n v="47400833"/>
    <n v="10"/>
    <n v="5266759"/>
    <n v="5688100"/>
    <s v="Ngoc_Nguyen"/>
    <s v="NAN - “SPECIAL EDITION” NECKLACE GOLD 18K 3.40 DIAMONDS 0.03CT AQUAMARINE 13.25CT"/>
    <s v="Mrs. Nguyen CiCi"/>
    <s v="CS7-603"/>
    <n v="11"/>
    <s v="YELLOW, AQUAMARI"/>
    <n v="56881000"/>
    <n v="0"/>
    <n v="52667593"/>
    <x v="3"/>
    <m/>
    <n v="31856576"/>
    <x v="0"/>
    <x v="1"/>
  </r>
  <r>
    <x v="6"/>
    <x v="0"/>
    <n v="5"/>
    <s v="SS24"/>
    <s v="NECKLACE"/>
    <s v="SS24"/>
    <n v="3047516"/>
    <n v="2277150"/>
    <d v="2025-01-31T00:00:00"/>
    <n v="202779"/>
    <s v="RWD2916"/>
    <x v="1"/>
    <x v="6"/>
    <s v="WJEW"/>
    <n v="2916"/>
    <n v="1"/>
    <s v="Split"/>
    <n v="7168700"/>
    <n v="6637685"/>
    <n v="5"/>
    <n v="349352"/>
    <n v="377300"/>
    <s v="Tu_Le"/>
    <s v="ROM-PEW EYE DIA CO SBL PE-H-PEEYE-2 Necklaces - Wax - With Setting Silver - Blue Sapphire: 1p, 0.04ct - Cognac Diamonds: 12p, 0.12ct"/>
    <s v="Mr. Tran Huy"/>
    <s v="PEW-000337"/>
    <n v="16"/>
    <s v="Blue Sapphire, C"/>
    <n v="7546000"/>
    <s v="U"/>
    <n v="6987037"/>
    <x v="57"/>
    <s v="0963450821"/>
    <n v="3590169"/>
    <x v="0"/>
    <x v="2"/>
  </r>
  <r>
    <x v="6"/>
    <x v="9"/>
    <n v="6"/>
    <s v="FW24"/>
    <s v="NECKLACE"/>
    <s v="FW24"/>
    <n v="2388244"/>
    <n v="2344592.4"/>
    <d v="2025-02-04T00:00:00"/>
    <n v="205006"/>
    <s v="RWT9155"/>
    <x v="4"/>
    <x v="4"/>
    <s v="WJEW"/>
    <n v="9155"/>
    <n v="1"/>
    <s v="Credit Card"/>
    <n v="14068000"/>
    <n v="13025926"/>
    <n v="0"/>
    <n v="0"/>
    <n v="0"/>
    <s v="Chau_Vuong"/>
    <s v="GEO-PEARL NECKLACE"/>
    <s v="Ms. Nguyen Thi Thu Hong"/>
    <n v="9"/>
    <n v="14"/>
    <s v="PEARL"/>
    <n v="14068000"/>
    <s v="os"/>
    <n v="13025926"/>
    <x v="22"/>
    <s v="0937009009"/>
    <n v="10637682"/>
    <x v="0"/>
    <x v="0"/>
  </r>
  <r>
    <x v="6"/>
    <x v="9"/>
    <n v="6"/>
    <s v="FW17"/>
    <s v="JEWELRY"/>
    <s v="FW17"/>
    <n v="20000000"/>
    <n v="0"/>
    <d v="2025-02-05T00:00:00"/>
    <n v="116328"/>
    <s v="HQ535"/>
    <x v="3"/>
    <x v="5"/>
    <s v="WACC"/>
    <n v="535"/>
    <n v="1"/>
    <s v="None"/>
    <n v="0"/>
    <n v="0"/>
    <n v="100"/>
    <n v="18518519"/>
    <n v="20000000"/>
    <s v="son_tran"/>
    <s v="TM GOLD OVAL PENDANT"/>
    <s v="GLOBAL LINK"/>
    <s v="OVAL-GOLD"/>
    <n v="15"/>
    <m/>
    <n v="20000000"/>
    <s v="U"/>
    <n v="18518519"/>
    <x v="58"/>
    <m/>
    <n v="-20000000"/>
    <x v="0"/>
    <x v="2"/>
  </r>
  <r>
    <x v="6"/>
    <x v="9"/>
    <n v="6"/>
    <s v="FW24"/>
    <s v="RING"/>
    <s v="FW24"/>
    <n v="96159059"/>
    <n v="94916250"/>
    <d v="2025-02-09T00:00:00"/>
    <n v="209328"/>
    <s v="RWR9099"/>
    <x v="9"/>
    <x v="0"/>
    <s v="WJEW"/>
    <n v="9099"/>
    <n v="1"/>
    <s v="Credit Card"/>
    <n v="228123500"/>
    <n v="211225463"/>
    <n v="5"/>
    <n v="11117130"/>
    <n v="12006500"/>
    <s v="Nghia_Nguyen"/>
    <s v="VHN - Ring Freccia Gold Gr 13,05  2 Rock crystal Jade Gr 5,10"/>
    <s v="Ms. Huynh Phuong Lan"/>
    <s v="0N1401A 201"/>
    <n v="12"/>
    <s v="GOLD"/>
    <n v="240130000"/>
    <n v="53"/>
    <n v="222342593"/>
    <x v="37"/>
    <s v="0908819797"/>
    <n v="115066404"/>
    <x v="0"/>
    <x v="1"/>
  </r>
  <r>
    <x v="6"/>
    <x v="9"/>
    <n v="6"/>
    <s v="SS23"/>
    <s v="EARRINGS"/>
    <s v="SS23"/>
    <n v="120066537"/>
    <n v="111843000"/>
    <d v="2025-02-09T00:00:00"/>
    <n v="182563"/>
    <s v="RWR9098"/>
    <x v="2"/>
    <x v="0"/>
    <s v="WACC"/>
    <n v="9098"/>
    <n v="1"/>
    <s v="Credit Card"/>
    <n v="268655400"/>
    <n v="248755000"/>
    <n v="10"/>
    <n v="27639444"/>
    <n v="29850600"/>
    <s v="Nghia_Nguyen"/>
    <s v="NAK - Large Raindrop Earrings: 3.04 cts emerald and 20k rose gold; 1 5/8&quot; in length"/>
    <s v="Ms. Huynh Phuong Lan"/>
    <s v="10465-EM-20R"/>
    <n v="12"/>
    <s v="EMERALD + ROSE G"/>
    <n v="298506000"/>
    <s v="U"/>
    <n v="276394444"/>
    <x v="6"/>
    <s v="0908819797"/>
    <n v="128688463"/>
    <x v="0"/>
    <x v="1"/>
  </r>
  <r>
    <x v="6"/>
    <x v="9"/>
    <n v="6"/>
    <s v="SS24"/>
    <s v="EARRINGS"/>
    <s v="SS24"/>
    <n v="5268217"/>
    <n v="4902000"/>
    <d v="2025-02-09T00:00:00"/>
    <n v="208324"/>
    <s v="RWR9098"/>
    <x v="7"/>
    <x v="0"/>
    <s v="WACC"/>
    <n v="9098"/>
    <n v="1"/>
    <s v="Credit Card"/>
    <n v="14118300"/>
    <n v="13072500"/>
    <n v="10"/>
    <n v="1452500"/>
    <n v="1568700"/>
    <s v="Nghia_Nguyen"/>
    <s v="LUI - CARVED SILVER NUN EARRINGS WITH DROP STONE (7 X 10 ) PERIDOT"/>
    <s v="Ms. Huynh Phuong Lan"/>
    <s v="OA0131/PE/POG"/>
    <n v="12"/>
    <s v="GOLD, GREEN"/>
    <n v="15687000"/>
    <s v="U"/>
    <n v="14525000"/>
    <x v="6"/>
    <s v="0908819797"/>
    <n v="7804283"/>
    <x v="0"/>
    <x v="1"/>
  </r>
  <r>
    <x v="6"/>
    <x v="9"/>
    <n v="7"/>
    <s v="SS25"/>
    <s v="NECKLACE"/>
    <s v="SS25"/>
    <n v="265239807"/>
    <n v="254481750"/>
    <d v="2025-02-12T00:00:00"/>
    <n v="211200"/>
    <s v="RWR9109"/>
    <x v="9"/>
    <x v="0"/>
    <s v="WJEW"/>
    <n v="9109"/>
    <n v="1"/>
    <s v="Credit Card"/>
    <n v="656625750"/>
    <n v="607986806"/>
    <n v="5"/>
    <n v="31999306"/>
    <n v="34559250"/>
    <s v="Nghia_Nguyen"/>
    <s v="VHN-CALLA MEDIA NECKLACE"/>
    <s v="Ms. Huynh Phuong Lan"/>
    <s v="001652CL160"/>
    <n v="17"/>
    <s v="GOLD"/>
    <n v="691185000"/>
    <s v="U"/>
    <n v="639986111"/>
    <x v="6"/>
    <s v="0908819797"/>
    <n v="342746999"/>
    <x v="0"/>
    <x v="1"/>
  </r>
  <r>
    <x v="6"/>
    <x v="9"/>
    <n v="7"/>
    <s v="SS23"/>
    <s v="NECKLACE"/>
    <s v="SS23"/>
    <n v="9024419"/>
    <n v="8140500"/>
    <d v="2025-02-12T00:00:00"/>
    <n v="182218"/>
    <s v="RWR9105"/>
    <x v="7"/>
    <x v="0"/>
    <s v="WACC"/>
    <n v="9105"/>
    <n v="1"/>
    <s v="Credit Card"/>
    <n v="23445000"/>
    <n v="21708333"/>
    <n v="10"/>
    <n v="2412037"/>
    <n v="2605000"/>
    <s v="Nghia_Nguyen"/>
    <s v="MAL - SILVER NECKLACE 27.1G, LONG CHAIN WITH NATURAL FACETED DROP (20X13,5)   CITRINE"/>
    <s v="Ms. Huynh Phuong Lan"/>
    <s v="CA0144/V3"/>
    <n v="9"/>
    <s v="CITRINE"/>
    <n v="26050000"/>
    <s v="U"/>
    <n v="24120370"/>
    <x v="6"/>
    <s v="0908819797"/>
    <n v="12683914"/>
    <x v="0"/>
    <x v="1"/>
  </r>
  <r>
    <x v="6"/>
    <x v="9"/>
    <n v="7"/>
    <s v="SS23"/>
    <s v="NECKLACE"/>
    <s v="SS23"/>
    <n v="10431781"/>
    <n v="9396000"/>
    <d v="2025-02-12T00:00:00"/>
    <n v="182227"/>
    <s v="RWR9105"/>
    <x v="7"/>
    <x v="0"/>
    <s v="WACC"/>
    <n v="9105"/>
    <n v="1"/>
    <s v="Credit Card"/>
    <n v="27061200"/>
    <n v="25056667"/>
    <n v="10"/>
    <n v="2784074"/>
    <n v="3006800"/>
    <s v="Nghia_Nguyen"/>
    <s v="MAL - ENGRAVED SILVER NECKLACE, SHRI CAPSULE, WITH 6 SMALL NATURAL STONES EMERALD CUT (10X8XH5,5 MM) AND ONE LARGE NATURAL STONE EMERALD CUT (14X12,4XH8 MM)  _x000d__x000a_CITRINE"/>
    <s v="Ms. Huynh Phuong Lan"/>
    <s v="CA0208/V2"/>
    <n v="9"/>
    <s v="CITRINE"/>
    <n v="30068000"/>
    <s v="U"/>
    <n v="27840741"/>
    <x v="6"/>
    <s v="0908819797"/>
    <n v="14624886"/>
    <x v="0"/>
    <x v="1"/>
  </r>
  <r>
    <x v="6"/>
    <x v="9"/>
    <n v="7"/>
    <s v="SS23"/>
    <s v="RING"/>
    <s v="SS23"/>
    <n v="2098346"/>
    <n v="1890000"/>
    <d v="2025-02-16T00:00:00"/>
    <n v="182161"/>
    <s v="RWT9208"/>
    <x v="7"/>
    <x v="4"/>
    <s v="WACC"/>
    <n v="9208"/>
    <n v="1"/>
    <s v="Credit Card"/>
    <n v="6048000"/>
    <n v="5600000"/>
    <n v="0"/>
    <n v="0"/>
    <n v="0"/>
    <s v="Chau_Vuong"/>
    <s v="MAL - SILVER ENGRAVED RING &quot;SOLITAIRE&quot; WITH FACETED STONE 8MM -  ROCK CRYSTAL   TG 11"/>
    <s v="Tourist"/>
    <s v="AA0050"/>
    <n v="15"/>
    <s v="ROCK CRYSTAL"/>
    <n v="6048000"/>
    <n v="11"/>
    <n v="5600000"/>
    <x v="26"/>
    <m/>
    <n v="3501654"/>
    <x v="0"/>
    <x v="0"/>
  </r>
  <r>
    <x v="6"/>
    <x v="9"/>
    <n v="8"/>
    <s v="SS23"/>
    <s v="RING"/>
    <s v="SS23"/>
    <n v="3597165"/>
    <n v="3240000"/>
    <d v="2025-02-23T00:00:00"/>
    <n v="182176"/>
    <s v="RWD2991"/>
    <x v="7"/>
    <x v="6"/>
    <s v="WACC"/>
    <n v="2991"/>
    <n v="1"/>
    <s v="Split"/>
    <n v="9331200"/>
    <n v="8640000"/>
    <n v="10"/>
    <n v="960000"/>
    <n v="1036800"/>
    <s v="Diem_NguyenSM"/>
    <s v="MAL - ENGREAVED SILVER RING WITH TWO SILVER HEARTS, ONE ENGREAVED AND ONE POLISHED   TG 12"/>
    <s v="Ms. Nikita Chu"/>
    <s v="AA0081/12"/>
    <n v="17"/>
    <s v="TWO SILVER HEART"/>
    <n v="10368000"/>
    <n v="12"/>
    <n v="9600000"/>
    <x v="21"/>
    <s v="0973749931"/>
    <n v="5042835"/>
    <x v="0"/>
    <x v="1"/>
  </r>
  <r>
    <x v="6"/>
    <x v="9"/>
    <n v="9"/>
    <s v="SS23"/>
    <s v="EARRINGS"/>
    <s v="SS23"/>
    <n v="37025234"/>
    <n v="30153750"/>
    <d v="2025-02-25T00:00:00"/>
    <n v="182567"/>
    <s v="RWR9143"/>
    <x v="2"/>
    <x v="0"/>
    <s v="WACC"/>
    <n v="9143"/>
    <n v="1"/>
    <s v="Cash"/>
    <n v="60000000"/>
    <n v="55555556"/>
    <n v="25.46"/>
    <n v="18977778"/>
    <n v="20496000"/>
    <s v="Nghia_Nguyen"/>
    <s v="NAK - Triple Twisted Hook Hoops - 15mm: 20k rose gold; 1/2&quot; in diameter"/>
    <s v="Mrs. Tran Thi Hoai Anh"/>
    <s v="H10085-20R"/>
    <n v="18"/>
    <s v="ROSE GOLD"/>
    <n v="80496000"/>
    <s v="U"/>
    <n v="74533333"/>
    <x v="37"/>
    <s v="0908039899"/>
    <n v="18530322"/>
    <x v="0"/>
    <x v="1"/>
  </r>
  <r>
    <x v="6"/>
    <x v="1"/>
    <n v="10"/>
    <s v="SS25"/>
    <s v="RING"/>
    <s v="SS25"/>
    <n v="148808247"/>
    <n v="142772625"/>
    <d v="2025-03-06T00:00:00"/>
    <n v="211215"/>
    <s v="RWR9163"/>
    <x v="9"/>
    <x v="0"/>
    <s v="WJEW"/>
    <n v="9163"/>
    <n v="1"/>
    <s v="Credit Card"/>
    <n v="387778000"/>
    <n v="359053704"/>
    <n v="0"/>
    <n v="0"/>
    <n v="0"/>
    <s v="Nghia_Nguyen"/>
    <s v="VHN-TOURBILLON S RING"/>
    <s v="Ms. Nguyen Thi Xuan Hong"/>
    <s v="PG1527A 336"/>
    <n v="18"/>
    <s v="GOLD DIAMONDS"/>
    <n v="387778000"/>
    <n v="54"/>
    <n v="359053704"/>
    <x v="37"/>
    <s v="0908140263"/>
    <n v="210245457"/>
    <x v="0"/>
    <x v="1"/>
  </r>
  <r>
    <x v="6"/>
    <x v="1"/>
    <n v="10"/>
    <s v="SS24"/>
    <s v="RING"/>
    <s v="SS24"/>
    <n v="3306879"/>
    <n v="2470950"/>
    <d v="2025-03-07T00:00:00"/>
    <n v="202785"/>
    <s v="RWD3030"/>
    <x v="1"/>
    <x v="6"/>
    <s v="WJEW"/>
    <n v="3030"/>
    <n v="1"/>
    <s v="Split"/>
    <n v="7779550"/>
    <n v="7203287"/>
    <n v="5"/>
    <n v="379120"/>
    <n v="409450"/>
    <s v="Linh_Pham"/>
    <s v="ROM-PESTA DIX RU (52) R-C-PESTA-4 Rings - With Setting Silver - Ruby: 1p, 0.35ct"/>
    <s v="Ms. Le Thi Thanh Mai"/>
    <s v="RG-053892"/>
    <n v="11"/>
    <s v="Ruby, Silver"/>
    <n v="8189000"/>
    <n v="52"/>
    <n v="7582407"/>
    <x v="23"/>
    <s v="0933530066"/>
    <n v="3896408"/>
    <x v="0"/>
    <x v="1"/>
  </r>
  <r>
    <x v="6"/>
    <x v="1"/>
    <n v="10"/>
    <s v="SS25"/>
    <s v="BRACELET"/>
    <s v="SS25"/>
    <n v="209203227"/>
    <n v="200718000"/>
    <d v="2025-03-08T00:00:00"/>
    <n v="211199"/>
    <s v="RWR9172"/>
    <x v="9"/>
    <x v="0"/>
    <s v="WJEW"/>
    <n v="9172"/>
    <n v="1"/>
    <s v="Split"/>
    <n v="490644000"/>
    <n v="454300000"/>
    <n v="10"/>
    <n v="50477778"/>
    <n v="54516000"/>
    <s v="Nghia_Nguyen"/>
    <s v="VHN-CALLA BRACELET"/>
    <s v="Mrs. Pham Thuy Nga"/>
    <s v="0N1648BR100"/>
    <n v="18"/>
    <s v="GOLD TITANIUM"/>
    <n v="545160000"/>
    <s v="U"/>
    <n v="504777778"/>
    <x v="37"/>
    <s v="0908545384"/>
    <n v="245096773"/>
    <x v="0"/>
    <x v="1"/>
  </r>
  <r>
    <x v="6"/>
    <x v="1"/>
    <n v="10"/>
    <s v="SS25"/>
    <s v="NECKLACE"/>
    <s v="SS25"/>
    <n v="412180168"/>
    <n v="395462250"/>
    <d v="2025-03-08T00:00:00"/>
    <n v="211197"/>
    <s v="RWR9170"/>
    <x v="9"/>
    <x v="0"/>
    <s v="WJEW"/>
    <n v="9170"/>
    <n v="1"/>
    <s v="Split"/>
    <n v="1074095000"/>
    <n v="994532407"/>
    <n v="0"/>
    <n v="0"/>
    <n v="0"/>
    <s v="Nghia_Nguyen"/>
    <s v="VHN-CALLA NECKLACE"/>
    <s v="Mrs. Phan Lan Phuong"/>
    <s v="000648CL100"/>
    <n v="15"/>
    <s v="GOLD"/>
    <n v="1074095000"/>
    <s v="U"/>
    <n v="994532407"/>
    <x v="6"/>
    <s v="0977317777"/>
    <n v="582352239"/>
    <x v="0"/>
    <x v="1"/>
  </r>
  <r>
    <x v="6"/>
    <x v="1"/>
    <n v="11"/>
    <s v="SS23"/>
    <s v="RING"/>
    <s v="SS23"/>
    <n v="51793409"/>
    <n v="48246000"/>
    <d v="2025-03-11T00:00:00"/>
    <n v="182565"/>
    <s v="RHN5793"/>
    <x v="2"/>
    <x v="1"/>
    <s v="WACC"/>
    <n v="5793"/>
    <n v="1"/>
    <s v="Split"/>
    <n v="122550000"/>
    <n v="113472222"/>
    <n v="5"/>
    <n v="5972222"/>
    <n v="6450000"/>
    <s v="Huyen_Dang"/>
    <s v="NAK - Wrap Ring:  emerald and 20k rose gold; size TBD"/>
    <s v="Ms. Nguyen Thu Huong"/>
    <s v="90095-EM-20R"/>
    <n v="16"/>
    <s v="EMERALD + ROSE G"/>
    <n v="129000000"/>
    <s v="U"/>
    <n v="119444444"/>
    <x v="10"/>
    <s v="0904252254"/>
    <n v="61678813"/>
    <x v="0"/>
    <x v="1"/>
  </r>
  <r>
    <x v="6"/>
    <x v="1"/>
    <n v="11"/>
    <s v="SS23"/>
    <s v="RING"/>
    <s v="SS23"/>
    <n v="69637550"/>
    <n v="64693500"/>
    <d v="2025-03-11T00:00:00"/>
    <n v="182564"/>
    <s v="RHN5793"/>
    <x v="2"/>
    <x v="1"/>
    <s v="WACC"/>
    <n v="5793"/>
    <n v="1"/>
    <s v="Split"/>
    <n v="164217000"/>
    <n v="152052778"/>
    <n v="5"/>
    <n v="8002778"/>
    <n v="8643000"/>
    <s v="Huyen_Dang"/>
    <s v="NAK -  Wrap Ring: 0.5 cts G-H VS white diamonds and 20k rose gold; size TBD"/>
    <s v="Ms. Nguyen Thu Huong"/>
    <s v="90095-D-20R"/>
    <n v="16"/>
    <s v="WHITE + ROSE GOL"/>
    <n v="172860000"/>
    <s v="U"/>
    <n v="160055556"/>
    <x v="10"/>
    <s v="0904252254"/>
    <n v="82415228"/>
    <x v="0"/>
    <x v="1"/>
  </r>
  <r>
    <x v="6"/>
    <x v="1"/>
    <n v="11"/>
    <s v="SS24"/>
    <s v="NECKLACE"/>
    <s v="SS24"/>
    <n v="3177198"/>
    <n v="2374050"/>
    <d v="2025-03-14T00:00:00"/>
    <n v="202758"/>
    <s v="RHN5800"/>
    <x v="1"/>
    <x v="1"/>
    <s v="WJEW"/>
    <n v="5800"/>
    <n v="1"/>
    <s v="Credit Card"/>
    <n v="7867000"/>
    <n v="7284259"/>
    <n v="0"/>
    <n v="0"/>
    <n v="0"/>
    <s v="Huyen_Dang"/>
    <s v="ROM-PEW DOLPHIN PE-H-DOLPHIN-2 Necklaces - Wax - No Setting Silver"/>
    <s v="Mrs. Tran Thanh My"/>
    <s v="PEW-000341"/>
    <n v="12"/>
    <s v="Silver, DOLPHIN"/>
    <n v="7867000"/>
    <s v="U"/>
    <n v="7284259"/>
    <x v="10"/>
    <s v="0983861971"/>
    <n v="4107061"/>
    <x v="0"/>
    <x v="1"/>
  </r>
  <r>
    <x v="6"/>
    <x v="1"/>
    <n v="11"/>
    <s v="SS24"/>
    <s v="EARRINGS"/>
    <s v="SS24"/>
    <n v="15864206"/>
    <n v="16787925"/>
    <d v="2025-03-14T00:00:00"/>
    <n v="206910"/>
    <s v="RHN5800"/>
    <x v="8"/>
    <x v="1"/>
    <s v="WACC"/>
    <n v="5800"/>
    <n v="1"/>
    <s v="Credit Card"/>
    <n v="53905000"/>
    <n v="49912037"/>
    <n v="0"/>
    <n v="0"/>
    <n v="0"/>
    <s v="Huyen_Dang"/>
    <s v="NAN - &quot;AZURE&quot; GOLD 18K 2.8 AND AQUAMARINE 1.50CT DIAMONDS 0.10CT EVERYDAY DROP EARRINGS"/>
    <s v="Mrs. Tran Thanh My"/>
    <s v="OS26-587"/>
    <n v="12"/>
    <s v="YELLOW, AQUAMARI"/>
    <n v="53905000"/>
    <n v="0"/>
    <n v="49912037"/>
    <x v="10"/>
    <s v="0983861971"/>
    <n v="34047831"/>
    <x v="0"/>
    <x v="1"/>
  </r>
  <r>
    <x v="6"/>
    <x v="1"/>
    <n v="11"/>
    <s v="FW24"/>
    <s v="NECKLACE"/>
    <s v="FW24"/>
    <n v="1374294"/>
    <n v="1172296.2"/>
    <d v="2025-03-14T00:00:00"/>
    <n v="205034"/>
    <s v="RWT9355"/>
    <x v="4"/>
    <x v="4"/>
    <s v="WJEW"/>
    <n v="9355"/>
    <n v="1"/>
    <s v="Credit Card"/>
    <n v="7034000"/>
    <n v="6512963"/>
    <n v="0"/>
    <n v="0"/>
    <n v="0"/>
    <s v="Chau_Vuong"/>
    <s v="GEO-PEARL NECKLACE"/>
    <s v="Mrs. Xuan"/>
    <n v="37"/>
    <n v="21"/>
    <s v="PEARL"/>
    <n v="7034000"/>
    <s v="os"/>
    <n v="6512963"/>
    <x v="44"/>
    <s v="0935603555"/>
    <n v="5138669"/>
    <x v="0"/>
    <x v="2"/>
  </r>
  <r>
    <x v="6"/>
    <x v="1"/>
    <n v="11"/>
    <s v="FW24"/>
    <s v="NECKLACE"/>
    <s v="FW24"/>
    <n v="1190323"/>
    <n v="968418.6"/>
    <d v="2025-03-14T00:00:00"/>
    <n v="205032"/>
    <s v="RWT9355"/>
    <x v="4"/>
    <x v="4"/>
    <s v="WJEW"/>
    <n v="9355"/>
    <n v="1"/>
    <s v="Credit Card"/>
    <n v="5811000"/>
    <n v="5380556"/>
    <n v="0"/>
    <n v="0"/>
    <n v="0"/>
    <s v="Chau_Vuong"/>
    <s v="GEO-WHITE AGATE NECKLACE"/>
    <s v="Mrs. Xuan"/>
    <n v="35"/>
    <n v="21"/>
    <s v="WHITE"/>
    <n v="5811000"/>
    <s v="os"/>
    <n v="5380556"/>
    <x v="44"/>
    <s v="0935603555"/>
    <n v="4190233"/>
    <x v="0"/>
    <x v="2"/>
  </r>
  <r>
    <x v="6"/>
    <x v="1"/>
    <n v="11"/>
    <s v="SS25"/>
    <s v="EARRINGS"/>
    <s v="SS25"/>
    <n v="19110143"/>
    <n v="18319500"/>
    <d v="2025-03-16T00:00:00"/>
    <n v="214603"/>
    <s v="RHN5808"/>
    <x v="8"/>
    <x v="1"/>
    <s v="WJEW"/>
    <n v="5808"/>
    <n v="1"/>
    <s v="Cash"/>
    <n v="63016000"/>
    <n v="58348148"/>
    <n v="0"/>
    <n v="0"/>
    <n v="0"/>
    <s v="Huyen_Dang"/>
    <s v="NAN-DANCING IN THE RAIN EARRINGS AV ct 25,00 B ct 0,08"/>
    <s v="Trinh Thi Ha"/>
    <s v="OS4-603"/>
    <n v="10"/>
    <s v="GG"/>
    <n v="63016000"/>
    <n v="0"/>
    <n v="58348148"/>
    <x v="3"/>
    <s v="0982235678"/>
    <n v="39238005"/>
    <x v="0"/>
    <x v="1"/>
  </r>
  <r>
    <x v="6"/>
    <x v="1"/>
    <n v="12"/>
    <s v="SS24"/>
    <s v="NECKLACE"/>
    <s v="SS24"/>
    <n v="12125218"/>
    <n v="11286000"/>
    <d v="2025-03-18T00:00:00"/>
    <n v="208291"/>
    <s v="RWR9185"/>
    <x v="7"/>
    <x v="0"/>
    <s v="WACC"/>
    <n v="9185"/>
    <n v="1"/>
    <s v="Credit Card"/>
    <n v="32504400"/>
    <n v="30096667"/>
    <n v="10"/>
    <n v="3344074"/>
    <n v="3611600"/>
    <s v="Nghia_Nguyen"/>
    <s v="LUI - SILVER NECKLACE CARVED GOLD-PLATED - 70 CM WITH MIXED STONES AND SMALL PEARLS WITH RECTANGLE (11X9X5.5) MULTICOLOR V1"/>
    <s v="Ms. Cao Thi Thanh Yen"/>
    <s v="CA0254/V1/SMALL/POG"/>
    <n v="11"/>
    <s v="GOLD, BLUE, WHIT"/>
    <n v="36116000"/>
    <s v="U"/>
    <n v="33440741"/>
    <x v="15"/>
    <s v="0903333829"/>
    <n v="17971449"/>
    <x v="0"/>
    <x v="1"/>
  </r>
  <r>
    <x v="6"/>
    <x v="1"/>
    <n v="12"/>
    <s v="FW22"/>
    <s v="NECKLACE"/>
    <s v="FW22"/>
    <n v="1461877"/>
    <n v="1274400"/>
    <d v="2025-03-19T00:00:00"/>
    <n v="174870"/>
    <s v="RWT9378"/>
    <x v="4"/>
    <x v="4"/>
    <s v="WACC"/>
    <n v="9378"/>
    <n v="1"/>
    <s v="Credit Card"/>
    <n v="7080000"/>
    <n v="6555556"/>
    <n v="0"/>
    <n v="0"/>
    <n v="0"/>
    <s v="Chau_Vuong"/>
    <s v="GEO - NECKLACE SODALITE"/>
    <s v="Nguyen Thi Huynh Lien"/>
    <s v="D8"/>
    <n v="15"/>
    <s v="BLUE"/>
    <n v="7080000"/>
    <s v="UN"/>
    <n v="6555556"/>
    <x v="26"/>
    <s v="0903640498"/>
    <n v="5093679"/>
    <x v="0"/>
    <x v="0"/>
  </r>
  <r>
    <x v="6"/>
    <x v="1"/>
    <n v="12"/>
    <s v="FW24"/>
    <s v="NECKLACE"/>
    <s v="FW24"/>
    <n v="1279338"/>
    <n v="1121326.8"/>
    <d v="2025-03-19T00:00:00"/>
    <n v="205029"/>
    <s v="RWT9378"/>
    <x v="4"/>
    <x v="4"/>
    <s v="WJEW"/>
    <n v="9378"/>
    <n v="1"/>
    <s v="Credit Card"/>
    <n v="6728000"/>
    <n v="6229630"/>
    <n v="0"/>
    <n v="0"/>
    <n v="0"/>
    <s v="Chau_Vuong"/>
    <s v="GEO-PERIDOTE NECKLACE"/>
    <s v="Nguyen Thi Huynh Lien"/>
    <n v="32"/>
    <n v="15"/>
    <s v="Green"/>
    <n v="6728000"/>
    <s v="os"/>
    <n v="6229630"/>
    <x v="26"/>
    <s v="0903640498"/>
    <n v="4950292"/>
    <x v="0"/>
    <x v="0"/>
  </r>
  <r>
    <x v="6"/>
    <x v="1"/>
    <n v="12"/>
    <s v="FW24"/>
    <s v="NECKLACE"/>
    <s v="FW24"/>
    <n v="1242888"/>
    <n v="1019388"/>
    <d v="2025-03-19T00:00:00"/>
    <n v="205060"/>
    <s v="RWT9378"/>
    <x v="4"/>
    <x v="4"/>
    <s v="WJEW"/>
    <n v="9378"/>
    <n v="1"/>
    <s v="Credit Card"/>
    <n v="6117000"/>
    <n v="5663889"/>
    <n v="0"/>
    <n v="0"/>
    <n v="0"/>
    <s v="Chau_Vuong"/>
    <s v="GEO-MOSS AGATE NECKLACE"/>
    <s v="Nguyen Thi Huynh Lien"/>
    <n v="63"/>
    <n v="15"/>
    <s v="Green"/>
    <n v="6117000"/>
    <s v="os"/>
    <n v="5663889"/>
    <x v="26"/>
    <s v="0903640498"/>
    <n v="4421001"/>
    <x v="0"/>
    <x v="0"/>
  </r>
  <r>
    <x v="6"/>
    <x v="1"/>
    <n v="12"/>
    <s v="FW24"/>
    <s v="NECKLACE"/>
    <s v="FW24"/>
    <n v="1426858"/>
    <n v="1223265.5999999999"/>
    <d v="2025-03-19T00:00:00"/>
    <n v="205036"/>
    <s v="RWT9378"/>
    <x v="4"/>
    <x v="4"/>
    <s v="WJEW"/>
    <n v="9378"/>
    <n v="1"/>
    <s v="Credit Card"/>
    <n v="7340000"/>
    <n v="6796296"/>
    <n v="0"/>
    <n v="0"/>
    <n v="0"/>
    <s v="Chau_Vuong"/>
    <s v="GEO-SERPENTINE NECKLACE"/>
    <s v="Nguyen Thi Huynh Lien"/>
    <n v="39"/>
    <n v="15"/>
    <s v="MULTI"/>
    <n v="7340000"/>
    <s v="os"/>
    <n v="6796296"/>
    <x v="26"/>
    <s v="0903640498"/>
    <n v="5369438"/>
    <x v="0"/>
    <x v="0"/>
  </r>
  <r>
    <x v="6"/>
    <x v="1"/>
    <n v="13"/>
    <s v="SS24"/>
    <s v="EARRINGS"/>
    <s v="SS24"/>
    <n v="18034298"/>
    <n v="14002050"/>
    <d v="2025-03-25T00:00:00"/>
    <n v="202752"/>
    <s v="RWR9195"/>
    <x v="1"/>
    <x v="0"/>
    <s v="WJEW"/>
    <n v="9195"/>
    <n v="1"/>
    <s v="Credit Card"/>
    <n v="44079050"/>
    <n v="40813935"/>
    <n v="5"/>
    <n v="2148102"/>
    <n v="2319950"/>
    <s v="Nghia_Nguyen"/>
    <s v="ROM-BO WIN 1 GY DIX CO 4P YELLOW GOLD 18K EARRRINGS - COGNAC DIAMONDS: 8P, 0.12CT"/>
    <s v="Tourist"/>
    <s v="BO-000365"/>
    <n v="15"/>
    <s v="Gold, Cognac dia"/>
    <n v="46399000"/>
    <s v="U"/>
    <n v="42962037"/>
    <x v="19"/>
    <m/>
    <n v="22779637"/>
    <x v="0"/>
    <x v="0"/>
  </r>
  <r>
    <x v="6"/>
    <x v="1"/>
    <n v="13"/>
    <s v="FW24"/>
    <s v="NECKLACE"/>
    <s v="FW24"/>
    <n v="1463308"/>
    <n v="1325204.3999999999"/>
    <d v="2025-03-27T00:00:00"/>
    <n v="205023"/>
    <s v="RWT9409"/>
    <x v="4"/>
    <x v="4"/>
    <s v="WJEW"/>
    <n v="9409"/>
    <n v="1"/>
    <s v="Credit Card"/>
    <n v="7952000"/>
    <n v="7362963"/>
    <n v="0"/>
    <n v="0"/>
    <n v="0"/>
    <s v="Thai_Nguyen"/>
    <s v="GEO-SERPENTINE HORN NECKLACE"/>
    <s v="Mrs. Huynh Thi My Linh"/>
    <n v="26"/>
    <n v="14"/>
    <s v="Sand"/>
    <n v="7952000"/>
    <s v="os"/>
    <n v="7362963"/>
    <x v="52"/>
    <s v="0987369197"/>
    <n v="5899655"/>
    <x v="0"/>
    <x v="0"/>
  </r>
  <r>
    <x v="6"/>
    <x v="1"/>
    <n v="13"/>
    <s v="FW24"/>
    <s v="NECKLACE"/>
    <s v="FW24"/>
    <n v="1463308"/>
    <n v="1325204.3999999999"/>
    <d v="2025-03-27T00:00:00"/>
    <n v="205023"/>
    <s v="RWT9412"/>
    <x v="4"/>
    <x v="4"/>
    <s v="WJEW"/>
    <n v="9412"/>
    <n v="1"/>
    <s v="Credit Card"/>
    <n v="7952000"/>
    <n v="7362963"/>
    <n v="0"/>
    <n v="0"/>
    <n v="0"/>
    <s v="Chau_Vuong"/>
    <s v="GEO-SERPENTINE HORN NECKLACE"/>
    <s v="Mrs. Huynh Thi My Linh"/>
    <n v="26"/>
    <n v="14"/>
    <s v="Sand"/>
    <n v="7952000"/>
    <s v="os"/>
    <n v="7362963"/>
    <x v="52"/>
    <s v="0987369197"/>
    <n v="5899655"/>
    <x v="0"/>
    <x v="0"/>
  </r>
  <r>
    <x v="6"/>
    <x v="1"/>
    <n v="13"/>
    <s v="FW24"/>
    <s v="NECKLACE"/>
    <s v="FW24"/>
    <n v="-1463308"/>
    <n v="-1325204.3999999999"/>
    <d v="2025-03-27T00:00:00"/>
    <n v="205023"/>
    <s v="RWT9410"/>
    <x v="4"/>
    <x v="4"/>
    <s v="WJEW"/>
    <n v="9410"/>
    <n v="-1"/>
    <s v="Credit Card"/>
    <n v="-7952000"/>
    <n v="-7362963"/>
    <n v="0"/>
    <n v="0"/>
    <n v="0"/>
    <s v="Chau_Vuong"/>
    <s v="GEO-SERPENTINE HORN NECKLACE"/>
    <s v="Mrs. Huynh Thi My Linh"/>
    <n v="26"/>
    <n v="14"/>
    <s v="Sand"/>
    <n v="-7952000"/>
    <s v="os"/>
    <n v="-7362963"/>
    <x v="52"/>
    <s v="0987369197"/>
    <n v="-5899655"/>
    <x v="0"/>
    <x v="0"/>
  </r>
  <r>
    <x v="6"/>
    <x v="2"/>
    <n v="14"/>
    <s v="SS24"/>
    <s v="RING"/>
    <s v="SS24"/>
    <n v="7456689"/>
    <n v="5571750"/>
    <d v="2025-04-04T00:00:00"/>
    <n v="202803"/>
    <s v="RWR1534"/>
    <x v="1"/>
    <x v="0"/>
    <s v="WJEW"/>
    <n v="1534"/>
    <n v="1"/>
    <s v="Split"/>
    <n v="18464000"/>
    <n v="17096296"/>
    <n v="0"/>
    <n v="0"/>
    <n v="0"/>
    <s v="Minh_Nguyen"/>
    <s v="ROM-SUKA R S C2 S ST DIA CO (53) R-C-SUKAR-9 Rings - With Setting Sterling Silver - Cognac Diamonds:"/>
    <s v="Truong Thi Ngoc Tran"/>
    <s v="RG-049311"/>
    <s v="06"/>
    <s v="Cognac D"/>
    <n v="18464000"/>
    <s v="53"/>
    <n v="17096296"/>
    <x v="37"/>
    <s v="0906343062"/>
    <n v="9639607"/>
    <x v="0"/>
    <x v="1"/>
  </r>
  <r>
    <x v="6"/>
    <x v="2"/>
    <n v="14"/>
    <s v="SS23"/>
    <s v="RING"/>
    <s v="SS23"/>
    <n v="13284629"/>
    <n v="11248800"/>
    <d v="2025-04-04T00:00:00"/>
    <n v="186465"/>
    <s v="RWR1534"/>
    <x v="1"/>
    <x v="0"/>
    <s v="WJEW"/>
    <n v="1534"/>
    <n v="1"/>
    <s v="Split"/>
    <n v="36559000"/>
    <n v="33850926"/>
    <n v="0"/>
    <n v="0"/>
    <n v="0"/>
    <s v="Minh_Nguyen"/>
    <s v="RM-EMICA S ST C3 GW DIX 8X8 M+ (53) R-C-EMICA-22 Rings - With Setting Sterling Silver - white Gold (18K) - 8X8 Cut Diamonds: 21p, 0.48ct"/>
    <s v="Truong Thi Ngoc Tran"/>
    <s v="RG-075761"/>
    <s v="06"/>
    <s v="white Go"/>
    <n v="36559000"/>
    <s v="53/G3"/>
    <n v="33850926"/>
    <x v="37"/>
    <s v="0906343062"/>
    <n v="20566297"/>
    <x v="0"/>
    <x v="1"/>
  </r>
  <r>
    <x v="6"/>
    <x v="2"/>
    <n v="14"/>
    <s v="SS24"/>
    <s v="EARRINGS"/>
    <s v="SS24"/>
    <n v="29730639"/>
    <n v="29784150.000000004"/>
    <d v="2025-04-05T00:00:00"/>
    <n v="202700"/>
    <s v="RWR1536"/>
    <x v="8"/>
    <x v="0"/>
    <s v="WJEW"/>
    <n v="1536"/>
    <n v="1"/>
    <s v="Split"/>
    <n v="93957850"/>
    <n v="86998009"/>
    <n v="5"/>
    <n v="4578843"/>
    <n v="4945150"/>
    <s v="NGHIA_NGUYENSM"/>
    <s v="NAN - &quot;DANCING ÉLITE&quot; GOLD 5.38 BOULES CONNECTED WITH A DIAMONDS 0.15CT BAR EARRINGS"/>
    <s v="Vo Thi Kim Phuong"/>
    <s v="OS4-583"/>
    <s v="12"/>
    <s v="GG IN"/>
    <n v="98903000"/>
    <s v="U"/>
    <n v="91576852"/>
    <x v="49"/>
    <s v="0908138363"/>
    <n v="57267370"/>
    <x v="0"/>
    <x v="1"/>
  </r>
  <r>
    <x v="6"/>
    <x v="2"/>
    <n v="14"/>
    <s v="SS25"/>
    <s v="PENDANT"/>
    <s v="SS25"/>
    <n v="15094243"/>
    <n v="14469750"/>
    <d v="2025-04-05T00:00:00"/>
    <n v="214598"/>
    <s v="RWR1536"/>
    <x v="8"/>
    <x v="0"/>
    <s v="WJEW"/>
    <n v="1536"/>
    <n v="1"/>
    <s v="Split"/>
    <n v="48262850"/>
    <n v="44687824"/>
    <n v="5"/>
    <n v="2351991"/>
    <n v="2540150"/>
    <s v="NGHIA_NGUYENSM"/>
    <s v="NAN-BOULES LARGE PENDANT CHARM B ct 0,04"/>
    <s v="Vo Thi Kim Phuong"/>
    <s v="PS17-609"/>
    <s v="12"/>
    <s v="GG"/>
    <n v="50803000"/>
    <m/>
    <n v="47039815"/>
    <x v="49"/>
    <s v="0908138363"/>
    <n v="29593581"/>
    <x v="0"/>
    <x v="1"/>
  </r>
  <r>
    <x v="6"/>
    <x v="2"/>
    <n v="14"/>
    <s v="SS25"/>
    <s v="NECKLACE"/>
    <s v="SS25"/>
    <n v="12795487"/>
    <n v="12266100"/>
    <d v="2025-04-05T00:00:00"/>
    <n v="214597"/>
    <s v="RWR1536"/>
    <x v="8"/>
    <x v="0"/>
    <s v="WJEW"/>
    <n v="1536"/>
    <n v="1"/>
    <s v="Split"/>
    <n v="41656550"/>
    <n v="38570880"/>
    <n v="5"/>
    <n v="2030046"/>
    <n v="2192450"/>
    <s v="NGHIA_NGUYENSM"/>
    <s v="NAN-BOULES CHAIN"/>
    <s v="Vo Thi Kim Phuong"/>
    <s v="CN1-609"/>
    <s v="12"/>
    <s v="GG"/>
    <n v="43849000"/>
    <m/>
    <n v="40600926"/>
    <x v="49"/>
    <s v="0908138363"/>
    <n v="25775393"/>
    <x v="0"/>
    <x v="1"/>
  </r>
  <r>
    <x v="6"/>
    <x v="2"/>
    <n v="16"/>
    <s v="FW24"/>
    <s v="EARRINGS"/>
    <s v="FW24"/>
    <n v="32479017"/>
    <n v="33000000"/>
    <d v="2025-04-14T00:00:00"/>
    <n v="205075"/>
    <s v="RWR1587"/>
    <x v="5"/>
    <x v="0"/>
    <s v="WJEW"/>
    <n v="1587"/>
    <n v="1"/>
    <s v="Split"/>
    <n v="74250000"/>
    <n v="68750000"/>
    <n v="10"/>
    <n v="7638889"/>
    <n v="8250000"/>
    <s v="NGHIA_NGUYENSM"/>
    <s v="ATS-PG Pr. of Earrings: diamond 0,45ct G/VS + amethyst 10,21ct / grm 6.99 / size U"/>
    <s v="Dinh Thanh Huong"/>
    <s v="93/14084R/AM"/>
    <s v="01"/>
    <s v="amethyst"/>
    <n v="82500000"/>
    <s v="U"/>
    <n v="76388889"/>
    <x v="59"/>
    <s v="0903256655"/>
    <n v="36270983"/>
    <x v="0"/>
    <x v="1"/>
  </r>
  <r>
    <x v="6"/>
    <x v="2"/>
    <n v="16"/>
    <s v="SS24"/>
    <s v="RING"/>
    <s v="SS24"/>
    <n v="5635557"/>
    <n v="5244000"/>
    <d v="2025-04-16T00:00:00"/>
    <n v="208249"/>
    <s v="RHN2494"/>
    <x v="7"/>
    <x v="1"/>
    <s v="WJEW"/>
    <n v="2494"/>
    <n v="1"/>
    <s v="Split"/>
    <n v="16781000"/>
    <n v="15537963"/>
    <n v="0"/>
    <n v="0"/>
    <n v="0"/>
    <s v="Ngoc_Nguyen"/>
    <s v="LUI - CARVED/ POLISHED SILVER RING GOLD-PLATED WITH FIVE MULTICOLOR STONES"/>
    <s v="Hoang Viet Ha"/>
    <s v="AA0125/V1/POG"/>
    <s v="02"/>
    <s v="GOLD,YEL"/>
    <n v="16781000"/>
    <s v="11"/>
    <n v="15537963"/>
    <x v="60"/>
    <s v="0963578886"/>
    <n v="9902406"/>
    <x v="0"/>
    <x v="0"/>
  </r>
  <r>
    <x v="6"/>
    <x v="2"/>
    <n v="16"/>
    <s v="FW24"/>
    <s v="NECKLACE"/>
    <s v="FW24"/>
    <n v="1794798"/>
    <n v="1631020.8"/>
    <d v="2025-04-20T00:00:00"/>
    <n v="205031"/>
    <s v="RWT3992"/>
    <x v="4"/>
    <x v="4"/>
    <s v="WJEW"/>
    <n v="3992"/>
    <n v="1"/>
    <s v="Split"/>
    <n v="9787000"/>
    <n v="9062037"/>
    <n v="0"/>
    <n v="0"/>
    <n v="0"/>
    <s v="HUY_NGUYEN"/>
    <s v="GEO-PEARL NECKLACE"/>
    <s v="Nguyen Thi Phuc"/>
    <s v="34"/>
    <s v="12"/>
    <s v="Pearl"/>
    <n v="9787000"/>
    <s v="u"/>
    <n v="9062037"/>
    <x v="45"/>
    <s v="0947669966"/>
    <n v="7267239"/>
    <x v="0"/>
    <x v="1"/>
  </r>
  <r>
    <x v="6"/>
    <x v="2"/>
    <n v="17"/>
    <s v="SS24"/>
    <s v="RING"/>
    <s v="SS24"/>
    <n v="64084358"/>
    <n v="62046875"/>
    <d v="2025-04-26T00:00:00"/>
    <n v="205104"/>
    <s v="RHN2540"/>
    <x v="6"/>
    <x v="1"/>
    <s v="WJEW"/>
    <n v="2540"/>
    <n v="1"/>
    <s v="Split"/>
    <n v="147833300"/>
    <n v="136882685"/>
    <n v="5"/>
    <n v="7204352"/>
    <n v="7780700"/>
    <s v="Huyen_Dang"/>
    <s v="GVC-PINK GOLD RING ( CENTER DIA 0.18)  W GOLD 9.30GR DIAMOND 1.33CT"/>
    <s v="Nguyen Thi Minh Hue"/>
    <s v="AR17119"/>
    <s v="12"/>
    <s v="GOLD/DIA"/>
    <n v="155614000"/>
    <s v="11"/>
    <n v="144087037"/>
    <x v="61"/>
    <s v="0906159999"/>
    <n v="72798327"/>
    <x v="0"/>
    <x v="1"/>
  </r>
  <r>
    <x v="6"/>
    <x v="2"/>
    <n v="17"/>
    <s v="SS24"/>
    <s v="NECKLACE"/>
    <s v="SS24"/>
    <n v="71639278"/>
    <n v="65407500"/>
    <d v="2025-04-26T00:00:00"/>
    <n v="203151"/>
    <s v="RHN2540"/>
    <x v="2"/>
    <x v="1"/>
    <s v="WJEW"/>
    <n v="2540"/>
    <n v="1"/>
    <s v="Split"/>
    <n v="163587150"/>
    <n v="151469583"/>
    <n v="5"/>
    <n v="7972083"/>
    <n v="8609850"/>
    <s v="Huyen_Dang"/>
    <s v="NAK-LARGE STRAPPED HEART PENDANT: 3.6 CTS RUBELLITE, 0.14 CTS FIRE OPAL, 0.08 CTS IMPERIAL ROSE ZIRC"/>
    <s v="Nguyen Thi Minh Hue"/>
    <s v="30017-RBL-20R"/>
    <s v="12"/>
    <s v="RED"/>
    <n v="172197000"/>
    <s v="U"/>
    <n v="159441667"/>
    <x v="62"/>
    <s v="0906159999"/>
    <n v="79830305"/>
    <x v="0"/>
    <x v="1"/>
  </r>
  <r>
    <x v="6"/>
    <x v="2"/>
    <n v="18"/>
    <s v="FW24"/>
    <s v="NECKLACE"/>
    <s v="FW24"/>
    <n v="1442112"/>
    <n v="1325204.3999999999"/>
    <d v="2025-04-30T00:00:00"/>
    <n v="205005"/>
    <s v="RWT4099"/>
    <x v="4"/>
    <x v="4"/>
    <s v="WJEW"/>
    <n v="4099"/>
    <n v="1"/>
    <s v="Split"/>
    <n v="7952000"/>
    <n v="7362963"/>
    <n v="0"/>
    <n v="0"/>
    <n v="0"/>
    <s v="HUY_NGUYEN"/>
    <s v="GEO-PEARL NECKLACE"/>
    <s v="Nguyen Thi Huynh Lien"/>
    <s v="8"/>
    <s v="03"/>
    <s v="Pearl"/>
    <n v="7952000"/>
    <s v="u"/>
    <n v="7362963"/>
    <x v="63"/>
    <s v="0903640498"/>
    <n v="5920851"/>
    <x v="0"/>
    <x v="2"/>
  </r>
  <r>
    <x v="6"/>
    <x v="3"/>
    <n v="18"/>
    <s v="FW24"/>
    <s v="RING"/>
    <s v="FW24"/>
    <n v="49088190"/>
    <n v="48453750"/>
    <d v="2025-05-04T00:00:00"/>
    <n v="209289"/>
    <s v="RWR1642"/>
    <x v="9"/>
    <x v="0"/>
    <s v="WJEW"/>
    <n v="1642"/>
    <n v="1"/>
    <s v="Visa"/>
    <n v="137182850"/>
    <n v="127021157"/>
    <n v="5"/>
    <n v="6685324"/>
    <n v="7220150"/>
    <s v="Nguyen Ngoc Hieu Nghia"/>
    <s v="VHN - Ring Calla The One Gold Gr 8,45  11 Diamonds Ct 0,07"/>
    <s v="Chloe Nguyen"/>
    <s v="0G1801A 300"/>
    <n v="20"/>
    <s v="GOLD"/>
    <n v="144403000"/>
    <s v="51"/>
    <n v="133706481"/>
    <x v="59"/>
    <s v="0901417968"/>
    <n v="77932967"/>
    <x v="0"/>
    <x v="1"/>
  </r>
  <r>
    <x v="6"/>
    <x v="3"/>
    <n v="19"/>
    <s v="FW25"/>
    <s v="EARRINGS"/>
    <s v="FW25"/>
    <n v="21906403"/>
    <n v="20443500"/>
    <d v="2025-05-08T00:00:00"/>
    <n v="217104"/>
    <s v="RHN2609"/>
    <x v="8"/>
    <x v="1"/>
    <s v="WJEW"/>
    <n v="2609"/>
    <n v="1"/>
    <s v="Bank Transfer"/>
    <n v="70812000"/>
    <n v="65566667"/>
    <n v="0"/>
    <n v="0"/>
    <n v="0"/>
    <s v="Nguyen Bich Ngoc"/>
    <s v="NAN-DANCING IN THE RAIN EARRINGS"/>
    <s v="Nguyen Anh Tuyet"/>
    <s v="OS5-603"/>
    <n v="19"/>
    <s v="GG"/>
    <n v="70812000"/>
    <s v="u"/>
    <n v="65566667"/>
    <x v="14"/>
    <s v="0904861412"/>
    <n v="43660264"/>
    <x v="0"/>
    <x v="1"/>
  </r>
  <r>
    <x v="6"/>
    <x v="3"/>
    <n v="19"/>
    <s v="FW25"/>
    <s v="EARRINGS"/>
    <s v="FW25"/>
    <n v="-21906403"/>
    <n v="-20443500"/>
    <d v="2025-05-10T00:00:00"/>
    <n v="217104"/>
    <s v="RHN2611"/>
    <x v="8"/>
    <x v="1"/>
    <s v="WJEW"/>
    <n v="2611"/>
    <n v="-1"/>
    <s v="Payment on Account"/>
    <n v="-70812000"/>
    <n v="-65566667"/>
    <n v="0"/>
    <n v="0"/>
    <n v="0"/>
    <s v="Nguyen Bich Ngoc"/>
    <s v="NAN-DANCING IN THE RAIN EARRINGS"/>
    <s v="Nguyen Anh Tuyet"/>
    <s v="OS5-603"/>
    <n v="11"/>
    <s v="GG"/>
    <n v="-70812000"/>
    <s v="u"/>
    <n v="-65566667"/>
    <x v="14"/>
    <s v="0904861412"/>
    <n v="-43660264"/>
    <x v="0"/>
    <x v="1"/>
  </r>
  <r>
    <x v="6"/>
    <x v="3"/>
    <n v="19"/>
    <s v="FW25"/>
    <s v="EARRINGS"/>
    <s v="FW25"/>
    <n v="21906403"/>
    <n v="20443500"/>
    <d v="2025-05-10T00:00:00"/>
    <n v="217104"/>
    <s v="RHN2612"/>
    <x v="8"/>
    <x v="1"/>
    <s v="WJEW"/>
    <n v="2612"/>
    <n v="1"/>
    <s v="Payment on Account"/>
    <n v="67271400"/>
    <n v="62288333"/>
    <n v="5"/>
    <n v="3278333"/>
    <n v="3540600"/>
    <s v="Nguyen Bich Ngoc"/>
    <s v="NAN-DANCING IN THE RAIN EARRINGS"/>
    <s v="Nguyen Anh Tuyet"/>
    <s v="OS5-603"/>
    <n v="11"/>
    <s v="GG"/>
    <n v="70812000"/>
    <s v="u"/>
    <n v="65566667"/>
    <x v="14"/>
    <s v="0904861412"/>
    <n v="40381930"/>
    <x v="0"/>
    <x v="1"/>
  </r>
  <r>
    <x v="6"/>
    <x v="3"/>
    <n v="19"/>
    <s v="SS25"/>
    <s v="PENDANT"/>
    <s v="SS25"/>
    <n v="9278113"/>
    <n v="8894250"/>
    <d v="2025-05-10T00:00:00"/>
    <n v="214594"/>
    <s v="RHN2615"/>
    <x v="8"/>
    <x v="1"/>
    <s v="WJEW"/>
    <n v="2615"/>
    <n v="1"/>
    <s v="Cash"/>
    <n v="28684300"/>
    <n v="26559537"/>
    <n v="5"/>
    <n v="1397870"/>
    <n v="1509700"/>
    <s v="Nguyen Bich Ngoc"/>
    <s v="NAN-BOULES SMALL PENDANT CHARM B ct 0,02 GI ct 1,75"/>
    <s v="Nguyen Anh Tuyet"/>
    <s v="PS4-609"/>
    <n v="15"/>
    <s v="GG"/>
    <n v="30194000"/>
    <m/>
    <n v="27957407"/>
    <x v="61"/>
    <s v="0904861412"/>
    <n v="17281424"/>
    <x v="0"/>
    <x v="1"/>
  </r>
  <r>
    <x v="6"/>
    <x v="3"/>
    <n v="19"/>
    <s v="SS25"/>
    <s v="NECKLACE"/>
    <s v="SS25"/>
    <n v="8225670"/>
    <n v="7885350"/>
    <d v="2025-05-10T00:00:00"/>
    <n v="214612"/>
    <s v="RHN2615"/>
    <x v="8"/>
    <x v="1"/>
    <s v="WJEW"/>
    <n v="2615"/>
    <n v="1"/>
    <s v="Cash"/>
    <n v="26992350"/>
    <n v="24992917"/>
    <n v="5"/>
    <n v="1315417"/>
    <n v="1420650"/>
    <s v="Nguyen Bich Ngoc"/>
    <s v="NAN-NECKLACE WHITE MOONSTONE CHAIN MO ct 0,75"/>
    <s v="Nguyen Anh Tuyet"/>
    <s v="CN13-603"/>
    <n v="15"/>
    <s v="GG"/>
    <n v="28413000"/>
    <m/>
    <n v="26308333"/>
    <x v="61"/>
    <s v="0904861412"/>
    <n v="16767247"/>
    <x v="0"/>
    <x v="1"/>
  </r>
  <r>
    <x v="6"/>
    <x v="3"/>
    <n v="19"/>
    <s v="SS25"/>
    <s v="PENDANT"/>
    <s v="SS25"/>
    <n v="9278113"/>
    <n v="8894250"/>
    <d v="2025-05-10T00:00:00"/>
    <n v="214595"/>
    <s v="RHN2615"/>
    <x v="8"/>
    <x v="1"/>
    <s v="WJEW"/>
    <n v="2615"/>
    <n v="1"/>
    <s v="Cash"/>
    <n v="28684300"/>
    <n v="26559537"/>
    <n v="5"/>
    <n v="1397870"/>
    <n v="1509700"/>
    <s v="Nguyen Bich Ngoc"/>
    <s v="NAN-BOULES SMALL PENDANT CHARM B ct 0,02 TQ ct 1,75"/>
    <s v="Nguyen Anh Tuyet"/>
    <s v="PS3-609"/>
    <n v="15"/>
    <s v="GG"/>
    <n v="30194000"/>
    <m/>
    <n v="27957407"/>
    <x v="61"/>
    <s v="0904861412"/>
    <n v="17281424"/>
    <x v="0"/>
    <x v="1"/>
  </r>
  <r>
    <x v="6"/>
    <x v="3"/>
    <n v="19"/>
    <s v="SS25"/>
    <s v="PENDANT"/>
    <s v="SS25"/>
    <n v="20494935"/>
    <n v="19647000"/>
    <d v="2025-05-10T00:00:00"/>
    <n v="214593"/>
    <s v="RHN2615"/>
    <x v="8"/>
    <x v="1"/>
    <s v="WJEW"/>
    <n v="2615"/>
    <n v="1"/>
    <s v="Cash"/>
    <n v="62443500"/>
    <n v="57818056"/>
    <n v="5"/>
    <n v="3043056"/>
    <n v="3286500"/>
    <s v="Nguyen Bich Ngoc"/>
    <s v="NAN-BOULES SMALL PENDANT CHARM B ct 0,26"/>
    <s v="Nguyen Anh Tuyet"/>
    <s v="PS14-609"/>
    <n v="15"/>
    <s v="GG"/>
    <n v="65730000"/>
    <m/>
    <n v="60861111"/>
    <x v="61"/>
    <s v="0904861412"/>
    <n v="37323121"/>
    <x v="0"/>
    <x v="1"/>
  </r>
  <r>
    <x v="6"/>
    <x v="3"/>
    <n v="19"/>
    <s v="SS23"/>
    <s v="RING"/>
    <s v="SS23"/>
    <n v="23938666"/>
    <n v="23559030"/>
    <d v="2025-05-11T00:00:00"/>
    <n v="181396"/>
    <s v="RWR1659"/>
    <x v="8"/>
    <x v="0"/>
    <s v="WJEW"/>
    <n v="1659"/>
    <n v="1"/>
    <s v="Visa"/>
    <n v="85136400"/>
    <n v="78830000"/>
    <n v="10"/>
    <n v="8758889"/>
    <n v="9459600"/>
    <s v="Nguyen Thi Phuong Hoa"/>
    <s v="NAN - AMTHYST 6pcs ct0.41, LABRADORITE 1pcs  ct0.95, RHODOLITE 1pc ct0.95, TSAVORITE 2pcs ct0.13, TSAVORITE 15pcs ct0.34, GREEN SAPPHIRE 10pcs ct0.5, PINK SAPPHIRE 8pcs ct0.27"/>
    <s v="Huynh Phuong Lan"/>
    <s v="AS17-584"/>
    <n v="12"/>
    <s v="AMTHYST "/>
    <n v="94596000"/>
    <s v="U"/>
    <n v="87588889"/>
    <x v="59"/>
    <s v="0908819797"/>
    <n v="54891334"/>
    <x v="0"/>
    <x v="1"/>
  </r>
  <r>
    <x v="6"/>
    <x v="3"/>
    <n v="19"/>
    <s v="SS23"/>
    <s v="RING"/>
    <s v="SS23"/>
    <n v="42892332"/>
    <n v="42212115"/>
    <d v="2025-05-11T00:00:00"/>
    <n v="181398"/>
    <s v="RWR1659"/>
    <x v="8"/>
    <x v="0"/>
    <s v="WJEW"/>
    <n v="1659"/>
    <n v="1"/>
    <s v="Visa"/>
    <n v="119506500"/>
    <n v="110654167"/>
    <n v="10"/>
    <n v="12294907"/>
    <n v="13278500"/>
    <s v="Nguyen Thi Phuong Hoa"/>
    <s v="NAN - DIAMONDS  15pcs ct0.29, BLACK DIAMOND 6pcs ct0.35, GREY DIAMOND 8pcs ct0.23, ICE DIAMOND 10pcs ct0.42, RHODOLITE 2pcs ct0.13, RUBY 1pc ct1.0"/>
    <s v="Huynh Phuong Lan"/>
    <s v="AS23-584"/>
    <n v="12"/>
    <s v="DIAMONDS"/>
    <n v="132785000"/>
    <s v="U"/>
    <n v="122949074"/>
    <x v="59"/>
    <s v="0908819797"/>
    <n v="67761835"/>
    <x v="0"/>
    <x v="1"/>
  </r>
  <r>
    <x v="6"/>
    <x v="3"/>
    <n v="19"/>
    <s v="SS23"/>
    <s v="RING"/>
    <s v="SS23"/>
    <n v="26737731"/>
    <n v="26313705"/>
    <d v="2025-05-11T00:00:00"/>
    <n v="181397"/>
    <s v="RWR1659"/>
    <x v="8"/>
    <x v="0"/>
    <s v="WJEW"/>
    <n v="1659"/>
    <n v="1"/>
    <s v="Visa"/>
    <n v="84690900"/>
    <n v="78417500"/>
    <n v="10"/>
    <n v="8713056"/>
    <n v="9410100"/>
    <s v="Nguyen Thi Phuong Hoa"/>
    <s v="NAN - BLUE DIAMOND 17pcs ct0.36, IOLITE 2pcs ct0.13, LONDON BLUE TOPAZ 1pc ct1.25,SWISS BLUE TOPAZ 12pcs ct.0.59, GREEN SAPPHIRE 10pcs ct0.46"/>
    <s v="Huynh Phuong Lan"/>
    <s v="AS22-584"/>
    <n v="12"/>
    <s v="BLUE DIA"/>
    <n v="94101000"/>
    <s v="U"/>
    <n v="87130556"/>
    <x v="59"/>
    <s v="0908819797"/>
    <n v="51679769"/>
    <x v="0"/>
    <x v="1"/>
  </r>
  <r>
    <x v="6"/>
    <x v="3"/>
    <n v="20"/>
    <s v="FW25"/>
    <s v="NECKLACE"/>
    <s v="FW25"/>
    <n v="5058014"/>
    <n v="3968000"/>
    <d v="2025-05-12T00:00:00"/>
    <n v="217282"/>
    <s v="RWR1661"/>
    <x v="7"/>
    <x v="0"/>
    <s v="WJEW"/>
    <n v="1661"/>
    <n v="1"/>
    <s v="Bank Transfer"/>
    <n v="12063100"/>
    <n v="11169537"/>
    <n v="5"/>
    <n v="587870"/>
    <n v="634900"/>
    <s v="Nguyen Ngoc Hieu Nghia"/>
    <s v="LUI-SMALL SILVER NECKLACE CARVED CROSS WITH FIVE NAVETTE STONES (8x4) AMETHYST"/>
    <s v="Bui Lan"/>
    <s v="CA0277/V1_x000a_"/>
    <n v="13"/>
    <s v="SILVER"/>
    <n v="12698000"/>
    <s v="os"/>
    <n v="11757407"/>
    <x v="37"/>
    <s v="0903751574"/>
    <n v="6111523"/>
    <x v="0"/>
    <x v="1"/>
  </r>
  <r>
    <x v="6"/>
    <x v="3"/>
    <n v="20"/>
    <s v="FW25"/>
    <s v="EARRINGS"/>
    <s v="FW25"/>
    <n v="66826709"/>
    <n v="64030500"/>
    <d v="2025-05-12T00:00:00"/>
    <n v="217302"/>
    <s v="RWR1661"/>
    <x v="9"/>
    <x v="0"/>
    <s v="WJEW"/>
    <n v="1661"/>
    <n v="1"/>
    <s v="Bank Transfer"/>
    <n v="181412000"/>
    <n v="167974074"/>
    <n v="5"/>
    <n v="8840741"/>
    <n v="9548000"/>
    <s v="Nguyen Ngoc Hieu Nghia"/>
    <s v="VHN-EARLIPS PINK WHITE GOLD WITH 2  DIAMONDS DIAL SIZE U"/>
    <s v="Bui Lan"/>
    <s v="0G1800B 310"/>
    <n v="13"/>
    <s v="GOLD"/>
    <n v="190960000"/>
    <m/>
    <n v="176814815"/>
    <x v="37"/>
    <s v="0903751574"/>
    <n v="101147365"/>
    <x v="0"/>
    <x v="1"/>
  </r>
  <r>
    <x v="6"/>
    <x v="3"/>
    <n v="20"/>
    <s v="FW25"/>
    <s v="EARRINGS"/>
    <s v="FW25"/>
    <n v="3161259"/>
    <n v="2480000"/>
    <d v="2025-05-12T00:00:00"/>
    <n v="217293"/>
    <s v="RWR1661"/>
    <x v="7"/>
    <x v="0"/>
    <s v="WJEW"/>
    <n v="1661"/>
    <n v="1"/>
    <s v="Bank Transfer"/>
    <n v="6524900"/>
    <n v="6041574"/>
    <n v="17.78"/>
    <n v="1306574"/>
    <n v="1411100"/>
    <s v="Nguyen Ngoc Hieu Nghia"/>
    <s v="LUI-CARVED SILVER EAR CUFF WITH 4 EMERALD CUT STONES (6x4) LONDON"/>
    <s v="Bui Lan"/>
    <s v="OA0281/V2_x000a_"/>
    <n v="13"/>
    <s v="SILVER"/>
    <n v="7936000"/>
    <s v="os"/>
    <n v="7348148"/>
    <x v="37"/>
    <s v="0903751574"/>
    <n v="2880315"/>
    <x v="0"/>
    <x v="1"/>
  </r>
  <r>
    <x v="6"/>
    <x v="3"/>
    <n v="20"/>
    <s v="FW23"/>
    <s v="NECKLACE"/>
    <s v="FW23"/>
    <n v="74852909"/>
    <n v="68681250"/>
    <d v="2025-05-14T00:00:00"/>
    <n v="193275"/>
    <s v="RHN2632"/>
    <x v="8"/>
    <x v="1"/>
    <s v="WJEW"/>
    <n v="2632"/>
    <n v="1"/>
    <s v="Cash"/>
    <n v="240995050"/>
    <n v="223143565"/>
    <n v="5"/>
    <n v="11744398"/>
    <n v="12683950"/>
    <s v="Dang Thanh Huyen"/>
    <s v="NAN - NECKLACE ACQUAMARINE pcs 35 ct 96.25"/>
    <s v="Nguyen Anh Tuyet"/>
    <s v="CN4-575"/>
    <n v="11"/>
    <s v="GG"/>
    <n v="253679000"/>
    <s v="450"/>
    <n v="234887963"/>
    <x v="64"/>
    <s v="0904861412"/>
    <n v="148290656"/>
    <x v="0"/>
    <x v="1"/>
  </r>
  <r>
    <x v="6"/>
    <x v="3"/>
    <n v="20"/>
    <s v="SS25"/>
    <s v="PENDANT"/>
    <s v="SS25"/>
    <n v="-20494935"/>
    <n v="-19647000"/>
    <d v="2025-05-14T00:00:00"/>
    <n v="214593"/>
    <s v="RHN2632"/>
    <x v="8"/>
    <x v="1"/>
    <s v="WJEW"/>
    <n v="2632"/>
    <n v="-1"/>
    <s v="Cash"/>
    <n v="-62443500"/>
    <n v="-57818056"/>
    <n v="5"/>
    <n v="-3043056"/>
    <n v="-3286500"/>
    <s v="Dang Thanh Huyen"/>
    <s v="NAN-BOULES SMALL PENDANT CHARM B ct 0,26"/>
    <s v="Nguyen Anh Tuyet"/>
    <s v="PS14-609"/>
    <n v="11"/>
    <s v="GG"/>
    <n v="-65730000"/>
    <m/>
    <n v="-60861111"/>
    <x v="61"/>
    <s v="0904861412"/>
    <n v="-37323121"/>
    <x v="0"/>
    <x v="1"/>
  </r>
  <r>
    <x v="6"/>
    <x v="3"/>
    <n v="20"/>
    <s v="FW24"/>
    <s v="EARRINGS"/>
    <s v="FW24"/>
    <n v="426447"/>
    <n v="382270.5"/>
    <d v="2025-05-14T00:00:00"/>
    <n v="205042"/>
    <s v="RWT4231"/>
    <x v="4"/>
    <x v="4"/>
    <s v="WJEW"/>
    <n v="4231"/>
    <n v="1"/>
    <s v="Visa"/>
    <n v="2294000"/>
    <n v="2124074"/>
    <n v="0"/>
    <n v="0"/>
    <n v="0"/>
    <s v="Thai Hoang Trang"/>
    <s v="GEO-LAPIS EARRING"/>
    <s v="To Mai Lien"/>
    <s v="45"/>
    <n v="14"/>
    <s v="Blue"/>
    <n v="2294000"/>
    <s v="u"/>
    <n v="2124074"/>
    <x v="63"/>
    <s v="0936462242"/>
    <n v="1697627"/>
    <x v="0"/>
    <x v="2"/>
  </r>
  <r>
    <x v="6"/>
    <x v="3"/>
    <n v="20"/>
    <s v="SS24"/>
    <s v="BRACELET"/>
    <s v="SS24"/>
    <n v="2427460"/>
    <n v="2257200"/>
    <d v="2025-05-14T00:00:00"/>
    <n v="208269"/>
    <s v="RWT4233"/>
    <x v="7"/>
    <x v="4"/>
    <s v="WJEW"/>
    <n v="4233"/>
    <n v="1"/>
    <m/>
    <n v="7224000"/>
    <n v="6688889"/>
    <n v="0"/>
    <n v="0"/>
    <n v="0"/>
    <s v="Vuong Que Chau"/>
    <s v="LUI - SILVER BRACELET CARVED WITH TEARDROP STONES (9X6PCS1), DROPS (7X5PCS2), AND PEARLS (4MMPCS12) (ALL ONYX)"/>
    <s v="Nguyen Thi Lien Phuong"/>
    <s v="BA0158/V1"/>
    <n v="17"/>
    <s v="BLACK"/>
    <n v="7224000"/>
    <s v="U"/>
    <n v="6688889"/>
    <x v="65"/>
    <s v="0908759007"/>
    <n v="4261429"/>
    <x v="0"/>
    <x v="2"/>
  </r>
  <r>
    <x v="6"/>
    <x v="3"/>
    <n v="20"/>
    <s v="SS24"/>
    <s v="NECKLACE"/>
    <s v="SS24"/>
    <n v="6615128"/>
    <n v="6156000"/>
    <d v="2025-05-14T00:00:00"/>
    <n v="208275"/>
    <s v="RWT4233"/>
    <x v="7"/>
    <x v="4"/>
    <s v="WJEW"/>
    <n v="4233"/>
    <n v="1"/>
    <m/>
    <n v="19700000"/>
    <n v="18240741"/>
    <n v="0"/>
    <n v="0"/>
    <n v="0"/>
    <s v="Vuong Que Chau"/>
    <s v="LUI - SILVER NECKLACE WITH ONIX"/>
    <s v="Nguyen Thi Lien Phuong"/>
    <s v="CA0039"/>
    <n v="17"/>
    <s v="BLACK"/>
    <n v="19700000"/>
    <s v="U"/>
    <n v="18240741"/>
    <x v="65"/>
    <s v="0908759007"/>
    <n v="11625613"/>
    <x v="0"/>
    <x v="2"/>
  </r>
  <r>
    <x v="6"/>
    <x v="3"/>
    <n v="21"/>
    <s v="SS25"/>
    <s v="NECKLACE"/>
    <s v="SS25"/>
    <n v="1702281965"/>
    <n v="1855845000"/>
    <d v="2025-05-23T00:00:00"/>
    <n v="211682"/>
    <s v="RHN2695"/>
    <x v="9"/>
    <x v="1"/>
    <s v="WJEW"/>
    <n v="2695"/>
    <n v="1"/>
    <s v="Bank Transfer"/>
    <n v="4082859000"/>
    <n v="3780425000"/>
    <n v="17.43"/>
    <n v="797815741"/>
    <n v="861641000"/>
    <s v="Le Ha Thuy Linh"/>
    <s v="VHN-ENDLESS. NECKLACE WHITE GOLD WHITE DIAMONDS DIAMONDS 54 EL"/>
    <s v="Pham Thi Nhat"/>
    <s v="MG0979CL011"/>
    <n v="17"/>
    <s v="GOLD, BL"/>
    <n v="4944500000"/>
    <m/>
    <n v="4578240741"/>
    <x v="55"/>
    <s v="0974229989"/>
    <n v="2078143035"/>
    <x v="0"/>
    <x v="1"/>
  </r>
  <r>
    <x v="6"/>
    <x v="3"/>
    <n v="22"/>
    <s v="FW24"/>
    <s v="NECKLACE"/>
    <s v="FW24"/>
    <n v="1426858"/>
    <n v="1223265.5999999999"/>
    <d v="2025-05-29T00:00:00"/>
    <n v="205036"/>
    <s v="RWT4301"/>
    <x v="4"/>
    <x v="4"/>
    <s v="WJEW"/>
    <n v="4301"/>
    <n v="1"/>
    <s v="Visa"/>
    <n v="7340000"/>
    <n v="6796296"/>
    <n v="0"/>
    <n v="0"/>
    <n v="0"/>
    <s v="Nguyen Le Nhan Tam"/>
    <s v="GEO-SERPENTINE NECKLACE"/>
    <s v="Tourist"/>
    <s v="39"/>
    <n v="16"/>
    <s v="Multi"/>
    <n v="7340000"/>
    <s v="u"/>
    <n v="6796296"/>
    <x v="66"/>
    <m/>
    <n v="5369438"/>
    <x v="0"/>
    <x v="1"/>
  </r>
  <r>
    <x v="6"/>
    <x v="3"/>
    <n v="22"/>
    <s v="FW25"/>
    <s v="NECKLACE"/>
    <s v="FW25"/>
    <n v="3951573"/>
    <n v="3100000"/>
    <d v="2025-05-30T00:00:00"/>
    <n v="217279"/>
    <s v="RWT4305"/>
    <x v="7"/>
    <x v="4"/>
    <s v="WJEW"/>
    <n v="4305"/>
    <n v="1"/>
    <s v="Visa"/>
    <n v="9424000"/>
    <n v="8725926"/>
    <n v="5"/>
    <n v="459259"/>
    <n v="496000"/>
    <s v="Nguyen Quoc Huy"/>
    <s v="LUI-SILVER NECKLACE CARVED WITH NAVETTE STONES (8x4) RHODOLITE LETTER. (LETTERS M, N, T, H)"/>
    <s v="Le Thi Thanh Mai"/>
    <s v="CA0276/AG_x000a_"/>
    <n v="15"/>
    <s v="SILVER"/>
    <n v="9920000"/>
    <s v="os"/>
    <n v="9185185"/>
    <x v="23"/>
    <s v="0933530066"/>
    <n v="4774353"/>
    <x v="0"/>
    <x v="1"/>
  </r>
  <r>
    <x v="6"/>
    <x v="4"/>
    <n v="23"/>
    <s v="SS23"/>
    <s v="RING"/>
    <s v="SS23"/>
    <n v="2398111"/>
    <n v="2160000"/>
    <d v="2025-06-02T00:00:00"/>
    <n v="182187"/>
    <s v="RWT4328"/>
    <x v="7"/>
    <x v="4"/>
    <s v="WJEW"/>
    <n v="4328"/>
    <n v="1"/>
    <m/>
    <n v="6912000"/>
    <n v="6400000"/>
    <n v="0"/>
    <n v="0"/>
    <n v="0"/>
    <s v="Vuong Que Chau"/>
    <s v="MAL - ENGRAVED SILVER RING, SHRI CAPSULE, WITH NATURAL STONE ROUND CUT (6 MM)  RODOLITE   TG. 13"/>
    <s v="Duong Thi Minh Chau"/>
    <s v="AA0114/V2/13"/>
    <n v="15"/>
    <s v="RODOLITE"/>
    <n v="6912000"/>
    <s v="13"/>
    <n v="6400000"/>
    <x v="49"/>
    <s v="0903618988"/>
    <n v="4001889"/>
    <x v="0"/>
    <x v="1"/>
  </r>
  <r>
    <x v="6"/>
    <x v="4"/>
    <n v="23"/>
    <s v="SS25"/>
    <s v="BRACELET"/>
    <s v="SS25"/>
    <n v="97397754"/>
    <n v="93190500"/>
    <d v="2025-06-02T00:00:00"/>
    <n v="210751"/>
    <s v="RWR1775"/>
    <x v="9"/>
    <x v="0"/>
    <s v="WJEW"/>
    <n v="1775"/>
    <n v="1"/>
    <s v="Bank Transfer"/>
    <n v="285076000"/>
    <n v="263959259"/>
    <n v="12"/>
    <n v="35994444"/>
    <n v="38874000"/>
    <s v="Nguyen Thi Duc Minh"/>
    <s v="VHN-CALLA MEDIA BRACELET "/>
    <s v="Pham To Kieu Phuong"/>
    <s v="0G1652BR313"/>
    <n v="16"/>
    <s v="GOLD &amp; T"/>
    <n v="323950000"/>
    <m/>
    <n v="299953704"/>
    <x v="37"/>
    <s v="0935197345"/>
    <n v="166561505"/>
    <x v="0"/>
    <x v="1"/>
  </r>
  <r>
    <x v="6"/>
    <x v="4"/>
    <n v="23"/>
    <s v="FW25"/>
    <s v="RING"/>
    <s v="FW25"/>
    <n v="27653278"/>
    <n v="25806600.000000004"/>
    <d v="2025-06-03T00:00:00"/>
    <n v="217089"/>
    <s v="RWR1779"/>
    <x v="8"/>
    <x v="0"/>
    <s v="WJEW"/>
    <n v="1779"/>
    <n v="1"/>
    <s v="Charge"/>
    <n v="85953150"/>
    <n v="79586250"/>
    <n v="5"/>
    <n v="4188750"/>
    <n v="4523850"/>
    <s v="Nguyen Thi Khanh Ha"/>
    <s v="NAN-DANCING IN THE RAIN RING SIZE 13"/>
    <s v="Nguyen Thi Linh Chi"/>
    <s v="AS27-583"/>
    <n v="15"/>
    <s v="GG"/>
    <n v="90477000"/>
    <s v="13"/>
    <n v="83775000"/>
    <x v="39"/>
    <s v="0903674774"/>
    <n v="51932972"/>
    <x v="0"/>
    <x v="1"/>
  </r>
  <r>
    <x v="6"/>
    <x v="4"/>
    <n v="23"/>
    <s v="FW25"/>
    <s v="RING"/>
    <s v="FW25"/>
    <n v="27425679"/>
    <n v="25594200"/>
    <d v="2025-06-03T00:00:00"/>
    <n v="217099"/>
    <s v="RWR1779"/>
    <x v="8"/>
    <x v="0"/>
    <s v="WJEW"/>
    <n v="1779"/>
    <n v="1"/>
    <s v="Charge"/>
    <n v="84314400"/>
    <n v="78068889"/>
    <n v="5"/>
    <n v="4108889"/>
    <n v="4437600"/>
    <s v="Nguyen Thi Khanh Ha"/>
    <s v="NAN-BOULES RING SIZE 13"/>
    <s v="Nguyen Thi Linh Chi"/>
    <s v="AS8-609"/>
    <n v="15"/>
    <s v="GG"/>
    <n v="88752000"/>
    <s v="13"/>
    <n v="82177778"/>
    <x v="39"/>
    <s v="0903674774"/>
    <n v="50643210"/>
    <x v="0"/>
    <x v="1"/>
  </r>
  <r>
    <x v="6"/>
    <x v="4"/>
    <n v="23"/>
    <s v="FW25"/>
    <s v="EARRINGS"/>
    <s v="FW25"/>
    <n v="35334745"/>
    <n v="32975100"/>
    <d v="2025-06-03T00:00:00"/>
    <n v="217098"/>
    <s v="RWR1779"/>
    <x v="8"/>
    <x v="0"/>
    <s v="WJEW"/>
    <n v="1779"/>
    <n v="1"/>
    <s v="Charge"/>
    <n v="107748050"/>
    <n v="99766713"/>
    <n v="5"/>
    <n v="5250880"/>
    <n v="5670950"/>
    <s v="Nguyen Thi Khanh Ha"/>
    <s v="NAN-BOULES EARRINGS"/>
    <s v="Nguyen Thi Linh Chi"/>
    <s v="OA4-609"/>
    <n v="15"/>
    <s v="GG"/>
    <n v="113419000"/>
    <s v="u"/>
    <n v="105017593"/>
    <x v="39"/>
    <s v="0903674774"/>
    <n v="64431968"/>
    <x v="0"/>
    <x v="1"/>
  </r>
  <r>
    <x v="6"/>
    <x v="4"/>
    <n v="23"/>
    <s v="FW25"/>
    <s v="RING"/>
    <s v="FW25"/>
    <n v="-27653278"/>
    <n v="-25806600.000000004"/>
    <d v="2025-06-04T00:00:00"/>
    <n v="217089"/>
    <s v="RWR1783"/>
    <x v="8"/>
    <x v="0"/>
    <s v="WJEW"/>
    <n v="1783"/>
    <n v="-1"/>
    <s v="Charge"/>
    <n v="-85953150"/>
    <n v="-79586250"/>
    <n v="5"/>
    <n v="-4188750"/>
    <n v="-4523850"/>
    <s v="Nguyen Thi Duc Minh"/>
    <s v="NAN-DANCING IN THE RAIN RING SIZE 13"/>
    <s v="Nguyen Thi Linh Chi"/>
    <s v="AS27-583"/>
    <n v="18"/>
    <s v="GG"/>
    <n v="-90477000"/>
    <s v="13"/>
    <n v="-83775000"/>
    <x v="39"/>
    <s v="0903674774"/>
    <n v="-51932972"/>
    <x v="0"/>
    <x v="1"/>
  </r>
  <r>
    <x v="6"/>
    <x v="4"/>
    <n v="23"/>
    <s v="FW25"/>
    <s v="RING"/>
    <s v="FW25"/>
    <n v="26401483"/>
    <n v="24638400"/>
    <d v="2025-06-04T00:00:00"/>
    <n v="217103"/>
    <s v="RWR1785"/>
    <x v="8"/>
    <x v="0"/>
    <s v="WJEW"/>
    <n v="1785"/>
    <n v="1"/>
    <s v="Charge"/>
    <n v="82429600"/>
    <n v="76323704"/>
    <n v="5"/>
    <n v="4017037"/>
    <n v="4338400"/>
    <s v="Huynh Trong Hieu"/>
    <s v="NAN-DANCING IN THE RAIN RING SIZE 13"/>
    <s v="Nguyen Thi Linh Chi"/>
    <s v="AS2-603"/>
    <n v="18"/>
    <s v="GG"/>
    <n v="86768000"/>
    <s v="13"/>
    <n v="80340741"/>
    <x v="39"/>
    <s v="0903674774"/>
    <n v="49922221"/>
    <x v="0"/>
    <x v="1"/>
  </r>
  <r>
    <x v="6"/>
    <x v="4"/>
    <n v="24"/>
    <s v="SS25"/>
    <s v="EARRINGS"/>
    <s v="SS25"/>
    <n v="20938070"/>
    <n v="20071800"/>
    <d v="2025-06-11T00:00:00"/>
    <n v="214611"/>
    <s v="RHN2768"/>
    <x v="8"/>
    <x v="1"/>
    <s v="WJEW"/>
    <n v="2768"/>
    <n v="1"/>
    <s v="Cash"/>
    <n v="68529000"/>
    <n v="63452778"/>
    <n v="0"/>
    <n v="0"/>
    <n v="0"/>
    <s v="Nguyen Van Son "/>
    <s v="NAN-EARRING WHITE MOONSTONE B ct 0,08 MO ct 25,00"/>
    <s v="Nguyen Minh Nguyet"/>
    <s v="OS1-603"/>
    <n v="13"/>
    <s v="GG"/>
    <n v="68529000"/>
    <m/>
    <n v="63452778"/>
    <x v="14"/>
    <s v="0915348935"/>
    <n v="42514708"/>
    <x v="0"/>
    <x v="1"/>
  </r>
  <r>
    <x v="6"/>
    <x v="4"/>
    <n v="24"/>
    <s v="SS25"/>
    <s v="EARRINGS"/>
    <s v="SS25"/>
    <n v="7782536"/>
    <n v="7460550"/>
    <d v="2025-06-11T00:00:00"/>
    <n v="214607"/>
    <s v="RHN2768"/>
    <x v="8"/>
    <x v="1"/>
    <s v="WJEW"/>
    <n v="2768"/>
    <n v="1"/>
    <s v="Cash"/>
    <n v="26038000"/>
    <n v="24109259"/>
    <n v="0"/>
    <n v="0"/>
    <n v="0"/>
    <s v="Nguyen Van Son "/>
    <s v="NAN-DANCING IN THE RAIN BABY EARRINGS B ct 0,04"/>
    <s v="Nguyen Minh Nguyet"/>
    <s v="OS41-583"/>
    <n v="13"/>
    <s v="GG"/>
    <n v="26038000"/>
    <m/>
    <n v="24109259"/>
    <x v="14"/>
    <s v="0915348935"/>
    <n v="16326723"/>
    <x v="0"/>
    <x v="1"/>
  </r>
  <r>
    <x v="6"/>
    <x v="4"/>
    <n v="24"/>
    <s v="SS24"/>
    <s v="NECKLACE"/>
    <s v="SS24"/>
    <n v="8549782"/>
    <n v="7957200"/>
    <d v="2025-06-11T00:00:00"/>
    <n v="208285"/>
    <s v="RHN2768"/>
    <x v="7"/>
    <x v="1"/>
    <s v="WJEW"/>
    <n v="2768"/>
    <n v="1"/>
    <s v="Cash"/>
    <n v="24190800"/>
    <n v="22398889"/>
    <n v="5"/>
    <n v="1178889"/>
    <n v="1273200"/>
    <s v="Nguyen Van Son "/>
    <s v="LUI - ENGRAVED SILVER NECKLACE WITH 19 NATURAL STONES, VARIOUS CUTS.   AMETHYST"/>
    <s v="Nguyen Minh Nguyet"/>
    <s v="CA0232/V1"/>
    <n v="13"/>
    <s v="PURPLE"/>
    <n v="25464000"/>
    <s v="U"/>
    <n v="23577778"/>
    <x v="10"/>
    <s v="0915348935"/>
    <n v="13849107"/>
    <x v="0"/>
    <x v="1"/>
  </r>
  <r>
    <x v="6"/>
    <x v="4"/>
    <n v="24"/>
    <s v="SS24"/>
    <s v="NECKLACE"/>
    <s v="SS24"/>
    <n v="12125218"/>
    <n v="11286000"/>
    <d v="2025-06-11T00:00:00"/>
    <n v="208283"/>
    <s v="RHN2768"/>
    <x v="7"/>
    <x v="1"/>
    <s v="WJEW"/>
    <n v="2768"/>
    <n v="1"/>
    <s v="Cash"/>
    <n v="34310200"/>
    <n v="31768704"/>
    <n v="5"/>
    <n v="1672037"/>
    <n v="1805800"/>
    <s v="Nguyen Van Son "/>
    <s v="LUI - HAND-CARVED TENNIS IN SILVER NECKLACE WITH 33 NATURAL GEMSTONES, OVAL CUT (6X4 MM) AMETHYST COME CAMPIONE"/>
    <s v="Nguyen Minh Nguyet"/>
    <s v="CA0230/V1"/>
    <n v="13"/>
    <s v="PURPLE"/>
    <n v="36116000"/>
    <s v="U"/>
    <n v="33440741"/>
    <x v="14"/>
    <s v="0915348935"/>
    <n v="19643486"/>
    <x v="0"/>
    <x v="1"/>
  </r>
  <r>
    <x v="6"/>
    <x v="4"/>
    <n v="24"/>
    <s v="SS24"/>
    <s v="EARRINGS"/>
    <s v="SS24"/>
    <n v="81915648"/>
    <n v="74587500"/>
    <d v="2025-06-13T00:00:00"/>
    <n v="203157"/>
    <s v="RHN2776"/>
    <x v="2"/>
    <x v="1"/>
    <s v="WJEW"/>
    <n v="2776"/>
    <n v="1"/>
    <s v="Cash"/>
    <n v="205201900"/>
    <n v="190001759"/>
    <n v="5"/>
    <n v="10000093"/>
    <n v="10800100"/>
    <s v="Nguyen Bich Ngoc"/>
    <s v="NAK-PETITE RUCHED HOOPS: 1.26 CTS BLUE PERUVIAN OPAL, 0.7 CTS AQUAMARINE, 0.32 CTS G-H VS WHITE DIAM"/>
    <s v="Pham Thanh Huong"/>
    <s v="H10061-BPO/AQ-20R"/>
    <n v="10"/>
    <s v="AQUAMA"/>
    <n v="216002000"/>
    <s v="U"/>
    <n v="200001852"/>
    <x v="61"/>
    <s v="0934449329"/>
    <n v="108086111"/>
    <x v="0"/>
    <x v="1"/>
  </r>
  <r>
    <x v="6"/>
    <x v="4"/>
    <n v="24"/>
    <s v="FW25"/>
    <s v="NECKLACE"/>
    <s v="FW25"/>
    <n v="83032875"/>
    <n v="82863000"/>
    <d v="2025-06-13T00:00:00"/>
    <n v="217464"/>
    <s v="RHN2776"/>
    <x v="5"/>
    <x v="1"/>
    <s v="WJEW"/>
    <n v="2776"/>
    <n v="1"/>
    <s v="Cash"/>
    <n v="204671800"/>
    <n v="189510926"/>
    <n v="5"/>
    <n v="9974259"/>
    <n v="10772200"/>
    <s v="Nguyen Bich Ngoc"/>
    <s v="ATS-PG NECKLACE: DIAMONDS 1,11CT G/VS-CRM GOLD 6.72"/>
    <s v="Pham Thanh Huong"/>
    <s v="88/01889R "/>
    <n v="10"/>
    <s v="DIAMOND,"/>
    <n v="215444000"/>
    <s v="U"/>
    <n v="199485185"/>
    <x v="61"/>
    <s v="0934449329"/>
    <n v="106478051"/>
    <x v="0"/>
    <x v="1"/>
  </r>
  <r>
    <x v="6"/>
    <x v="4"/>
    <n v="24"/>
    <s v="SS23"/>
    <s v="RING"/>
    <s v="SS23"/>
    <n v="15034976"/>
    <n v="14796540"/>
    <d v="2025-06-14T00:00:00"/>
    <n v="181395"/>
    <s v="RHN2785"/>
    <x v="8"/>
    <x v="1"/>
    <s v="WJEW"/>
    <n v="2785"/>
    <n v="1"/>
    <s v="Visa"/>
    <n v="68259400"/>
    <n v="63203148"/>
    <n v="5"/>
    <n v="3326481"/>
    <n v="3592600"/>
    <s v="Nguyen Thuy Chinh"/>
    <s v="NAN - LABRADORRITE 1pcs ct0.95, RHODOLITE 2pcs ct0.18, RUBY 1pcs ct1"/>
    <s v="Nguyen Kim Thuy Thuy"/>
    <s v="AS16-584"/>
    <n v="10"/>
    <s v="LABRADOR"/>
    <n v="71852000"/>
    <s v="U"/>
    <n v="66529630"/>
    <x v="3"/>
    <s v="0903322222"/>
    <n v="48168172"/>
    <x v="0"/>
    <x v="1"/>
  </r>
  <r>
    <x v="6"/>
    <x v="4"/>
    <n v="24"/>
    <s v="FW25"/>
    <s v="EARRINGS"/>
    <s v="FW25"/>
    <n v="62227309"/>
    <n v="62100000"/>
    <d v="2025-06-15T00:00:00"/>
    <n v="217456"/>
    <s v="RHN2798"/>
    <x v="5"/>
    <x v="1"/>
    <s v="WJEW"/>
    <n v="2798"/>
    <n v="1"/>
    <s v="Bank Transfer"/>
    <n v="153387000"/>
    <n v="142025000"/>
    <n v="5"/>
    <n v="7475000"/>
    <n v="8073000"/>
    <s v="Dang Thanh Thuy"/>
    <s v="ATS-PG PR. OF EARRINGS: ORANGE CHALCEDONY 18,02GR + CITRINE 4,26CT + TSAVORITE 0,165CT - CRM GOLD 4.64"/>
    <s v="Pham Thi Nhat"/>
    <s v="88/01946G/OC "/>
    <n v="17"/>
    <s v="ORANGE+G"/>
    <n v="161460000"/>
    <s v="U"/>
    <n v="149500000"/>
    <x v="64"/>
    <s v="0974229989"/>
    <n v="79797691"/>
    <x v="0"/>
    <x v="1"/>
  </r>
  <r>
    <x v="6"/>
    <x v="4"/>
    <n v="25"/>
    <s v="FW23"/>
    <s v="NECKLACE"/>
    <s v="FW23"/>
    <n v="30939202"/>
    <n v="28388250"/>
    <d v="2025-06-17T00:00:00"/>
    <n v="193274"/>
    <s v="RWR1829"/>
    <x v="8"/>
    <x v="0"/>
    <s v="WJEW"/>
    <n v="1829"/>
    <n v="1"/>
    <s v="Bank Transfer"/>
    <n v="107493450"/>
    <n v="99530972"/>
    <n v="5"/>
    <n v="5238472"/>
    <n v="5657550"/>
    <s v="Nguyen Thi Khanh Ha"/>
    <s v="NAN - NECKLACE ACQUAMARINE pcs 14 ct 38.5"/>
    <s v="LE THI HAI ANH"/>
    <s v="CN31-575"/>
    <n v="11"/>
    <s v="GG"/>
    <n v="113151000"/>
    <s v="400"/>
    <n v="104769444"/>
    <x v="37"/>
    <s v="0916693668"/>
    <n v="68591770"/>
    <x v="0"/>
    <x v="1"/>
  </r>
  <r>
    <x v="6"/>
    <x v="4"/>
    <n v="25"/>
    <s v="FW25"/>
    <s v="EARRINGS"/>
    <s v="FW25"/>
    <n v="102205557"/>
    <n v="97929000"/>
    <d v="2025-06-17T00:00:00"/>
    <n v="217301"/>
    <s v="RWR1829"/>
    <x v="9"/>
    <x v="0"/>
    <s v="WJEW"/>
    <n v="1829"/>
    <n v="1"/>
    <s v="Bank Transfer"/>
    <n v="283456250"/>
    <n v="262459491"/>
    <n v="5"/>
    <n v="13813657"/>
    <n v="14918750"/>
    <s v="Nguyen Thi Khanh Ha"/>
    <s v="VHN-EARLIPS PINK WHITE GOLD WITH 2  DIAMONDS DIAL SIZE U"/>
    <s v="LE THI HAI ANH"/>
    <s v="0G1800B 300"/>
    <n v="11"/>
    <s v="GOLD"/>
    <n v="298375000"/>
    <m/>
    <n v="276273148"/>
    <x v="37"/>
    <s v="0916693668"/>
    <n v="160253934"/>
    <x v="0"/>
    <x v="1"/>
  </r>
  <r>
    <x v="6"/>
    <x v="4"/>
    <n v="25"/>
    <s v="SS25"/>
    <s v="NECKLACE"/>
    <s v="SS25"/>
    <n v="91670043"/>
    <n v="87216750"/>
    <d v="2025-06-17T00:00:00"/>
    <n v="211119"/>
    <s v="RWR1829"/>
    <x v="9"/>
    <x v="0"/>
    <s v="WJEW"/>
    <n v="1829"/>
    <n v="1"/>
    <s v="Bank Transfer"/>
    <n v="257151700"/>
    <n v="238103426"/>
    <n v="5"/>
    <n v="12531759"/>
    <n v="13534300"/>
    <s v="Nguyen Thi Khanh Ha"/>
    <s v="VHN-FRECCIA NECKLACE"/>
    <s v="LE THI HAI ANH"/>
    <s v="0N1601C 351"/>
    <n v="11"/>
    <s v="PINKGOLD"/>
    <n v="270686000"/>
    <s v="u"/>
    <n v="250635185"/>
    <x v="37"/>
    <s v="0916693668"/>
    <n v="146433383"/>
    <x v="0"/>
    <x v="1"/>
  </r>
  <r>
    <x v="6"/>
    <x v="4"/>
    <n v="25"/>
    <s v="SS25"/>
    <s v="RING"/>
    <s v="SS25"/>
    <n v="60276192"/>
    <n v="57348000"/>
    <d v="2025-06-17T00:00:00"/>
    <n v="211116"/>
    <s v="RWR1829"/>
    <x v="9"/>
    <x v="0"/>
    <s v="WJEW"/>
    <n v="1829"/>
    <n v="1"/>
    <s v="Bank Transfer"/>
    <n v="167935300"/>
    <n v="155495648"/>
    <n v="5"/>
    <n v="8183981"/>
    <n v="8838700"/>
    <s v="Nguyen Thi Khanh Ha"/>
    <s v="VHN-FRECCIA RING SIZE 52"/>
    <s v="LE THI HAI ANH"/>
    <s v="0N1601A 351"/>
    <n v="11"/>
    <s v="PINKGOLD"/>
    <n v="176774000"/>
    <s v="52"/>
    <n v="163679630"/>
    <x v="37"/>
    <s v="0916693668"/>
    <n v="95219456"/>
    <x v="0"/>
    <x v="1"/>
  </r>
  <r>
    <x v="6"/>
    <x v="4"/>
    <n v="25"/>
    <s v="SS25"/>
    <s v="BRACELET"/>
    <s v="SS25"/>
    <n v="97397754"/>
    <n v="93190500"/>
    <d v="2025-06-17T00:00:00"/>
    <n v="210751"/>
    <s v="RWR1829"/>
    <x v="9"/>
    <x v="0"/>
    <s v="WJEW"/>
    <n v="1829"/>
    <n v="1"/>
    <s v="Bank Transfer"/>
    <n v="307752500"/>
    <n v="284956019"/>
    <n v="5"/>
    <n v="14997685"/>
    <n v="16197500"/>
    <s v="Nguyen Thi Khanh Ha"/>
    <s v="VHN-CALLA MEDIA BRACELET "/>
    <s v="LE THI HAI ANH"/>
    <s v="0G1652BR313"/>
    <n v="11"/>
    <s v="GOLD &amp; T"/>
    <n v="323950000"/>
    <m/>
    <n v="299953704"/>
    <x v="37"/>
    <s v="0916693668"/>
    <n v="187558265"/>
    <x v="0"/>
    <x v="1"/>
  </r>
  <r>
    <x v="6"/>
    <x v="4"/>
    <n v="25"/>
    <s v="SS24"/>
    <s v="EARRINGS"/>
    <s v="SS24"/>
    <n v="15304293"/>
    <n v="16195410"/>
    <d v="2025-06-17T00:00:00"/>
    <n v="206907"/>
    <s v="RWR1829"/>
    <x v="8"/>
    <x v="0"/>
    <s v="WJEW"/>
    <n v="1829"/>
    <n v="1"/>
    <s v="Bank Transfer"/>
    <n v="49824650"/>
    <n v="46133935"/>
    <n v="5"/>
    <n v="2428102"/>
    <n v="2622350"/>
    <s v="Nguyen Thi Khanh Ha"/>
    <s v="NAN - &quot;SOFFIO&quot; GOLD 18K 0.44 AND DIAMONDS 0.10CT LONG EARRINGS"/>
    <s v="LE THI HAI ANH"/>
    <s v="OS23-583"/>
    <n v="11"/>
    <s v="RRLU"/>
    <n v="52447000"/>
    <s v="0"/>
    <n v="48562037"/>
    <x v="37"/>
    <s v="0916693668"/>
    <n v="30829642"/>
    <x v="0"/>
    <x v="1"/>
  </r>
  <r>
    <x v="6"/>
    <x v="4"/>
    <n v="25"/>
    <s v="SS24"/>
    <s v="RING"/>
    <s v="SS24"/>
    <n v="64084358"/>
    <n v="62046875"/>
    <d v="2025-06-17T00:00:00"/>
    <n v="205105"/>
    <s v="RWR1829"/>
    <x v="6"/>
    <x v="0"/>
    <s v="WJEW"/>
    <n v="1829"/>
    <n v="1"/>
    <s v="Bank Transfer"/>
    <n v="147833300"/>
    <n v="136882685"/>
    <n v="5"/>
    <n v="7204352"/>
    <n v="7780700"/>
    <s v="Nguyen Thi Khanh Ha"/>
    <s v="GVC-PINK GOLD RING ( CENTER DIA 0.18)  W GOLD 9.30GR DIAMOND 1.33CT "/>
    <s v="LE THI HAI ANH"/>
    <s v="AR17119"/>
    <n v="11"/>
    <s v="GOLD/DIA"/>
    <n v="155614000"/>
    <s v="13"/>
    <n v="144087037"/>
    <x v="37"/>
    <s v="0916693668"/>
    <n v="72798327"/>
    <x v="0"/>
    <x v="1"/>
  </r>
  <r>
    <x v="6"/>
    <x v="4"/>
    <n v="25"/>
    <s v="SS24"/>
    <s v="NECKLACE"/>
    <s v="SS24"/>
    <n v="14371105"/>
    <n v="15207885"/>
    <d v="2025-06-21T00:00:00"/>
    <n v="206901"/>
    <s v="RHN2827"/>
    <x v="8"/>
    <x v="1"/>
    <s v="WJEW"/>
    <n v="2827"/>
    <n v="1"/>
    <s v="Cash"/>
    <n v="49249000"/>
    <n v="45600926"/>
    <n v="0"/>
    <n v="0"/>
    <n v="0"/>
    <s v="Nguyen Thi Nghia"/>
    <s v="NAN - “SPECIAL EDITION” NECKLACE GOLD 18K 3.40 DIAMONDS 0.03CT AVENTURINE 13.25CT"/>
    <s v="Linh Pham"/>
    <s v="CS8-603"/>
    <n v="10"/>
    <s v="RRLU"/>
    <n v="49249000"/>
    <s v="0"/>
    <n v="45600926"/>
    <x v="61"/>
    <m/>
    <n v="31229821"/>
    <x v="0"/>
    <x v="1"/>
  </r>
  <r>
    <x v="6"/>
    <x v="4"/>
    <n v="25"/>
    <s v="SS25"/>
    <s v="PENDANT"/>
    <s v="SS25"/>
    <n v="9167329"/>
    <n v="8788050"/>
    <d v="2025-06-21T00:00:00"/>
    <n v="214613"/>
    <s v="RHN2827"/>
    <x v="8"/>
    <x v="1"/>
    <s v="WJEW"/>
    <n v="2827"/>
    <n v="1"/>
    <s v="Cash"/>
    <n v="29939000"/>
    <n v="27721296"/>
    <n v="0"/>
    <n v="0"/>
    <n v="0"/>
    <s v="Nguyen Thi Nghia"/>
    <s v="NAN-PENDANT WHITE MOONSTONE B ct 0,03 MO ct 12,5"/>
    <s v="Linh Pham"/>
    <s v="PS7-603"/>
    <n v="10"/>
    <s v="GG"/>
    <n v="29939000"/>
    <m/>
    <n v="27721296"/>
    <x v="61"/>
    <m/>
    <n v="18553967"/>
    <x v="0"/>
    <x v="1"/>
  </r>
  <r>
    <x v="6"/>
    <x v="4"/>
    <n v="25"/>
    <s v="SS25"/>
    <s v="EARRINGS"/>
    <s v="SS25"/>
    <n v="28942172"/>
    <n v="27744750"/>
    <d v="2025-06-21T00:00:00"/>
    <n v="214599"/>
    <s v="RHN2827"/>
    <x v="8"/>
    <x v="1"/>
    <s v="WJEW"/>
    <n v="2827"/>
    <n v="1"/>
    <s v="Cash"/>
    <n v="94906000"/>
    <n v="87875926"/>
    <n v="0"/>
    <n v="0"/>
    <n v="0"/>
    <s v="Nguyen Thi Nghia"/>
    <s v="NAN-BOULES EARRINGS B ct 0,07 TQ ct 8,00"/>
    <s v="Linh Pham"/>
    <s v="OS8-609"/>
    <n v="10"/>
    <s v="GG"/>
    <n v="94906000"/>
    <m/>
    <n v="87875926"/>
    <x v="61"/>
    <m/>
    <n v="58933754"/>
    <x v="0"/>
    <x v="1"/>
  </r>
  <r>
    <x v="6"/>
    <x v="4"/>
    <n v="25"/>
    <s v="SS23"/>
    <s v="RING"/>
    <s v="SS23"/>
    <n v="2398111"/>
    <n v="2160000"/>
    <d v="2025-06-21T00:00:00"/>
    <n v="182191"/>
    <s v="RHN2832"/>
    <x v="7"/>
    <x v="1"/>
    <s v="WJEW"/>
    <n v="2832"/>
    <n v="1"/>
    <s v="Visa"/>
    <n v="6912000"/>
    <n v="6400000"/>
    <n v="0"/>
    <n v="0"/>
    <n v="0"/>
    <s v="Nguyen Thi Nghia"/>
    <s v="MAL - ENGRAVED SILVER RING, SHRI CAPSULE, ONE NATURAL STONE DROP CUT ( 9X6)  LONDON   TG 13"/>
    <s v="Tran Thi Le Hai"/>
    <s v="AA0117/V2/13"/>
    <n v="16"/>
    <s v="LONDON"/>
    <n v="6912000"/>
    <s v="13"/>
    <n v="6400000"/>
    <x v="61"/>
    <s v="0913329999"/>
    <n v="4001889"/>
    <x v="0"/>
    <x v="1"/>
  </r>
  <r>
    <x v="6"/>
    <x v="4"/>
    <n v="25"/>
    <s v="SS23"/>
    <s v="EARRINGS"/>
    <s v="SS23"/>
    <n v="6564827"/>
    <n v="5913000"/>
    <d v="2025-06-21T00:00:00"/>
    <n v="182250"/>
    <s v="RHN2832"/>
    <x v="7"/>
    <x v="1"/>
    <s v="WJEW"/>
    <n v="2832"/>
    <n v="1"/>
    <s v="Visa"/>
    <n v="18922000"/>
    <n v="17520370"/>
    <n v="0"/>
    <n v="0"/>
    <n v="0"/>
    <s v="Nguyen Thi Nghia"/>
    <s v="MAL - SILVER EARRINGS WITH ENGRAVED SHPERE, SMALL NATURAL STONES AND ONE LARGE MABE' PEARL  LONDON - WHITE PEARL"/>
    <s v="Tran Thi Le Hai"/>
    <s v="OA0178/LO"/>
    <n v="16"/>
    <s v="LONDON -"/>
    <n v="18922000"/>
    <s v="U"/>
    <n v="17520370"/>
    <x v="47"/>
    <s v="0913329999"/>
    <n v="10955543"/>
    <x v="0"/>
    <x v="0"/>
  </r>
  <r>
    <x v="6"/>
    <x v="4"/>
    <n v="25"/>
    <s v="FW25"/>
    <s v="EARRINGS"/>
    <s v="FW25"/>
    <n v="2687070"/>
    <n v="2108000"/>
    <d v="2025-06-22T00:00:00"/>
    <n v="217294"/>
    <s v="RWR1848"/>
    <x v="7"/>
    <x v="0"/>
    <s v="WJEW"/>
    <n v="1848"/>
    <n v="1"/>
    <s v="Bank Transfer"/>
    <n v="6746000"/>
    <n v="6246296"/>
    <n v="0"/>
    <n v="0"/>
    <n v="0"/>
    <s v="Nguyen Ngoc Hieu Nghia"/>
    <s v="LUI-CARVED SILVER EAR CUFF WITH 4 EMERALD CUT STONES (6x4) BLACK SPINEL"/>
    <s v="HUYNH TRAN THANH"/>
    <s v="OA0281/V1"/>
    <n v="19"/>
    <s v="SILVER"/>
    <n v="6746000"/>
    <s v="os"/>
    <n v="6246296"/>
    <x v="59"/>
    <s v="0708202855"/>
    <n v="3559226"/>
    <x v="0"/>
    <x v="1"/>
  </r>
  <r>
    <x v="6"/>
    <x v="4"/>
    <n v="25"/>
    <s v="FW25"/>
    <s v="EARRINGS"/>
    <s v="FW25"/>
    <n v="3161259"/>
    <n v="2480000"/>
    <d v="2025-06-22T00:00:00"/>
    <n v="217293"/>
    <s v="RWR1848"/>
    <x v="7"/>
    <x v="0"/>
    <s v="WJEW"/>
    <n v="1848"/>
    <n v="1"/>
    <s v="Bank Transfer"/>
    <n v="7936000"/>
    <n v="7348148"/>
    <n v="0"/>
    <n v="0"/>
    <n v="0"/>
    <s v="Nguyen Ngoc Hieu Nghia"/>
    <s v="LUI-CARVED SILVER EAR CUFF WITH 4 EMERALD CUT STONES (6x4) LONDON"/>
    <s v="HUYNH TRAN THANH"/>
    <s v="OA0281/V2_x000a_"/>
    <n v="19"/>
    <s v="SILVER"/>
    <n v="7936000"/>
    <s v="os"/>
    <n v="7348148"/>
    <x v="59"/>
    <s v="0708202855"/>
    <n v="4186889"/>
    <x v="0"/>
    <x v="1"/>
  </r>
  <r>
    <x v="6"/>
    <x v="4"/>
    <n v="25"/>
    <s v="FW25"/>
    <s v="EARRINGS"/>
    <s v="FW25"/>
    <n v="2687070"/>
    <n v="2108000"/>
    <d v="2025-06-22T00:00:00"/>
    <n v="217289"/>
    <s v="RWR1848"/>
    <x v="7"/>
    <x v="0"/>
    <s v="WJEW"/>
    <n v="1848"/>
    <n v="1"/>
    <s v="Bank Transfer"/>
    <n v="6746000"/>
    <n v="6246296"/>
    <n v="0"/>
    <n v="0"/>
    <n v="0"/>
    <s v="Nguyen Ngoc Hieu Nghia"/>
    <s v="LUI-SILVER EARRINGS"/>
    <s v="HUYNH TRAN THANH"/>
    <s v="OA0013_x000a_"/>
    <n v="19"/>
    <s v="SILVER"/>
    <n v="6746000"/>
    <s v="os"/>
    <n v="6246296"/>
    <x v="59"/>
    <s v="0708202855"/>
    <n v="3559226"/>
    <x v="0"/>
    <x v="1"/>
  </r>
  <r>
    <x v="6"/>
    <x v="4"/>
    <n v="25"/>
    <s v="FW25"/>
    <s v="EARRINGS"/>
    <s v="FW25"/>
    <n v="3129646"/>
    <n v="2455200"/>
    <d v="2025-06-22T00:00:00"/>
    <n v="217288"/>
    <s v="RWR1848"/>
    <x v="7"/>
    <x v="0"/>
    <s v="WJEW"/>
    <n v="1848"/>
    <n v="1"/>
    <s v="Bank Transfer"/>
    <n v="7857000"/>
    <n v="7275000"/>
    <n v="0"/>
    <n v="0"/>
    <n v="0"/>
    <s v="Nguyen Ngoc Hieu Nghia"/>
    <s v="LUI-SHRI EARRINGS IN SILVER WITH SMALL NATURAL STONE, EMERALD CUT (8X6) COLORS: BLACK SPINEL"/>
    <s v="HUYNH TRAN THANH"/>
    <s v="OA0218/V1_x000a_"/>
    <n v="19"/>
    <s v="SILVER"/>
    <n v="7857000"/>
    <s v="os"/>
    <n v="7275000"/>
    <x v="59"/>
    <s v="0708202855"/>
    <n v="4145354"/>
    <x v="0"/>
    <x v="1"/>
  </r>
  <r>
    <x v="6"/>
    <x v="4"/>
    <n v="25"/>
    <s v="FW24"/>
    <s v="EARRINGS"/>
    <s v="FW24"/>
    <n v="20330072"/>
    <n v="16334600"/>
    <d v="2025-06-22T00:00:00"/>
    <n v="210764"/>
    <s v="RWR1848"/>
    <x v="0"/>
    <x v="0"/>
    <s v="WJEW"/>
    <n v="1848"/>
    <n v="1"/>
    <s v="Bank Transfer"/>
    <n v="49714000"/>
    <n v="46031481"/>
    <n v="0"/>
    <n v="0"/>
    <n v="0"/>
    <s v="Nguyen Ngoc Hieu Nghia"/>
    <s v="SPK-ZAHRA MAX HOOP SILVER EARRINGS NOIR"/>
    <s v="HUYNH TRAN THANH"/>
    <s v="E-ZAMAXSSNO"/>
    <n v="19"/>
    <s v="SLIVER"/>
    <n v="49714000"/>
    <s v="U"/>
    <n v="46031481"/>
    <x v="59"/>
    <s v="0708202855"/>
    <n v="25701409"/>
    <x v="0"/>
    <x v="1"/>
  </r>
  <r>
    <x v="6"/>
    <x v="4"/>
    <n v="26"/>
    <s v="FW25"/>
    <s v="EARRINGS"/>
    <s v="FW25"/>
    <n v="43812808"/>
    <n v="40887000"/>
    <d v="2025-06-23T00:00:00"/>
    <n v="217093"/>
    <s v="RWR1849"/>
    <x v="8"/>
    <x v="0"/>
    <s v="WJEW"/>
    <n v="1849"/>
    <n v="1"/>
    <s v="Visa"/>
    <n v="127383300"/>
    <n v="117947500"/>
    <n v="10"/>
    <n v="13105278"/>
    <n v="14153700"/>
    <s v="Nguyen Thi Khanh Ha"/>
    <s v="NAN-LIBERA EARRINGS"/>
    <s v="Huynh Phuong Lan"/>
    <s v="OS3-602-RRLU"/>
    <n v="12"/>
    <s v="RR"/>
    <n v="141537000"/>
    <s v="u"/>
    <n v="131052778"/>
    <x v="59"/>
    <s v="0908819797"/>
    <n v="74134692"/>
    <x v="0"/>
    <x v="1"/>
  </r>
  <r>
    <x v="6"/>
    <x v="4"/>
    <n v="26"/>
    <s v="FW24"/>
    <s v="RING"/>
    <s v="FW24"/>
    <n v="29995911"/>
    <n v="30470000"/>
    <d v="2025-06-23T00:00:00"/>
    <n v="205067"/>
    <s v="RWR1849"/>
    <x v="5"/>
    <x v="0"/>
    <s v="WJEW"/>
    <n v="1849"/>
    <n v="1"/>
    <s v="Visa"/>
    <n v="72675000"/>
    <n v="67291667"/>
    <n v="5"/>
    <n v="3541667"/>
    <n v="3825000"/>
    <s v="Nguyen Thi Khanh Ha"/>
    <s v="ATS-PG Ring: diamond 0,58ct G/VS + pink sapphire 0,18ct / gmr gold 4.16 / size 12"/>
    <s v="Huynh Phuong Lan"/>
    <s v="88/01711R/PS"/>
    <n v="12"/>
    <s v="pink sap"/>
    <n v="76500000"/>
    <s v="12"/>
    <n v="70833333"/>
    <x v="59"/>
    <s v="0908819797"/>
    <n v="37295756"/>
    <x v="0"/>
    <x v="1"/>
  </r>
  <r>
    <x v="6"/>
    <x v="4"/>
    <n v="26"/>
    <s v="FW25"/>
    <s v="NECKLACE"/>
    <s v="FW25"/>
    <n v="27994676"/>
    <n v="26125200"/>
    <d v="2025-06-24T00:00:00"/>
    <n v="217090"/>
    <s v="RHN2842"/>
    <x v="8"/>
    <x v="1"/>
    <s v="WJEW"/>
    <n v="2842"/>
    <n v="1"/>
    <s v="Cash"/>
    <n v="92029000"/>
    <n v="85212037"/>
    <n v="0"/>
    <n v="0"/>
    <n v="0"/>
    <s v="Nguyen Thi Nghia"/>
    <s v="NAN-DANCING IN THE RAIN NECKLACE"/>
    <s v="Linh Pham"/>
    <s v="CS10-583"/>
    <n v="10"/>
    <s v="GG"/>
    <n v="92029000"/>
    <s v="u"/>
    <n v="85212037"/>
    <x v="61"/>
    <m/>
    <n v="57217361"/>
    <x v="0"/>
    <x v="1"/>
  </r>
  <r>
    <x v="6"/>
    <x v="4"/>
    <n v="26"/>
    <s v="FW25"/>
    <s v="NECKLACE"/>
    <s v="FW25"/>
    <n v="19516614"/>
    <n v="18213300"/>
    <d v="2025-06-24T00:00:00"/>
    <n v="217102"/>
    <s v="RHN2842"/>
    <x v="8"/>
    <x v="1"/>
    <s v="WJEW"/>
    <n v="2842"/>
    <n v="1"/>
    <s v="Cash"/>
    <n v="64688000"/>
    <n v="59896296"/>
    <n v="0"/>
    <n v="0"/>
    <n v="0"/>
    <s v="Nguyen Thi Nghia"/>
    <s v="NAN-DANCING IN THE RAIN NECKLACE"/>
    <s v="Linh Pham"/>
    <s v="CN10-603"/>
    <n v="10"/>
    <s v="GG"/>
    <n v="64688000"/>
    <s v="u"/>
    <n v="59896296"/>
    <x v="61"/>
    <m/>
    <n v="40379682"/>
    <x v="0"/>
    <x v="1"/>
  </r>
  <r>
    <x v="6"/>
    <x v="4"/>
    <n v="26"/>
    <s v="SS24"/>
    <s v="EARRINGS"/>
    <s v="SS24"/>
    <n v="14877693"/>
    <n v="15743970"/>
    <d v="2025-06-24T00:00:00"/>
    <n v="206908"/>
    <s v="RHN2844"/>
    <x v="8"/>
    <x v="1"/>
    <s v="WJEW"/>
    <n v="2844"/>
    <n v="1"/>
    <s v="MC"/>
    <n v="49667900"/>
    <n v="45988796"/>
    <n v="5"/>
    <n v="2420463"/>
    <n v="2614100"/>
    <s v="Nguyen Thi Nghia"/>
    <s v="NAN - &quot;SOFFIO&quot; ROSE GOLD 2.36 AND DIAMONDS 0.10CT LONG EARRINGS"/>
    <s v="Do Thanh Hoa"/>
    <s v="OS23-583."/>
    <n v="17"/>
    <s v="RRLU"/>
    <n v="52282000"/>
    <s v="0"/>
    <n v="48409259"/>
    <x v="3"/>
    <s v="0904374728"/>
    <n v="31111103"/>
    <x v="0"/>
    <x v="1"/>
  </r>
  <r>
    <x v="6"/>
    <x v="4"/>
    <n v="26"/>
    <s v="SS23"/>
    <s v="NECKLACE"/>
    <s v="SS23"/>
    <n v="39186904"/>
    <n v="38565450"/>
    <d v="2025-06-24T00:00:00"/>
    <n v="181403"/>
    <s v="RHN2847"/>
    <x v="8"/>
    <x v="1"/>
    <s v="WJEW"/>
    <n v="2847"/>
    <n v="1"/>
    <s v="Payment on Account"/>
    <n v="140211450"/>
    <n v="129825417"/>
    <n v="5"/>
    <n v="6832917"/>
    <n v="7379550"/>
    <s v="Nguyen Thi Nghia"/>
    <s v="NAN - AMETHYST 13pcs ct0.57, LABRADORITE 1pc ct2.0, TSAVORITE 32pcs ct0.61, GREEN SAPPHIRE 21pcs ct0.52, PINK SAPPHIRE 31pcs ct1.38"/>
    <s v="Nguyen Anh Tuyet"/>
    <s v="CS26-584"/>
    <n v="17"/>
    <s v="AMETHYST"/>
    <n v="147591000"/>
    <s v="U"/>
    <n v="136658333"/>
    <x v="3"/>
    <s v="0904861412"/>
    <n v="90638513"/>
    <x v="0"/>
    <x v="1"/>
  </r>
  <r>
    <x v="6"/>
    <x v="4"/>
    <n v="26"/>
    <s v="SS23"/>
    <s v="BRACELET"/>
    <s v="SS23"/>
    <n v="10431781"/>
    <n v="9396000"/>
    <d v="2025-06-25T00:00:00"/>
    <n v="182198"/>
    <s v="RWR1859"/>
    <x v="7"/>
    <x v="0"/>
    <s v="WJEW"/>
    <n v="1859"/>
    <n v="1"/>
    <s v="Bank Transfer"/>
    <n v="30068000"/>
    <n v="27840741"/>
    <n v="0"/>
    <n v="0"/>
    <n v="0"/>
    <s v="Nguyen Ngoc Hieu Nghia"/>
    <s v="MAL - ENGRAVED BRACELET IN SILVER 39.2G WITH NATURAL STONES, VARIOUS CUTS: 1 LARGE DROP CUT ( 11X15), 2 SMALL DROP CUTS (7X10), 4 EMERALD CUTS (8X10), _x000a_2 OVAL FACETED CUTS, 4 ROUND CUTS  SMOKEY QUATZ"/>
    <s v="HUYNH TRAN THANH"/>
    <s v="BA0114/SMOKEY QUATZ"/>
    <n v="11"/>
    <s v="SMOKEY Q"/>
    <n v="30068000"/>
    <s v="U"/>
    <n v="27840741"/>
    <x v="59"/>
    <s v="0708202855"/>
    <n v="17408960"/>
    <x v="0"/>
    <x v="1"/>
  </r>
  <r>
    <x v="6"/>
    <x v="4"/>
    <n v="26"/>
    <s v="SS23"/>
    <s v="BRACELET"/>
    <s v="SS23"/>
    <n v="2264882.5555555555"/>
    <n v="2295000"/>
    <d v="2025-06-25T00:00:00"/>
    <n v="182195"/>
    <s v="RWR1860"/>
    <x v="7"/>
    <x v="0"/>
    <s v="WJEW"/>
    <n v="1860"/>
    <n v="1"/>
    <s v="Bank Transfer"/>
    <n v="7344000"/>
    <n v="6800000"/>
    <n v="0"/>
    <n v="0"/>
    <n v="0"/>
    <s v="Nguyen Ngoc Hieu Nghia"/>
    <s v="MAL - ENGRAVED SILVER BANGLE (NEW SMALL)   ATTENZIONE  TAGLIA COME CAMPIONE"/>
    <s v="HUYNH TRAN THANH"/>
    <s v="BA0079/SMALL"/>
    <n v="11"/>
    <s v="ATTENZIO"/>
    <n v="7344000"/>
    <s v="U"/>
    <n v="6800000"/>
    <x v="59"/>
    <s v="0708202855"/>
    <n v="4535117.444444444"/>
    <x v="0"/>
    <x v="1"/>
  </r>
  <r>
    <x v="6"/>
    <x v="4"/>
    <n v="26"/>
    <s v="SS23"/>
    <s v="EARRINGS"/>
    <s v="SS23"/>
    <n v="139936535"/>
    <n v="161672000"/>
    <d v="2025-06-25T00:00:00"/>
    <n v="180398"/>
    <s v="RHN2852"/>
    <x v="5"/>
    <x v="1"/>
    <s v="WJEW"/>
    <n v="2852"/>
    <n v="1"/>
    <s v="Visa"/>
    <n v="337250000"/>
    <n v="312268519"/>
    <n v="5"/>
    <n v="16435185"/>
    <n v="17750000"/>
    <s v="Nguyen Bich Ngoc"/>
    <s v="ATS - WG Pr. of Earrings: dia (rd) 0,71ct G/VS + dia (ov) 2,73ct G/VS"/>
    <s v="Nguyen Thi Minh Hue"/>
    <s v="88/01614W"/>
    <n v="18"/>
    <s v="DIA"/>
    <n v="355000000"/>
    <s v="O/S"/>
    <n v="328703704"/>
    <x v="62"/>
    <s v="0906159999"/>
    <n v="172331984"/>
    <x v="0"/>
    <x v="1"/>
  </r>
  <r>
    <x v="6"/>
    <x v="4"/>
    <n v="26"/>
    <s v="SS24"/>
    <s v="EARRINGS"/>
    <s v="SS24"/>
    <n v="59243382"/>
    <n v="57344375"/>
    <d v="2025-06-25T00:00:00"/>
    <n v="205084"/>
    <s v="RHN2852"/>
    <x v="6"/>
    <x v="1"/>
    <s v="WJEW"/>
    <n v="2852"/>
    <n v="1"/>
    <s v="Visa"/>
    <n v="136629000"/>
    <n v="126508333"/>
    <n v="5"/>
    <n v="6658333"/>
    <n v="7191000"/>
    <s v="Nguyen Bich Ngoc"/>
    <s v="GVC-PING GOLD P.OF EARRINGS W GOLD 15.05GR DIAMOND 0.79CT"/>
    <s v="Nguyen Thi Minh Hue"/>
    <s v="B39745"/>
    <n v="18"/>
    <s v="GOLD/DIA"/>
    <n v="143820000"/>
    <s v="U"/>
    <n v="133166667"/>
    <x v="62"/>
    <s v="0906159999"/>
    <n v="67264951"/>
    <x v="0"/>
    <x v="1"/>
  </r>
  <r>
    <x v="6"/>
    <x v="10"/>
    <n v="27"/>
    <s v="SS24"/>
    <s v="NECKLACE"/>
    <s v="SS24"/>
    <n v="28928848"/>
    <n v="30613275"/>
    <d v="2025-07-01T00:00:00"/>
    <n v="206896"/>
    <s v="RHN2886"/>
    <x v="8"/>
    <x v="1"/>
    <s v="WACC"/>
    <n v="2886"/>
    <n v="1"/>
    <s v="Payment on Account"/>
    <n v="108377000"/>
    <n v="100349074"/>
    <n v="0"/>
    <n v="0"/>
    <n v="0"/>
    <s v="Nguyen Thi Nghia"/>
    <s v="NAN - “SPECIAL EDITION” NECKLACE GOLD 18K 8.60"/>
    <s v="Hoang Lan"/>
    <s v="CN3-583"/>
    <n v="12"/>
    <s v="RRLU"/>
    <n v="108377000"/>
    <s v="950"/>
    <n v="100349074"/>
    <x v="61"/>
    <s v="0908087979"/>
    <n v="71420226"/>
    <x v="0"/>
    <x v="1"/>
  </r>
  <r>
    <x v="6"/>
    <x v="10"/>
    <n v="27"/>
    <s v="FW25"/>
    <s v="RING"/>
    <s v="FW25"/>
    <n v="27653278"/>
    <n v="25806600.000000004"/>
    <d v="2025-07-01T00:00:00"/>
    <n v="217089"/>
    <s v="RHN2886"/>
    <x v="8"/>
    <x v="1"/>
    <s v="WJEW"/>
    <n v="2886"/>
    <n v="1"/>
    <s v="Payment on Account"/>
    <n v="90477000"/>
    <n v="83775000"/>
    <n v="0"/>
    <n v="0"/>
    <n v="0"/>
    <s v="Nguyen Thi Nghia"/>
    <s v="NAN-DANCING IN THE RAIN RING SIZE 13"/>
    <s v="Hoang Lan"/>
    <s v="AS27-583"/>
    <n v="12"/>
    <s v="GG"/>
    <n v="90477000"/>
    <s v="13"/>
    <n v="83775000"/>
    <x v="61"/>
    <s v="0908087979"/>
    <n v="56121722"/>
    <x v="0"/>
    <x v="1"/>
  </r>
  <r>
    <x v="6"/>
    <x v="10"/>
    <n v="27"/>
    <s v="SS24"/>
    <s v="RING"/>
    <s v="SS24"/>
    <n v="7962040"/>
    <n v="7410000"/>
    <d v="2025-07-02T00:00:00"/>
    <n v="208238"/>
    <s v="RWD2734"/>
    <x v="7"/>
    <x v="6"/>
    <s v="WACC"/>
    <n v="2734"/>
    <n v="1"/>
    <s v="Visa"/>
    <n v="23712000"/>
    <n v="21955556"/>
    <n v="0"/>
    <n v="0"/>
    <n v="0"/>
    <s v="Phan Thi Bao Ngoc"/>
    <s v="LUI - TRILOGY RING WITH LARGE CITRINE, SMALL WHITE MABE PEARL, AND SMALL SILVER BUTTON"/>
    <s v="PHAM HONG NHUNG"/>
    <s v="AA0036T/CITRINO"/>
    <n v="15"/>
    <s v="YELLOW, "/>
    <n v="23712000"/>
    <s v="12"/>
    <n v="21955556"/>
    <x v="67"/>
    <s v="0903146778"/>
    <n v="13993516"/>
    <x v="0"/>
    <x v="2"/>
  </r>
  <r>
    <x v="6"/>
    <x v="10"/>
    <n v="27"/>
    <s v="FW25"/>
    <s v="EARRINGS"/>
    <s v="FW25"/>
    <n v="2687070"/>
    <n v="2108000"/>
    <d v="2025-07-02T00:00:00"/>
    <n v="217289"/>
    <s v="RWD2734"/>
    <x v="7"/>
    <x v="6"/>
    <s v="WJEW"/>
    <n v="2734"/>
    <n v="1"/>
    <s v="Visa"/>
    <n v="6746000"/>
    <n v="6246296"/>
    <n v="0"/>
    <n v="0"/>
    <n v="0"/>
    <s v="Phan Thi Bao Ngoc"/>
    <s v="LUI-SILVER EARRINGS"/>
    <s v="PHAM HONG NHUNG"/>
    <s v="OA0013_x000a_"/>
    <n v="15"/>
    <s v="SILVER"/>
    <n v="6746000"/>
    <s v="os"/>
    <n v="6246296"/>
    <x v="67"/>
    <s v="0903146778"/>
    <n v="3559226"/>
    <x v="0"/>
    <x v="2"/>
  </r>
  <r>
    <x v="6"/>
    <x v="10"/>
    <n v="27"/>
    <s v="SS24"/>
    <s v="EARRINGS"/>
    <s v="SS24"/>
    <n v="229557979"/>
    <n v="215730000"/>
    <d v="2025-07-03T00:00:00"/>
    <n v="203150"/>
    <s v="RHN2889"/>
    <x v="2"/>
    <x v="1"/>
    <s v="WJEW"/>
    <n v="2889"/>
    <n v="1"/>
    <s v="Cash"/>
    <n v="539550600"/>
    <n v="499583889"/>
    <n v="5"/>
    <n v="26293889"/>
    <n v="28397400"/>
    <s v="Nguyen Bich Ngoc"/>
    <s v="NAK-DRAPED FRINGE EARRINGS: APPROX. 1.06CTS GH, VS WHITE DIAMONDS, 1.52 CTS ETHIOPIAN OPAL, 1.4CTS A"/>
    <s v="Ngo Phuong Ly"/>
    <s v="10498-EOP/BPO/AQ-20R"/>
    <n v="10"/>
    <s v="AQUAMA"/>
    <n v="567948000"/>
    <s v="U"/>
    <n v="525877778"/>
    <x v="3"/>
    <s v="0943448888"/>
    <n v="270025910"/>
    <x v="0"/>
    <x v="1"/>
  </r>
  <r>
    <x v="6"/>
    <x v="10"/>
    <n v="27"/>
    <s v="SS24"/>
    <s v="RING"/>
    <s v="SS24"/>
    <n v="217412701"/>
    <n v="181305000"/>
    <d v="2025-07-03T00:00:00"/>
    <n v="203153"/>
    <s v="RHN2889"/>
    <x v="2"/>
    <x v="1"/>
    <s v="WJEW"/>
    <n v="2889"/>
    <n v="1"/>
    <s v="Cash"/>
    <n v="510851100"/>
    <n v="473010278"/>
    <n v="5"/>
    <n v="24895278"/>
    <n v="26886900"/>
    <s v="Nguyen Bich Ngoc"/>
    <s v="NAK-TRIPLE RUCHED RIBBON RING: 2.98 CTS AQUAMARINE, 1.01 CTS BLUE MOONSTONE, 0.66 CTS BLUE PERUVIAN"/>
    <s v="Ngo Phuong Ly"/>
    <s v="90080-AQ/BPO-20R"/>
    <n v="10"/>
    <s v="AQUAMA"/>
    <n v="537738000"/>
    <s v="6.5"/>
    <n v="497905556"/>
    <x v="3"/>
    <s v="0943448888"/>
    <n v="255597577"/>
    <x v="0"/>
    <x v="1"/>
  </r>
  <r>
    <x v="6"/>
    <x v="10"/>
    <n v="27"/>
    <s v="SS25"/>
    <s v="EARRINGS"/>
    <s v="SS25"/>
    <n v="115808928"/>
    <n v="111111750"/>
    <d v="2025-07-03T00:00:00"/>
    <n v="211218"/>
    <s v="RHN2890"/>
    <x v="9"/>
    <x v="1"/>
    <s v="WJEW"/>
    <n v="2890"/>
    <n v="1"/>
    <s v="Bank Transfer"/>
    <n v="333668500"/>
    <n v="308952315"/>
    <n v="5"/>
    <n v="16260648"/>
    <n v="17561500"/>
    <s v="Nguyen Bich Ngoc"/>
    <s v="VHN-TOURBILLON S EARRINGS"/>
    <s v="Ms. Khuc Thi Dau"/>
    <s v="PG1527B 336"/>
    <n v="17"/>
    <s v="GOLDDIAM"/>
    <n v="351230000"/>
    <s v="u"/>
    <n v="325212963"/>
    <x v="56"/>
    <s v="0904577658"/>
    <n v="193143387"/>
    <x v="0"/>
    <x v="1"/>
  </r>
  <r>
    <x v="6"/>
    <x v="10"/>
    <n v="27"/>
    <s v="SS23"/>
    <s v="BRACELET"/>
    <s v="SS23"/>
    <n v="-10431781"/>
    <n v="-9396000"/>
    <d v="2025-07-04T00:00:00"/>
    <n v="182198"/>
    <s v="RWR1904"/>
    <x v="7"/>
    <x v="0"/>
    <s v="WACC"/>
    <n v="1904"/>
    <n v="-1"/>
    <s v="Bank Transfer"/>
    <n v="-30068000"/>
    <n v="-27840741"/>
    <n v="0"/>
    <n v="0"/>
    <n v="0"/>
    <s v="Nguyen Thi Khanh Ha"/>
    <s v="MAL - ENGRAVED BRACELET IN SILVER 39.2G WITH NATURAL STONES, VARIOUS CUTS: 1 LARGE DROP CUT ( 11X15), 2 SMALL DROP CUTS (7X10), 4 EMERALD CUTS (8X10), _x000a_2 OVAL FACETED CUTS, 4 ROUND CUTS  SMOKEY QUATZ"/>
    <s v="HUYNH TRAN THANH"/>
    <s v="BA0114/SMOKEY QUATZ"/>
    <n v="16"/>
    <s v="SMOKEY Q"/>
    <n v="-30068000"/>
    <s v="U"/>
    <n v="-27840741"/>
    <x v="59"/>
    <s v="0708202855"/>
    <n v="-17408960"/>
    <x v="0"/>
    <x v="1"/>
  </r>
  <r>
    <x v="6"/>
    <x v="10"/>
    <n v="27"/>
    <s v="SS23"/>
    <s v="BRACELET"/>
    <s v="SS23"/>
    <n v="-2264882.5555555555"/>
    <n v="-2295000"/>
    <d v="2025-07-04T00:00:00"/>
    <n v="182195"/>
    <s v="RWR1905"/>
    <x v="7"/>
    <x v="0"/>
    <s v="WACC"/>
    <n v="1905"/>
    <n v="-1"/>
    <s v="Bank Transfer"/>
    <n v="-7344000"/>
    <n v="-6800000"/>
    <n v="0"/>
    <n v="0"/>
    <n v="0"/>
    <s v="Nguyen Thi Khanh Ha"/>
    <s v="MAL - ENGRAVED SILVER BANGLE (NEW SMALL)   ATTENZIONE  TAGLIA COME CAMPIONE"/>
    <s v="HUYNH TRAN THANH"/>
    <s v="BA0079/SMALL"/>
    <n v="16"/>
    <s v="ATTENZIO"/>
    <n v="-7344000"/>
    <s v="U"/>
    <n v="-6800000"/>
    <x v="59"/>
    <s v="0708202855"/>
    <n v="-4535117.444444444"/>
    <x v="0"/>
    <x v="1"/>
  </r>
  <r>
    <x v="6"/>
    <x v="10"/>
    <n v="27"/>
    <s v="FW16"/>
    <s v="JEWELRY"/>
    <s v="FW16"/>
    <n v="5710500"/>
    <n v="5710500"/>
    <d v="2025-07-04T00:00:00"/>
    <n v="90553"/>
    <s v="RHN2895"/>
    <x v="1"/>
    <x v="1"/>
    <s v="WACC"/>
    <n v="2895"/>
    <n v="1"/>
    <s v="Visa"/>
    <n v="19035000"/>
    <n v="17625000"/>
    <n v="0"/>
    <n v="0"/>
    <n v="0"/>
    <s v="Nguyen Thi Nghia"/>
    <s v="RM TWISTED SILVER SNAKE RING-HEAD SILVER TREATED SET PAVING WITH ROSECUT DIAMONDS &amp; (1)BLUE SAPPHIRE CENTER"/>
    <s v="Nguyen Xuan Hanh"/>
    <s v="YENKO(1)(TW)S-ST DIA 8X8"/>
    <n v="19"/>
    <s v="BLUE SAP"/>
    <n v="19035000"/>
    <s v="12"/>
    <n v="17625000"/>
    <x v="68"/>
    <s v="0904085048"/>
    <n v="11914500"/>
    <x v="0"/>
    <x v="1"/>
  </r>
  <r>
    <x v="6"/>
    <x v="10"/>
    <n v="27"/>
    <s v="SS12"/>
    <s v="JEWELRY"/>
    <s v="SS12"/>
    <n v="8514000"/>
    <n v="8514000"/>
    <d v="2025-07-05T00:00:00"/>
    <n v="37082"/>
    <s v="RWR1911"/>
    <x v="1"/>
    <x v="0"/>
    <s v="WJEW"/>
    <n v="1911"/>
    <n v="1"/>
    <s v="Visa"/>
    <n v="31843000"/>
    <n v="29484259"/>
    <n v="0"/>
    <n v="0"/>
    <n v="0"/>
    <s v="Nguyen Kim Huong"/>
    <s v="RM Silver treated ring-top middle pink turmaline"/>
    <s v="PHAM HONG NHUNG"/>
    <s v="BALSAM R (TH) ST DIX(TURM.)"/>
    <n v="12"/>
    <s v="Silver/p"/>
    <n v="31843000"/>
    <s v="11"/>
    <n v="29484259"/>
    <x v="69"/>
    <s v="0903146778"/>
    <n v="20970259"/>
    <x v="0"/>
    <x v="0"/>
  </r>
  <r>
    <x v="6"/>
    <x v="10"/>
    <n v="27"/>
    <s v="FW25"/>
    <s v="EARRINGS"/>
    <s v="FW25"/>
    <n v="2687070"/>
    <n v="2108000"/>
    <d v="2025-07-05T00:00:00"/>
    <n v="217294"/>
    <s v="RWR1911"/>
    <x v="7"/>
    <x v="0"/>
    <s v="WJEW"/>
    <n v="1911"/>
    <n v="1"/>
    <s v="Visa"/>
    <n v="6746000"/>
    <n v="6246296"/>
    <n v="0"/>
    <n v="0"/>
    <n v="0"/>
    <s v="Nguyen Kim Huong"/>
    <s v="LUI-CARVED SILVER EAR CUFF WITH 4 EMERALD CUT STONES (6x4) BLACK SPINEL"/>
    <s v="PHAM HONG NHUNG"/>
    <s v="OA0281/V1"/>
    <n v="12"/>
    <s v="SILVER"/>
    <n v="6746000"/>
    <s v="os"/>
    <n v="6246296"/>
    <x v="69"/>
    <s v="0903146778"/>
    <n v="3559226"/>
    <x v="0"/>
    <x v="0"/>
  </r>
  <r>
    <x v="6"/>
    <x v="10"/>
    <n v="27"/>
    <s v="SS24"/>
    <s v="NECKLACE"/>
    <s v="SS24"/>
    <n v="7962039"/>
    <n v="7410000"/>
    <d v="2025-07-05T00:00:00"/>
    <n v="208287"/>
    <s v="RWR1911"/>
    <x v="7"/>
    <x v="0"/>
    <s v="WACC"/>
    <n v="1911"/>
    <n v="1"/>
    <s v="Visa"/>
    <n v="23712000"/>
    <n v="21955556"/>
    <n v="0"/>
    <n v="0"/>
    <n v="0"/>
    <s v="Nguyen Kim Huong"/>
    <s v="LUI - GOLD PLATED RIGID NECKLACE WITH NATURAL STONE, EMERALD CUT SMOKY QUARTZ"/>
    <s v="PHAM HONG NHUNG"/>
    <s v="CA0240/V1/POG"/>
    <n v="12"/>
    <s v="GOLD, SM"/>
    <n v="23712000"/>
    <s v="U"/>
    <n v="21955556"/>
    <x v="69"/>
    <s v="0903146778"/>
    <n v="13993517"/>
    <x v="0"/>
    <x v="0"/>
  </r>
  <r>
    <x v="6"/>
    <x v="10"/>
    <n v="27"/>
    <s v="SS24"/>
    <s v="RING"/>
    <s v="SS24"/>
    <n v="7456689"/>
    <n v="5571750"/>
    <d v="2025-07-05T00:00:00"/>
    <n v="202802"/>
    <s v="RWR1911"/>
    <x v="1"/>
    <x v="0"/>
    <s v="WJEW"/>
    <n v="1911"/>
    <n v="1"/>
    <s v="Visa"/>
    <n v="18464000"/>
    <n v="17096296"/>
    <n v="0"/>
    <n v="0"/>
    <n v="0"/>
    <s v="Nguyen Kim Huong"/>
    <s v="ROM-SUKA R S C2 S ST DIA CO (52) R-C-SUKAR-9 Rings - With Setting Sterling Silver - Cognac Diamonds:"/>
    <s v="PHAM HONG NHUNG"/>
    <s v="RG-054365"/>
    <n v="12"/>
    <s v="Cognac D"/>
    <n v="18464000"/>
    <s v="52"/>
    <n v="17096296"/>
    <x v="69"/>
    <s v="0903146778"/>
    <n v="9639607"/>
    <x v="0"/>
    <x v="0"/>
  </r>
  <r>
    <x v="6"/>
    <x v="10"/>
    <n v="27"/>
    <s v="SS24"/>
    <s v="RING"/>
    <s v="SS24"/>
    <n v="7651212"/>
    <n v="5717100"/>
    <d v="2025-07-05T00:00:00"/>
    <n v="202750"/>
    <s v="RWR1911"/>
    <x v="1"/>
    <x v="0"/>
    <s v="WJEW"/>
    <n v="1911"/>
    <n v="1"/>
    <s v="Visa"/>
    <n v="18945000"/>
    <n v="17541667"/>
    <n v="0"/>
    <n v="0"/>
    <n v="0"/>
    <s v="Nguyen Kim Huong"/>
    <s v="ROM-BLUE B DIA IG SBL CO (52) R-H-BLUEB-6 Rings - With Setting Silver - Icy Grey Diamonds : 30p, 0.2"/>
    <s v="PHAM HONG NHUNG"/>
    <s v="RG-077399"/>
    <n v="12"/>
    <s v="IcyGrey,"/>
    <n v="18945000"/>
    <s v="52"/>
    <n v="17541667"/>
    <x v="69"/>
    <s v="0903146778"/>
    <n v="9890455"/>
    <x v="0"/>
    <x v="0"/>
  </r>
  <r>
    <x v="6"/>
    <x v="10"/>
    <n v="27"/>
    <s v="SS23"/>
    <s v="RING"/>
    <s v="SS23"/>
    <n v="8416330"/>
    <n v="7120800"/>
    <d v="2025-07-05T00:00:00"/>
    <n v="186444"/>
    <s v="RWR1911"/>
    <x v="1"/>
    <x v="0"/>
    <s v="WACC"/>
    <n v="1911"/>
    <n v="1"/>
    <s v="Visa"/>
    <n v="23143000"/>
    <n v="21428704"/>
    <n v="0"/>
    <n v="0"/>
    <n v="0"/>
    <s v="Nguyen Kim Huong"/>
    <s v="RM-BEENU TH S ST DIA IG LQTZ (51) R-C-BEENUTH-34 Rings - With Setting Sterling Silver - Icy Grey Diamonds: 22p, 0.24ct - Lemon Quartz: 1p, 1.66ct"/>
    <s v="PHAM HONG NHUNG"/>
    <s v="RG-046287"/>
    <n v="12"/>
    <s v="Lemon Qu"/>
    <n v="23143000"/>
    <s v="51/G1"/>
    <n v="21428704"/>
    <x v="69"/>
    <s v="0903146778"/>
    <n v="13012374"/>
    <x v="0"/>
    <x v="0"/>
  </r>
  <r>
    <x v="6"/>
    <x v="10"/>
    <n v="27"/>
    <s v="FW16"/>
    <s v="JEWELRY"/>
    <s v="FW16"/>
    <n v="10109700"/>
    <n v="10109700"/>
    <d v="2025-07-05T00:00:00"/>
    <n v="90580"/>
    <s v="RWR1911"/>
    <x v="1"/>
    <x v="0"/>
    <s v="WACC"/>
    <n v="1911"/>
    <n v="1"/>
    <s v="Visa"/>
    <n v="33699000"/>
    <n v="31202778"/>
    <n v="0"/>
    <n v="0"/>
    <n v="0"/>
    <s v="Nguyen Kim Huong"/>
    <s v="RM SILVER RING-TOP SILVER TREATED CONVEX SET PAVING WITH ICY GREY DIAMONDS-MIDDLE SET PAVING WITH RUBIS &amp;(1)COGNAC DIAMOND CENTER"/>
    <s v="PHAM HONG NHUNG"/>
    <s v="YIKI S-ST DIA"/>
    <n v="12"/>
    <s v="ICY GRIS"/>
    <n v="33699000"/>
    <s v="12"/>
    <n v="31202778"/>
    <x v="69"/>
    <s v="0903146778"/>
    <n v="21093078"/>
    <x v="0"/>
    <x v="0"/>
  </r>
  <r>
    <x v="6"/>
    <x v="10"/>
    <n v="27"/>
    <s v="FW16"/>
    <s v="JEWELRY"/>
    <s v="FW16"/>
    <n v="5710500"/>
    <n v="5710500"/>
    <d v="2025-07-05T00:00:00"/>
    <n v="90554"/>
    <s v="RWR1911"/>
    <x v="1"/>
    <x v="0"/>
    <s v="WACC"/>
    <n v="1911"/>
    <n v="1"/>
    <s v="Visa"/>
    <n v="19035000"/>
    <n v="17625000"/>
    <n v="0"/>
    <n v="0"/>
    <n v="0"/>
    <s v="Nguyen Kim Huong"/>
    <s v="RM TWISTED SILVER SNAKE RING-HEAD SILVER TREATED SET PAVING WITH ROSECUT DIAMONDS &amp; (1)BLUE SAPPHIRE CENTER"/>
    <s v="PHAM HONG NHUNG"/>
    <s v="YENKO(1)(TW)S-ST DIA 8X8"/>
    <n v="12"/>
    <s v="BLUE SAP"/>
    <n v="19035000"/>
    <s v="13"/>
    <n v="17625000"/>
    <x v="69"/>
    <s v="0903146778"/>
    <n v="11914500"/>
    <x v="0"/>
    <x v="0"/>
  </r>
  <r>
    <x v="6"/>
    <x v="10"/>
    <n v="27"/>
    <s v="SS23"/>
    <s v="RING"/>
    <s v="SS23"/>
    <n v="11521399"/>
    <n v="9752400"/>
    <d v="2025-07-06T00:00:00"/>
    <n v="186445"/>
    <s v="RWR1919"/>
    <x v="1"/>
    <x v="0"/>
    <s v="WACC"/>
    <n v="1919"/>
    <n v="1"/>
    <s v="Bank Transfer"/>
    <n v="31696000"/>
    <n v="29348148"/>
    <n v="0"/>
    <n v="0"/>
    <n v="0"/>
    <s v="Nguyen Thi Khanh Ha"/>
    <s v="RM-BEGUM R TB S ST DIA IG BLK SPL (52) R-C-BEGUMRTB-78 Rings - With Setting Sterling Silver - Icy Grey Diamonds: 29p, 0.32ct - Black Spinla: 1p, 5.11ct"/>
    <s v="Nguyen Thi Kim Ngoc"/>
    <s v="RG-075511"/>
    <n v="17"/>
    <s v="Black Sp"/>
    <n v="31696000"/>
    <s v="52/G4"/>
    <n v="29348148"/>
    <x v="15"/>
    <s v="0902899414"/>
    <n v="17826749"/>
    <x v="0"/>
    <x v="1"/>
  </r>
  <r>
    <x v="6"/>
    <x v="10"/>
    <n v="27"/>
    <s v="SS24"/>
    <s v="RING"/>
    <s v="SS24"/>
    <n v="5900511"/>
    <n v="4408950"/>
    <d v="2025-07-06T00:00:00"/>
    <n v="202760"/>
    <s v="RWR1919"/>
    <x v="1"/>
    <x v="0"/>
    <s v="WJEW"/>
    <n v="1919"/>
    <n v="1"/>
    <s v="Bank Transfer"/>
    <n v="14611000"/>
    <n v="13528704"/>
    <n v="0"/>
    <n v="0"/>
    <n v="0"/>
    <s v="Nguyen Thi Khanh Ha"/>
    <s v="ROM-ELVIA S GY (53) R-C-ELVIA-10 Rings - No Setting Silver - Yellow Gold (18K)"/>
    <s v="Nguyen Thi Kim Ngoc"/>
    <s v="RG-045077"/>
    <n v="17"/>
    <s v="Yellow G"/>
    <n v="14611000"/>
    <s v="53"/>
    <n v="13528704"/>
    <x v="15"/>
    <s v="0902899414"/>
    <n v="7628193"/>
    <x v="0"/>
    <x v="1"/>
  </r>
  <r>
    <x v="6"/>
    <x v="10"/>
    <n v="28"/>
    <s v="FW25"/>
    <s v="BRACELET"/>
    <s v="FW25"/>
    <n v="51640566"/>
    <n v="47430000"/>
    <d v="2025-07-10T00:00:00"/>
    <n v="219165"/>
    <s v="RWR1935"/>
    <x v="10"/>
    <x v="0"/>
    <s v="WRTW"/>
    <n v="1935"/>
    <n v="2"/>
    <s v="Bank Transfer"/>
    <n v="147312000"/>
    <n v="136400000"/>
    <n v="0"/>
    <n v="0"/>
    <n v="0"/>
    <s v="Nguyen Thi Khanh Ha"/>
    <s v="BRT-BRACELET LINEA DIAMONDS W Serial n AAB18379 Gold Net Weight 4,1 gr"/>
    <s v="Nguyen Xuan"/>
    <s v="CP735"/>
    <n v="19"/>
    <s v="WHITE GO"/>
    <n v="147312000"/>
    <s v="U"/>
    <n v="136400000"/>
    <x v="15"/>
    <s v="0905237568"/>
    <n v="84759434"/>
    <x v="0"/>
    <x v="1"/>
  </r>
  <r>
    <x v="6"/>
    <x v="10"/>
    <n v="28"/>
    <s v="FW25"/>
    <s v="RING"/>
    <s v="FW25"/>
    <n v="45565204"/>
    <n v="41850000"/>
    <d v="2025-07-10T00:00:00"/>
    <n v="219161"/>
    <s v="RWR1935"/>
    <x v="10"/>
    <x v="0"/>
    <s v="WRTW"/>
    <n v="1935"/>
    <n v="1"/>
    <s v="Bank Transfer"/>
    <n v="122760000"/>
    <n v="113666667"/>
    <n v="0"/>
    <n v="0"/>
    <n v="0"/>
    <s v="Nguyen Thi Khanh Ha"/>
    <s v="BRT-RING LINEA BOLD FULL DIAMOND WHITE Serial n. AAB34764 Gold Net Weight 3,8 g"/>
    <s v="Nguyen Xuan"/>
    <s v="CT490"/>
    <n v="19"/>
    <s v="WHITE GO"/>
    <n v="122760000"/>
    <s v="51"/>
    <n v="113666667"/>
    <x v="15"/>
    <s v="0905237568"/>
    <n v="68101463"/>
    <x v="0"/>
    <x v="1"/>
  </r>
  <r>
    <x v="6"/>
    <x v="10"/>
    <n v="28"/>
    <s v="FW25"/>
    <s v="RING"/>
    <s v="FW25"/>
    <n v="5239999"/>
    <n v="4812750"/>
    <d v="2025-07-10T00:00:00"/>
    <n v="219152"/>
    <s v="RWR1935"/>
    <x v="10"/>
    <x v="0"/>
    <s v="WRTW"/>
    <n v="1935"/>
    <n v="1"/>
    <s v="Bank Transfer"/>
    <n v="14322000"/>
    <n v="13261111"/>
    <n v="0"/>
    <n v="0"/>
    <n v="0"/>
    <s v="Nguyen Thi Khanh Ha"/>
    <s v="BRT-RING TRILOGY SOLITAIRE WHITE Serial n. AAB53987 Gold Net Weight 0,8 g"/>
    <s v="Nguyen Xuan"/>
    <s v="CV173"/>
    <n v="19"/>
    <s v="WHITE GO"/>
    <n v="14322000"/>
    <s v="52"/>
    <n v="13261111"/>
    <x v="15"/>
    <s v="0905237568"/>
    <n v="8021112"/>
    <x v="0"/>
    <x v="1"/>
  </r>
  <r>
    <x v="6"/>
    <x v="10"/>
    <n v="28"/>
    <s v="FW25"/>
    <s v="RING"/>
    <s v="FW25"/>
    <n v="7518259"/>
    <n v="6905250"/>
    <d v="2025-07-10T00:00:00"/>
    <n v="219149"/>
    <s v="RWR1935"/>
    <x v="10"/>
    <x v="0"/>
    <s v="WRTW"/>
    <n v="1935"/>
    <n v="1"/>
    <s v="Bank Transfer"/>
    <n v="20801000"/>
    <n v="19260185"/>
    <n v="0"/>
    <n v="0"/>
    <n v="0"/>
    <s v="Nguyen Thi Khanh Ha"/>
    <s v="BRT-RING WHITE LONG SOLITAIRE WHITE Serial n. AAB50524  Gold Net Weight 0,92 g"/>
    <s v="Nguyen Xuan"/>
    <s v="CT483"/>
    <n v="19"/>
    <s v="WHITE GO"/>
    <n v="20801000"/>
    <s v="52"/>
    <n v="19260185"/>
    <x v="15"/>
    <s v="0905237568"/>
    <n v="11741926"/>
    <x v="0"/>
    <x v="1"/>
  </r>
  <r>
    <x v="6"/>
    <x v="10"/>
    <n v="28"/>
    <s v="FW25"/>
    <s v="BRACELET"/>
    <s v="FW25"/>
    <n v="-25820283"/>
    <n v="-23715000"/>
    <d v="2025-07-11T00:00:00"/>
    <n v="219165"/>
    <s v="RWR1938"/>
    <x v="10"/>
    <x v="0"/>
    <s v="WRTW"/>
    <n v="1938"/>
    <n v="-1"/>
    <s v="Bank Transfer"/>
    <n v="-73656000"/>
    <n v="-68200000"/>
    <n v="0"/>
    <n v="0"/>
    <n v="0"/>
    <s v="Nguyen Ngoc Hieu Nghia"/>
    <s v="BRT-BRACELET LINEA DIAMONDS W Serial n AAB18379 Gold Net Weight 4,1 gr"/>
    <s v="Nguyen Xuan"/>
    <s v="CP735"/>
    <n v="11"/>
    <s v="WHITE GO"/>
    <n v="-73656000"/>
    <s v="U"/>
    <n v="-68200000"/>
    <x v="15"/>
    <s v="0905237568"/>
    <n v="-42379717"/>
    <x v="0"/>
    <x v="1"/>
  </r>
  <r>
    <x v="6"/>
    <x v="10"/>
    <n v="28"/>
    <s v="SS23"/>
    <s v="EARRINGS"/>
    <s v="SS23"/>
    <n v="31962651"/>
    <n v="31455765"/>
    <d v="2025-07-11T00:00:00"/>
    <n v="181391"/>
    <s v="RHN2930"/>
    <x v="8"/>
    <x v="1"/>
    <s v="WACC"/>
    <n v="2930"/>
    <n v="1"/>
    <s v="Bank Transfer"/>
    <n v="139194000"/>
    <n v="128883333"/>
    <n v="0"/>
    <n v="0"/>
    <n v="0"/>
    <s v="Nguyen Bich Ngoc"/>
    <s v="NAN - EARRINGS GOLD 9.95"/>
    <s v="Ms. Khuc Thi Dau"/>
    <s v="OA8-569"/>
    <n v="14"/>
    <s v="GOLD 9.9"/>
    <n v="139194000"/>
    <s v="U"/>
    <n v="128883333"/>
    <x v="14"/>
    <s v="0904577658"/>
    <n v="96920682"/>
    <x v="0"/>
    <x v="1"/>
  </r>
  <r>
    <x v="6"/>
    <x v="10"/>
    <n v="29"/>
    <s v="SS24"/>
    <s v="NECKLACE"/>
    <s v="SS24"/>
    <n v="7962039"/>
    <n v="7410000"/>
    <d v="2025-07-17T00:00:00"/>
    <n v="208286"/>
    <s v="RWD2785"/>
    <x v="7"/>
    <x v="6"/>
    <s v="WACC"/>
    <n v="2785"/>
    <n v="1"/>
    <s v="Bank Transfer"/>
    <n v="23712000"/>
    <n v="21955556"/>
    <n v="0"/>
    <n v="0"/>
    <n v="0"/>
    <s v="Le Phuong Tu"/>
    <s v="LUI - GOLD PLATED RIGID NECKLACE WITH NATURAL STONE, EMERALD CUT ROCK CRYSTA"/>
    <s v="Nguyen Huynh Son"/>
    <s v="CA0240/V1/POG"/>
    <n v="15"/>
    <s v="GOLD, WH"/>
    <n v="23712000"/>
    <s v="U"/>
    <n v="21955556"/>
    <x v="70"/>
    <s v="0976665300"/>
    <n v="13993517"/>
    <x v="0"/>
    <x v="0"/>
  </r>
  <r>
    <x v="6"/>
    <x v="10"/>
    <n v="29"/>
    <s v="SS24"/>
    <s v="RING"/>
    <s v="SS24"/>
    <n v="3798861"/>
    <n v="3534000"/>
    <d v="2025-07-17T00:00:00"/>
    <n v="208245"/>
    <s v="RWD2785"/>
    <x v="7"/>
    <x v="6"/>
    <s v="WACC"/>
    <n v="2785"/>
    <n v="1"/>
    <s v="Bank Transfer"/>
    <n v="11309000"/>
    <n v="10471296"/>
    <n v="0"/>
    <n v="0"/>
    <n v="0"/>
    <s v="Le Phuong Tu"/>
    <s v="LUI - GOLD PLATED RING WITH  10  MM PEARL SIZE"/>
    <s v="Nguyen Huynh Son"/>
    <s v="AA0120/PERLA /POG"/>
    <n v="15"/>
    <s v="GOLD, WH"/>
    <n v="11309000"/>
    <s v="13"/>
    <n v="10471296"/>
    <x v="70"/>
    <s v="0976665300"/>
    <n v="6672435"/>
    <x v="0"/>
    <x v="0"/>
  </r>
  <r>
    <x v="6"/>
    <x v="10"/>
    <n v="29"/>
    <s v="SS23"/>
    <s v="RING"/>
    <s v="SS23"/>
    <n v="4046811"/>
    <n v="3645000"/>
    <d v="2025-07-18T00:00:00"/>
    <n v="182162"/>
    <s v="RWT4599"/>
    <x v="7"/>
    <x v="4"/>
    <s v="WACC"/>
    <n v="4599"/>
    <n v="1"/>
    <s v="Visa"/>
    <n v="11664000"/>
    <n v="10800000"/>
    <n v="0"/>
    <n v="0"/>
    <n v="0"/>
    <s v="Nguyen Quoc Huy"/>
    <s v="MAL - SILVER ENGRAVED RING &quot;SOLITAIRE&quot; WITH FACETED STONE 8MM - LONDON  TG 11"/>
    <s v="Nguyen Thi Thuy Mai"/>
    <s v="AA0050/LO/11"/>
    <n v="11"/>
    <s v="LONDON"/>
    <n v="11664000"/>
    <s v="11"/>
    <n v="10800000"/>
    <x v="45"/>
    <s v="0912099051"/>
    <n v="6753189"/>
    <x v="0"/>
    <x v="1"/>
  </r>
  <r>
    <x v="6"/>
    <x v="10"/>
    <n v="29"/>
    <s v="SS24"/>
    <s v="NECKLACE"/>
    <s v="SS24"/>
    <n v="3651924"/>
    <n v="3397200"/>
    <d v="2025-07-18T00:00:00"/>
    <n v="208299"/>
    <s v="RWT4599"/>
    <x v="7"/>
    <x v="4"/>
    <s v="WACC"/>
    <n v="4599"/>
    <n v="1"/>
    <s v="Visa"/>
    <n v="10872000"/>
    <n v="10066667"/>
    <n v="0"/>
    <n v="0"/>
    <n v="0"/>
    <s v="Nguyen Quoc Huy"/>
    <s v="LUI - SILVER NECKLACE CARVED WITH TEARDROP STONES (9X6PCS1), DROPS (7X5PCS2), AND PEARLS (5.5MMPCS21) ALL ONYX, SPHERES AND PENDANT DROPS"/>
    <s v="Nguyen Thi Thuy Mai"/>
    <s v="CA0258/V1"/>
    <n v="11"/>
    <s v="BLACK, S"/>
    <n v="10872000"/>
    <s v="U"/>
    <n v="10066667"/>
    <x v="45"/>
    <s v="0912099051"/>
    <n v="6414743"/>
    <x v="0"/>
    <x v="1"/>
  </r>
  <r>
    <x v="6"/>
    <x v="10"/>
    <n v="29"/>
    <s v="SS24"/>
    <s v="EARRINGS"/>
    <s v="SS24"/>
    <n v="3309074"/>
    <n v="3078000"/>
    <d v="2025-07-18T00:00:00"/>
    <n v="208329"/>
    <s v="RWT4599"/>
    <x v="7"/>
    <x v="4"/>
    <s v="WACC"/>
    <n v="4599"/>
    <n v="1"/>
    <s v="Visa"/>
    <n v="9850000"/>
    <n v="9120370"/>
    <n v="0"/>
    <n v="0"/>
    <n v="0"/>
    <s v="Nguyen Quoc Huy"/>
    <s v="LUI - SILVER EARRINGS,SMALL SIZE WITH 4 EMERALD CUT STONES ORECCHINO (6X4) ONIX  SPINELLO NERO"/>
    <s v="Nguyen Thi Thuy Mai"/>
    <s v="OA0271/S/V1"/>
    <n v="11"/>
    <s v="BLACK"/>
    <n v="9850000"/>
    <s v="U"/>
    <n v="9120370"/>
    <x v="45"/>
    <s v="0912099051"/>
    <n v="5811296"/>
    <x v="0"/>
    <x v="1"/>
  </r>
  <r>
    <x v="6"/>
    <x v="10"/>
    <n v="29"/>
    <s v="SS24"/>
    <s v="RING"/>
    <s v="SS24"/>
    <n v="2207055"/>
    <n v="2052000"/>
    <d v="2025-07-18T00:00:00"/>
    <n v="208261"/>
    <s v="RWT4599"/>
    <x v="7"/>
    <x v="4"/>
    <s v="WACC"/>
    <n v="4599"/>
    <n v="1"/>
    <s v="Visa"/>
    <n v="6567000"/>
    <n v="6080556"/>
    <n v="0"/>
    <n v="0"/>
    <n v="0"/>
    <s v="Nguyen Quoc Huy"/>
    <s v="LUI - ENGRAVED SILVE RING WITH ROUND FACETED CUT STONE 6 MM RED RHODOLITE"/>
    <s v="Nguyen Thi Thuy Mai"/>
    <s v="AA0144/V2"/>
    <n v="11"/>
    <s v="RED"/>
    <n v="6567000"/>
    <s v="13"/>
    <n v="6080556"/>
    <x v="45"/>
    <s v="0912099051"/>
    <n v="3873501"/>
    <x v="0"/>
    <x v="1"/>
  </r>
  <r>
    <x v="6"/>
    <x v="10"/>
    <n v="29"/>
    <s v="SS23"/>
    <s v="NECKLACE"/>
    <s v="SS23"/>
    <n v="5860382"/>
    <n v="5278500"/>
    <d v="2025-07-18T00:00:00"/>
    <n v="182224"/>
    <s v="RWT4599"/>
    <x v="7"/>
    <x v="4"/>
    <s v="WACC"/>
    <n v="4599"/>
    <n v="1"/>
    <s v="Visa"/>
    <n v="16892000"/>
    <n v="15640741"/>
    <n v="0"/>
    <n v="0"/>
    <n v="0"/>
    <s v="Nguyen Quoc Huy"/>
    <s v="MAL - SHRI CAPSULE NECKLACE IN SILVER WITH 15 NATURAL STONES (6 NATURAL STONES 10X5 - 9 STONES 8X4) AND CLOSURE AT 110CM   MULTICOLOR  _x000a_ATTENZIONE: FARE VENSIONE CON PIETRE NON TROPPO CHIARE"/>
    <s v="Nguyen Thi Thuy Mai"/>
    <s v="CA0191/V1"/>
    <n v="11"/>
    <s v="15 NATUR"/>
    <n v="16892000"/>
    <s v="U"/>
    <n v="15640741"/>
    <x v="45"/>
    <s v="0912099051"/>
    <n v="9780359"/>
    <x v="0"/>
    <x v="1"/>
  </r>
  <r>
    <x v="6"/>
    <x v="10"/>
    <n v="29"/>
    <s v="SS23"/>
    <s v="RING"/>
    <s v="SS23"/>
    <n v="2398111"/>
    <n v="2160000"/>
    <d v="2025-07-18T00:00:00"/>
    <n v="182188"/>
    <s v="RWT4599"/>
    <x v="7"/>
    <x v="4"/>
    <s v="WACC"/>
    <n v="4599"/>
    <n v="1"/>
    <s v="Visa"/>
    <n v="6912000"/>
    <n v="6400000"/>
    <n v="0"/>
    <n v="0"/>
    <n v="0"/>
    <s v="Nguyen Quoc Huy"/>
    <s v="MAL - ENGRAVED SILVER RING, SHRI CAPSULE, WITH ONE NATURAL STONE NAVETTE CUT ( 10 X 5 )  RED GARNET (GRANATO ROSSO)  TG 11"/>
    <s v="Nguyen Thi Thuy Mai"/>
    <s v="AA0115/V2/11"/>
    <n v="11"/>
    <s v="RED GARN"/>
    <n v="6912000"/>
    <s v="11"/>
    <n v="6400000"/>
    <x v="45"/>
    <s v="0912099051"/>
    <n v="4001889"/>
    <x v="0"/>
    <x v="1"/>
  </r>
  <r>
    <x v="6"/>
    <x v="10"/>
    <n v="29"/>
    <s v="SS23"/>
    <s v="RING"/>
    <s v="SS23"/>
    <n v="3597165"/>
    <n v="3240000"/>
    <d v="2025-07-18T00:00:00"/>
    <n v="182175"/>
    <s v="RWT4600"/>
    <x v="7"/>
    <x v="4"/>
    <s v="WACC"/>
    <n v="4600"/>
    <n v="1"/>
    <s v="Visa"/>
    <n v="10368000"/>
    <n v="9600000"/>
    <n v="0"/>
    <n v="0"/>
    <n v="0"/>
    <s v="Nguyen Quoc Huy"/>
    <s v="MAL - ENGREAVED SILVER RING WITH TWO SILVER HEARTS, ONE ENGREAVED AND ONE POLISHED   TG 11"/>
    <s v="Nguyen Thi Thuy Mai"/>
    <s v="AA0081/11"/>
    <n v="11"/>
    <s v="TWO SILV"/>
    <n v="10368000"/>
    <s v="11"/>
    <n v="9600000"/>
    <x v="45"/>
    <s v="0912099051"/>
    <n v="6002835"/>
    <x v="0"/>
    <x v="1"/>
  </r>
  <r>
    <x v="6"/>
    <x v="10"/>
    <n v="29"/>
    <s v="FW25"/>
    <s v="NECKLACE"/>
    <s v="FW25"/>
    <n v="20504342"/>
    <n v="18832500"/>
    <d v="2025-07-18T00:00:00"/>
    <n v="219141"/>
    <s v="RWR1956"/>
    <x v="10"/>
    <x v="0"/>
    <s v="WRTW"/>
    <n v="1956"/>
    <n v="1"/>
    <s v="Bank Transfer"/>
    <n v="56367300"/>
    <n v="52191944"/>
    <n v="5"/>
    <n v="2746944"/>
    <n v="2966700"/>
    <s v="Nguyen Thi Khanh Ha"/>
    <s v="BRT-BRACELET CHAIN AMULETO Y Serial n. AAB52860 Gold Net Weight 3,4 g"/>
    <s v="LE THI HAI ANH"/>
    <s v="CX273"/>
    <n v="14"/>
    <s v="YELLOW G"/>
    <n v="59334000"/>
    <s v="U"/>
    <n v="54938889"/>
    <x v="37"/>
    <s v="0916693668"/>
    <n v="31687602"/>
    <x v="0"/>
    <x v="1"/>
  </r>
  <r>
    <x v="6"/>
    <x v="10"/>
    <n v="29"/>
    <s v="SS24"/>
    <s v="NECKLACE"/>
    <s v="SS24"/>
    <n v="1945223"/>
    <n v="1453500"/>
    <d v="2025-07-18T00:00:00"/>
    <n v="202783"/>
    <s v="RWD2811"/>
    <x v="1"/>
    <x v="6"/>
    <s v="WJEW"/>
    <n v="2811"/>
    <n v="1"/>
    <s v="Visa"/>
    <n v="4817000"/>
    <n v="4460185"/>
    <n v="0"/>
    <n v="0"/>
    <n v="0"/>
    <s v="Luong Le Ngoc Tram"/>
    <s v="ROM-PEW SUNNY 2 S ST PE-C-SUNNY2-2 Necklaces - Wax - No Setting Silver"/>
    <s v="LE THANH TAM"/>
    <s v="PEW-000324"/>
    <n v="20"/>
    <s v="Silver"/>
    <n v="4817000"/>
    <s v="U"/>
    <n v="4460185"/>
    <x v="36"/>
    <s v="0938685855"/>
    <n v="2514962"/>
    <x v="0"/>
    <x v="2"/>
  </r>
  <r>
    <x v="6"/>
    <x v="10"/>
    <n v="29"/>
    <s v="SS24"/>
    <s v="NECKLACE"/>
    <s v="SS24"/>
    <n v="4411092"/>
    <n v="4104000"/>
    <d v="2025-07-19T00:00:00"/>
    <n v="208293"/>
    <s v="RWT4630"/>
    <x v="7"/>
    <x v="4"/>
    <s v="WACC"/>
    <n v="4630"/>
    <n v="1"/>
    <s v="Visa"/>
    <n v="13133000"/>
    <n v="12160185"/>
    <n v="0"/>
    <n v="0"/>
    <n v="0"/>
    <s v="Vuong Que Chau"/>
    <s v="LUI - SILVER NECKLACE GOLD-PLATED CARVED OCTAGONAL STONES (6X4PZ2 E 8X6PZ1) AND PEARLS (5,5MMPZ. 21) WHISKY - PRASIOLITE - CITRINO - PERIDOT"/>
    <s v="Duong Thi Minh Chau"/>
    <s v="CA0256/V1/POG"/>
    <n v="16"/>
    <s v="GOLD, YE"/>
    <n v="13133000"/>
    <s v="U"/>
    <n v="12160185"/>
    <x v="49"/>
    <s v="0903618988"/>
    <n v="7749093"/>
    <x v="0"/>
    <x v="1"/>
  </r>
  <r>
    <x v="6"/>
    <x v="10"/>
    <n v="29"/>
    <s v="SS24"/>
    <s v="NECKLACE"/>
    <s v="SS24"/>
    <n v="2593631"/>
    <n v="1938000"/>
    <d v="2025-07-20T00:00:00"/>
    <n v="202780"/>
    <s v="RWD2839"/>
    <x v="1"/>
    <x v="6"/>
    <s v="WJEW"/>
    <n v="2839"/>
    <n v="1"/>
    <s v="Visa"/>
    <n v="6422000"/>
    <n v="5946296"/>
    <n v="0"/>
    <n v="0"/>
    <n v="0"/>
    <s v="Nguyen Vy Dan"/>
    <s v="ROM-PEW OJO MINUS DIA CO RU PE-H-PEOJOMINUS-3 Necklaces - Wax - With Setting Silver - Cognac Diamond"/>
    <s v="Le Thi Thuy Hanh"/>
    <s v="PEW-000336"/>
    <n v="14"/>
    <s v="Ruby, Co"/>
    <n v="6422000"/>
    <s v="U"/>
    <n v="5946296"/>
    <x v="21"/>
    <s v="0903288262"/>
    <n v="3352665"/>
    <x v="0"/>
    <x v="1"/>
  </r>
  <r>
    <x v="6"/>
    <x v="10"/>
    <n v="30"/>
    <s v="FW25"/>
    <s v="NECKLACE"/>
    <s v="FW25"/>
    <n v="20504342"/>
    <n v="18832500"/>
    <d v="2025-07-23T00:00:00"/>
    <n v="219141"/>
    <s v="RHN2978"/>
    <x v="10"/>
    <x v="1"/>
    <s v="WRTW"/>
    <n v="2978"/>
    <n v="1"/>
    <s v="Cash"/>
    <n v="59334000"/>
    <n v="54938889"/>
    <n v="0"/>
    <n v="0"/>
    <n v="0"/>
    <s v="Nguyen Bich Ngoc"/>
    <s v="BRT-BRACELET CHAIN AMULETO Y Serial n. AAB52860 Gold Net Weight 3,4 g"/>
    <s v="Tran Thi Minh Vy"/>
    <s v="CX273"/>
    <n v="14"/>
    <s v="YELLOW G"/>
    <n v="59334000"/>
    <s v="U"/>
    <n v="54938889"/>
    <x v="14"/>
    <s v="0904399159"/>
    <n v="34434547"/>
    <x v="0"/>
    <x v="1"/>
  </r>
  <r>
    <x v="6"/>
    <x v="10"/>
    <n v="30"/>
    <s v="FW25"/>
    <s v="NECKLACE"/>
    <s v="FW25"/>
    <n v="5088115"/>
    <n v="4673250"/>
    <d v="2025-07-23T00:00:00"/>
    <n v="219155"/>
    <s v="RHN2978"/>
    <x v="10"/>
    <x v="1"/>
    <s v="WRTW"/>
    <n v="2978"/>
    <n v="1"/>
    <s v="Cash"/>
    <n v="15175000"/>
    <n v="14050926"/>
    <n v="0"/>
    <n v="0"/>
    <n v="0"/>
    <s v="Nguyen Bich Ngoc"/>
    <s v="BRT-BRACELET WHITE SOLITAIRE YELLOW Serial n. AAB54642 Gold Net Weight 1,0 g"/>
    <s v="Tran Thi Minh Vy"/>
    <s v="CT398"/>
    <n v="14"/>
    <s v="YELLOW G"/>
    <n v="15175000"/>
    <s v="U"/>
    <n v="14050926"/>
    <x v="14"/>
    <s v="0904399159"/>
    <n v="8962811"/>
    <x v="0"/>
    <x v="1"/>
  </r>
  <r>
    <x v="6"/>
    <x v="10"/>
    <n v="30"/>
    <s v="FW25"/>
    <s v="RING"/>
    <s v="FW25"/>
    <n v="7518259"/>
    <n v="6905250"/>
    <d v="2025-07-23T00:00:00"/>
    <n v="219150"/>
    <s v="RHN2978"/>
    <x v="10"/>
    <x v="1"/>
    <s v="WRTW"/>
    <n v="2978"/>
    <n v="1"/>
    <s v="Cash"/>
    <n v="20801000"/>
    <n v="19260185"/>
    <n v="0"/>
    <n v="0"/>
    <n v="0"/>
    <s v="Nguyen Bich Ngoc"/>
    <s v="BRT-RING WHITE LONG SOLITAIRE YELLOW Serial n. AAB34571 Gold Net Weight 0,9 g"/>
    <s v="Tran Thi Minh Vy"/>
    <s v="CT484"/>
    <n v="14"/>
    <s v="YELLOW G"/>
    <n v="20801000"/>
    <s v="51"/>
    <n v="19260185"/>
    <x v="14"/>
    <s v="0904399159"/>
    <n v="11741926"/>
    <x v="0"/>
    <x v="1"/>
  </r>
  <r>
    <x v="6"/>
    <x v="10"/>
    <n v="30"/>
    <s v="SS24"/>
    <s v="NECKLACE"/>
    <s v="SS24"/>
    <n v="16557433"/>
    <n v="17521515"/>
    <d v="2025-07-23T00:00:00"/>
    <n v="206897"/>
    <s v="RHN2980"/>
    <x v="8"/>
    <x v="1"/>
    <s v="WACC"/>
    <n v="2980"/>
    <n v="1"/>
    <s v="Bank Transfer"/>
    <n v="61068000"/>
    <n v="56544444"/>
    <n v="0"/>
    <n v="0"/>
    <n v="0"/>
    <s v="Nguyen Bich Ngoc"/>
    <s v="NAN - &quot;CANDLE&quot; CHARMING PENDANT NECKLANCE GOLD 18K 3.38 AND DIAMONDS 0.08CT"/>
    <s v="Nguyen Thi Minh Hue"/>
    <s v="CS11-583"/>
    <n v="15"/>
    <s v="RRLU"/>
    <n v="61068000"/>
    <s v="440"/>
    <n v="56544444"/>
    <x v="55"/>
    <s v="0906159999"/>
    <n v="39987011"/>
    <x v="0"/>
    <x v="1"/>
  </r>
  <r>
    <x v="6"/>
    <x v="10"/>
    <n v="30"/>
    <s v="SS24"/>
    <s v="EARRINGS"/>
    <s v="SS24"/>
    <n v="23063090"/>
    <n v="24405975"/>
    <d v="2025-07-23T00:00:00"/>
    <n v="206909"/>
    <s v="RHN2980"/>
    <x v="8"/>
    <x v="1"/>
    <s v="WACC"/>
    <n v="2980"/>
    <n v="1"/>
    <s v="Bank Transfer"/>
    <n v="81715000"/>
    <n v="75662037"/>
    <n v="0"/>
    <n v="0"/>
    <n v="0"/>
    <s v="Nguyen Bich Ngoc"/>
    <s v="NAN - &quot;CANLDE&quot; GOLD 18K 4.11 AND DIAMONDS 0.16CT EARRINGS"/>
    <s v="Nguyen Thi Minh Hue"/>
    <s v="OS24-583"/>
    <n v="15"/>
    <s v="RRLU"/>
    <n v="81715000"/>
    <s v="0"/>
    <n v="75662037"/>
    <x v="55"/>
    <s v="0906159999"/>
    <n v="52598947"/>
    <x v="0"/>
    <x v="1"/>
  </r>
  <r>
    <x v="6"/>
    <x v="10"/>
    <n v="30"/>
    <s v="FW25"/>
    <s v="NECKLACE"/>
    <s v="FW25"/>
    <n v="-20504342"/>
    <n v="-18832500"/>
    <d v="2025-07-24T00:00:00"/>
    <n v="219141"/>
    <s v="RWR1984"/>
    <x v="10"/>
    <x v="0"/>
    <s v="WRTW"/>
    <n v="1984"/>
    <n v="-1"/>
    <s v="Payment on Account"/>
    <n v="-56367300"/>
    <n v="-52191944"/>
    <n v="5"/>
    <n v="-2746944"/>
    <n v="-2966700"/>
    <s v="Nguyen Thi Khanh Ha"/>
    <s v="BRT-BRACELET CHAIN AMULETO Y Serial n. AAB52860 Gold Net Weight 3,4 g"/>
    <s v="LE THI HAI ANH"/>
    <s v="CX273"/>
    <n v="17"/>
    <s v="YELLOW G"/>
    <n v="-59334000"/>
    <s v="U"/>
    <n v="-54938889"/>
    <x v="37"/>
    <s v="0916693668"/>
    <n v="-31687602"/>
    <x v="0"/>
    <x v="1"/>
  </r>
  <r>
    <x v="6"/>
    <x v="10"/>
    <n v="30"/>
    <s v="FW25"/>
    <s v="NECKLACE"/>
    <s v="FW25"/>
    <n v="17325973"/>
    <n v="16168950"/>
    <d v="2025-07-24T00:00:00"/>
    <n v="217094"/>
    <s v="RWR1985"/>
    <x v="8"/>
    <x v="0"/>
    <s v="WJEW"/>
    <n v="1985"/>
    <n v="1"/>
    <s v="Payment on Account"/>
    <n v="52686050"/>
    <n v="48783380"/>
    <n v="5"/>
    <n v="2567546"/>
    <n v="2772950"/>
    <s v="Nguyen Thi Khanh Ha"/>
    <s v="NAN-DANCING IN THE RAIN NECKLACE"/>
    <s v="LE THI HAI ANH"/>
    <s v="CN6-583-RRLU"/>
    <n v="17"/>
    <s v="RR"/>
    <n v="55459000"/>
    <s v="u"/>
    <n v="51350926"/>
    <x v="37"/>
    <s v="0916693668"/>
    <n v="31457407"/>
    <x v="0"/>
    <x v="1"/>
  </r>
  <r>
    <x v="6"/>
    <x v="10"/>
    <n v="30"/>
    <s v="FW25"/>
    <s v="EARRINGS"/>
    <s v="FW25"/>
    <n v="9416809"/>
    <n v="4324500"/>
    <d v="2025-07-24T00:00:00"/>
    <n v="219154"/>
    <s v="RHN2987"/>
    <x v="10"/>
    <x v="1"/>
    <s v="WJEW"/>
    <n v="2987"/>
    <n v="1"/>
    <s v="MC"/>
    <n v="28303000"/>
    <n v="26206481"/>
    <n v="0"/>
    <n v="0"/>
    <n v="0"/>
    <s v="Dang Thanh Huyen"/>
    <s v="BRT-EARRING DIAMONDS ARCH YELLOW Serial n AAB59468 Gold Net Weight 1,0 g"/>
    <s v="Do Thanh Hoa"/>
    <s v="CL468 + CL469"/>
    <n v="18"/>
    <s v="YELLOW G"/>
    <n v="28303000"/>
    <s v="U"/>
    <n v="26206481"/>
    <x v="62"/>
    <s v="0904374728"/>
    <n v="16789672"/>
    <x v="0"/>
    <x v="1"/>
  </r>
  <r>
    <x v="6"/>
    <x v="10"/>
    <n v="31"/>
    <s v="FW25"/>
    <s v="RING"/>
    <s v="FW25"/>
    <n v="291506506"/>
    <n v="230850000"/>
    <d v="2025-07-30T00:00:00"/>
    <n v="219138"/>
    <s v="RWR2015"/>
    <x v="2"/>
    <x v="0"/>
    <s v="WJEW"/>
    <n v="2015"/>
    <n v="1"/>
    <s v="Bank Transfer"/>
    <n v="526338000"/>
    <n v="487350000"/>
    <n v="10"/>
    <n v="54150000"/>
    <n v="58482000"/>
    <s v="Nguyen Thi Khanh Ha"/>
    <s v="NAK-TRIPLE RUCHED RIBBON BLACK SPINEL, WHITE DIAMONDS, 20K GOLD RING SIZE 9.5"/>
    <s v="Dinh Thanh Huong"/>
    <s v="90080-BSL-20R"/>
    <n v="11"/>
    <s v="BLACK"/>
    <n v="584820000"/>
    <s v="9.5"/>
    <n v="541500000"/>
    <x v="37"/>
    <s v="0903256655"/>
    <n v="195843494"/>
    <x v="0"/>
    <x v="1"/>
  </r>
  <r>
    <x v="6"/>
    <x v="10"/>
    <n v="31"/>
    <s v="FW25"/>
    <s v="NECKLACE"/>
    <s v="FW25"/>
    <n v="83032875"/>
    <n v="82863000"/>
    <d v="2025-07-30T00:00:00"/>
    <n v="217465"/>
    <s v="RHN3016"/>
    <x v="5"/>
    <x v="1"/>
    <s v="WJEW"/>
    <n v="3016"/>
    <n v="1"/>
    <s v="Bank Transfer"/>
    <n v="204671800"/>
    <n v="189510926"/>
    <n v="5"/>
    <n v="9974259"/>
    <n v="10772200"/>
    <s v="Nguyen Thuy Chinh"/>
    <s v="ATS-WG NECKLACE: DIAMONDS 1,04CT G/VS-CRM GOLD 7.35"/>
    <s v="Dang Hong Le"/>
    <s v="88/01889W "/>
    <n v="13"/>
    <s v="DIAMOND,"/>
    <n v="215444000"/>
    <s v="U"/>
    <n v="199485185"/>
    <x v="56"/>
    <s v="0904285588"/>
    <n v="106478051"/>
    <x v="0"/>
    <x v="1"/>
  </r>
  <r>
    <x v="6"/>
    <x v="10"/>
    <n v="31"/>
    <s v="FW25"/>
    <s v="EARRINGS"/>
    <s v="FW25"/>
    <n v="196383329"/>
    <n v="155520000"/>
    <d v="2025-07-30T00:00:00"/>
    <n v="219140"/>
    <s v="RHN3022"/>
    <x v="2"/>
    <x v="1"/>
    <s v="WJEW"/>
    <n v="3022"/>
    <n v="1"/>
    <s v="Cash"/>
    <n v="393984000"/>
    <n v="364800000"/>
    <n v="0"/>
    <n v="0"/>
    <n v="0"/>
    <s v="Nguyen Bich Ngoc"/>
    <s v="NAK-PETITE RUCHED HOOPS, EMARALS, WHITE DIAMONDS, TOUMALINE, 20K ROSE GOLD, 1/2 INC LENGTH"/>
    <s v="Pham Thanh Huong"/>
    <s v="H10061-EM-20R"/>
    <n v="16"/>
    <s v="EMERALD"/>
    <n v="393984000"/>
    <s v="U"/>
    <n v="364800000"/>
    <x v="61"/>
    <m/>
    <n v="168416671"/>
    <x v="0"/>
    <x v="1"/>
  </r>
  <r>
    <x v="6"/>
    <x v="10"/>
    <n v="31"/>
    <s v="FW25"/>
    <s v="RING"/>
    <s v="FW25"/>
    <n v="211725777"/>
    <n v="167670000"/>
    <d v="2025-07-30T00:00:00"/>
    <n v="219139"/>
    <s v="RHN3022"/>
    <x v="2"/>
    <x v="1"/>
    <s v="WJEW"/>
    <n v="3022"/>
    <n v="1"/>
    <s v="Cash"/>
    <n v="424764000"/>
    <n v="393300000"/>
    <n v="0"/>
    <n v="0"/>
    <n v="0"/>
    <s v="Nguyen Bich Ngoc"/>
    <s v="NAK-DOUBLE RUCHED RIBBON EMERALS, WHITE DIAMOND, 20K ROSE GOLD RING SIZE 6.5"/>
    <s v="Pham Thanh Huong"/>
    <s v="90085-EM-20R"/>
    <n v="16"/>
    <s v="EMERALD"/>
    <n v="424764000"/>
    <s v="6.5"/>
    <n v="393300000"/>
    <x v="61"/>
    <m/>
    <n v="181574223"/>
    <x v="0"/>
    <x v="1"/>
  </r>
  <r>
    <x v="6"/>
    <x v="10"/>
    <n v="31"/>
    <s v="FW25"/>
    <s v="NECKLACE"/>
    <s v="FW25"/>
    <n v="34933324"/>
    <n v="32085000"/>
    <d v="2025-07-31T00:00:00"/>
    <n v="219142"/>
    <s v="RHN3030"/>
    <x v="10"/>
    <x v="1"/>
    <s v="WRTW"/>
    <n v="3030"/>
    <n v="1"/>
    <s v="Cash"/>
    <n v="104346000"/>
    <n v="96616667"/>
    <n v="0"/>
    <n v="0"/>
    <n v="0"/>
    <s v="Nguyen Minh Tam"/>
    <s v="BRT-NECKLACE CHAIN AMULETO Y Serial n. AAB56419 Gold Net Weight 7,0 g"/>
    <s v="Hoang Lan"/>
    <s v="CX279"/>
    <n v="14"/>
    <s v="YELLOW G"/>
    <n v="104346000"/>
    <s v="U"/>
    <n v="96616667"/>
    <x v="61"/>
    <m/>
    <n v="61683343"/>
    <x v="0"/>
    <x v="1"/>
  </r>
  <r>
    <x v="6"/>
    <x v="10"/>
    <n v="31"/>
    <s v="FW25"/>
    <s v="BRACELET"/>
    <s v="FW25"/>
    <n v="30376804"/>
    <n v="27900000"/>
    <d v="2025-07-31T00:00:00"/>
    <n v="219164"/>
    <s v="RHN3030"/>
    <x v="10"/>
    <x v="1"/>
    <s v="WRTW"/>
    <n v="3030"/>
    <n v="1"/>
    <s v="Cash"/>
    <n v="90024000"/>
    <n v="83355556"/>
    <n v="0"/>
    <n v="0"/>
    <n v="0"/>
    <s v="Nguyen Minh Tam"/>
    <s v="BRT-BRACELET CHAIN FINE YELLOW Serial n. AAB29878 Gold Net Weight 5,7 g"/>
    <s v="Hoang Lan"/>
    <s v="CP864"/>
    <n v="14"/>
    <s v="YELLOW G"/>
    <n v="90024000"/>
    <s v="U"/>
    <n v="83355556"/>
    <x v="61"/>
    <m/>
    <n v="52978752"/>
    <x v="0"/>
    <x v="1"/>
  </r>
  <r>
    <x v="6"/>
    <x v="10"/>
    <n v="31"/>
    <s v="SS24"/>
    <s v="EARRINGS"/>
    <s v="SS24"/>
    <n v="92229594"/>
    <n v="84341250"/>
    <d v="2025-07-31T00:00:00"/>
    <n v="203158"/>
    <s v="RWR2020"/>
    <x v="2"/>
    <x v="0"/>
    <s v="WJEW"/>
    <n v="2020"/>
    <n v="1"/>
    <s v="Charge"/>
    <n v="216153000"/>
    <n v="200141667"/>
    <n v="10"/>
    <n v="22237963"/>
    <n v="24017000"/>
    <s v="Nguyen Thi Khanh Ha"/>
    <s v="NAK-HERRINGBONE HOOPS: 1.08CTS BLUE PERUVIAN OPAL, 0.52 CTS ETHIOPIAN OPAL, 0.26 CTS AQUAMARINE AND"/>
    <s v="Phan Lan Phuong"/>
    <s v="H10073-BPO/AQ-20R"/>
    <n v="19"/>
    <s v="AQUAMA"/>
    <n v="240170000"/>
    <s v="U"/>
    <n v="222379630"/>
    <x v="15"/>
    <s v="0977317777"/>
    <n v="107912073"/>
    <x v="0"/>
    <x v="1"/>
  </r>
  <r>
    <x v="6"/>
    <x v="5"/>
    <n v="31"/>
    <s v="FW25"/>
    <s v="NECKLACE"/>
    <s v="FW25"/>
    <n v="13213909"/>
    <n v="12136500"/>
    <d v="2025-08-02T00:00:00"/>
    <n v="219159"/>
    <s v="RHN3044"/>
    <x v="10"/>
    <x v="1"/>
    <s v="WRTW"/>
    <n v="3044"/>
    <n v="1"/>
    <s v="Cash"/>
    <n v="35635000"/>
    <n v="32995370"/>
    <n v="0"/>
    <n v="0"/>
    <n v="0"/>
    <s v="Le Bao Ngoc"/>
    <s v="BRT-NECKLACE BEE MULTISOLITAIRE Y Serial n. AAB47074 Gold Net Weight 2 g"/>
    <s v="Hoang Lan"/>
    <s v="CW982"/>
    <m/>
    <s v="YELLOW G"/>
    <n v="35635000"/>
    <s v="U"/>
    <n v="32995370"/>
    <x v="61"/>
    <m/>
    <n v="19781461"/>
    <x v="0"/>
    <x v="1"/>
  </r>
  <r>
    <x v="6"/>
    <x v="5"/>
    <n v="31"/>
    <s v="FW24"/>
    <s v="EARRINGS"/>
    <s v="FW24"/>
    <n v="112981289"/>
    <n v="114785000"/>
    <d v="2025-08-03T00:00:00"/>
    <n v="205073"/>
    <s v="RHN3050"/>
    <x v="5"/>
    <x v="1"/>
    <s v="WJEW"/>
    <n v="3050"/>
    <n v="1"/>
    <s v="MC"/>
    <n v="229570000"/>
    <n v="212564815"/>
    <n v="0"/>
    <n v="0"/>
    <n v="0"/>
    <s v="Nguyen Minh Tam"/>
    <s v="ATS-WG Pr. of Earrings: diamond 1,28ct G/VS + black diamond 0,79ct + south sea pearl 38,07ct / grm gold 9.23 / size U"/>
    <s v="Nguyen Thi My Dung"/>
    <s v="88/01847W"/>
    <m/>
    <s v="sea pear"/>
    <n v="229570000"/>
    <s v="U"/>
    <n v="212564815"/>
    <x v="68"/>
    <s v="0912281123"/>
    <n v="99583526"/>
    <x v="0"/>
    <x v="1"/>
  </r>
  <r>
    <x v="6"/>
    <x v="5"/>
    <n v="32"/>
    <s v="FW22"/>
    <s v="EARRINGS"/>
    <s v="FW22"/>
    <n v="1032112"/>
    <n v="899750"/>
    <d v="2025-08-05T00:00:00"/>
    <n v="174904"/>
    <s v="RHN3052"/>
    <x v="4"/>
    <x v="1"/>
    <s v="WACC"/>
    <n v="3052"/>
    <n v="1"/>
    <s v="Payment on Account"/>
    <n v="5015000"/>
    <n v="4643519"/>
    <n v="0"/>
    <n v="0"/>
    <n v="0"/>
    <s v="Tran Phan Anh"/>
    <s v="GEO - EARRING M. PEARL"/>
    <s v="Duong Thi Hong Hanh"/>
    <s v="C4"/>
    <m/>
    <s v="BROWN"/>
    <n v="5015000"/>
    <s v="UN"/>
    <n v="4643519"/>
    <x v="68"/>
    <s v="0942388869"/>
    <n v="3611407"/>
    <x v="0"/>
    <x v="1"/>
  </r>
  <r>
    <x v="6"/>
    <x v="5"/>
    <n v="32"/>
    <s v="SS24"/>
    <s v="NECKLACE"/>
    <s v="SS24"/>
    <n v="3047516"/>
    <n v="2277150"/>
    <d v="2025-08-05T00:00:00"/>
    <n v="202779"/>
    <s v="RHN3056"/>
    <x v="1"/>
    <x v="1"/>
    <s v="WJEW"/>
    <n v="3056"/>
    <n v="1"/>
    <s v="MC"/>
    <n v="7546000"/>
    <n v="6987037"/>
    <n v="0"/>
    <n v="0"/>
    <n v="0"/>
    <s v="Nguyen Bich Ngoc"/>
    <s v="ROM-PEW EYE DIA CO SBL PE-H-PEEYE-2 Necklaces - Wax - With Setting Silver - Blue Sapphire: 1p, 0.04ct - Cognac Diamonds: 12p, 0.12ct"/>
    <s v="Do Thanh Hoa"/>
    <s v="PEW-000337"/>
    <m/>
    <s v="Blue Sap"/>
    <n v="7546000"/>
    <s v="U"/>
    <n v="6987037"/>
    <x v="14"/>
    <s v="0904374728"/>
    <n v="3939521"/>
    <x v="0"/>
    <x v="1"/>
  </r>
  <r>
    <x v="6"/>
    <x v="5"/>
    <n v="32"/>
    <s v="FW16"/>
    <s v="JEWELRY"/>
    <s v="FW16"/>
    <n v="10236600"/>
    <n v="10236600"/>
    <d v="2025-08-05T00:00:00"/>
    <n v="90581"/>
    <s v="RHN3056"/>
    <x v="1"/>
    <x v="1"/>
    <s v="WACC"/>
    <n v="3056"/>
    <n v="1"/>
    <s v="MC"/>
    <n v="34122000"/>
    <n v="31594444"/>
    <n v="0"/>
    <n v="0"/>
    <n v="0"/>
    <s v="Nguyen Bich Ngoc"/>
    <s v="RM SILVER RING-TOP SILVER TREATED CONVEX SET PAVING WITH ICY GREY DIAMONDS-MIDDLE SET PAVING WITH BLUE SAPPHIRES &amp;(1)COGNAC DIAMOND CENTER"/>
    <s v="Do Thanh Hoa"/>
    <s v="YIKI S-ST DIA"/>
    <m/>
    <s v="ICY GRIS"/>
    <n v="34122000"/>
    <s v="12"/>
    <n v="31594444"/>
    <x v="14"/>
    <s v="0904374728"/>
    <n v="21357844"/>
    <x v="0"/>
    <x v="1"/>
  </r>
  <r>
    <x v="6"/>
    <x v="5"/>
    <n v="32"/>
    <s v="SS23"/>
    <s v="NECKLACE"/>
    <s v="SS23"/>
    <n v="9512236"/>
    <n v="8049600"/>
    <d v="2025-08-05T00:00:00"/>
    <n v="186478"/>
    <s v="RHN3056"/>
    <x v="1"/>
    <x v="1"/>
    <s v="WACC"/>
    <n v="3056"/>
    <n v="1"/>
    <s v="MC"/>
    <n v="26162000"/>
    <n v="24224074"/>
    <n v="0"/>
    <n v="0"/>
    <n v="0"/>
    <s v="Nguyen Bich Ngoc"/>
    <s v="RM-PE 152 B ST DIA IG SBL  (Necklace Michele) PE-C-152B-2 Necklaces - Chain - With Setting Sterling Silver - Icy Grey Diamonds: 39p, 0.52ct - Blue Sapphire: 1p, 0.1ct"/>
    <s v="Do Thanh Hoa"/>
    <s v="PE-001496"/>
    <m/>
    <s v="Blue Sap"/>
    <n v="26162000"/>
    <s v="U"/>
    <n v="24224074"/>
    <x v="14"/>
    <s v="0904374728"/>
    <n v="14711838"/>
    <x v="0"/>
    <x v="1"/>
  </r>
  <r>
    <x v="6"/>
    <x v="5"/>
    <n v="32"/>
    <s v="SS23"/>
    <s v="RING"/>
    <s v="SS23"/>
    <n v="77381528"/>
    <n v="89600000"/>
    <d v="2025-08-06T00:00:00"/>
    <n v="180397"/>
    <s v="HQ184"/>
    <x v="5"/>
    <x v="5"/>
    <s v="WACC"/>
    <n v="184"/>
    <n v="1"/>
    <s v="Bank Transfer"/>
    <n v="180000000"/>
    <n v="166666667"/>
    <n v="10"/>
    <n v="18518519"/>
    <n v="20000000"/>
    <s v="Nguyen Minh Thuan"/>
    <s v="ATS - PG Ring: dia. 0,572ct G/VS + green tourmaline 4,44ct_x000a_+ pink tourmaline 13,13ct"/>
    <s v="LE THI HAI ANH"/>
    <s v="88/01552R/GT"/>
    <m/>
    <s v="DIA + GR"/>
    <n v="200000000"/>
    <s v="O/S"/>
    <n v="185185185"/>
    <x v="1"/>
    <s v="0916693668"/>
    <n v="89285139"/>
    <x v="0"/>
    <x v="0"/>
  </r>
  <r>
    <x v="6"/>
    <x v="5"/>
    <n v="32"/>
    <s v="SS24"/>
    <s v="BRACELET"/>
    <s v="SS24"/>
    <n v="1227484"/>
    <n v="1140000"/>
    <d v="2025-08-08T00:00:00"/>
    <n v="208265"/>
    <s v="RHN3077"/>
    <x v="7"/>
    <x v="1"/>
    <s v="WACC"/>
    <n v="3077"/>
    <n v="1"/>
    <s v="Visa"/>
    <n v="3648000"/>
    <n v="3377778"/>
    <n v="0"/>
    <n v="0"/>
    <n v="0"/>
    <s v="Dang Thanh Huyen"/>
    <s v="LUI - SILVER BRACELET WITH SHIVALINGHAM  WITH SHINY CHAIN, NOT BURNISHED"/>
    <s v="Do Thanh Hoa"/>
    <s v="BA0011"/>
    <m/>
    <s v="SILVER"/>
    <n v="3648000"/>
    <s v="U"/>
    <n v="3377778"/>
    <x v="61"/>
    <s v="0904374728"/>
    <n v="2150294"/>
    <x v="0"/>
    <x v="1"/>
  </r>
  <r>
    <x v="6"/>
    <x v="5"/>
    <n v="32"/>
    <s v="SS23"/>
    <s v="RING"/>
    <s v="SS23"/>
    <n v="3956882"/>
    <n v="3564000"/>
    <d v="2025-08-08T00:00:00"/>
    <n v="182177"/>
    <s v="RHN3079"/>
    <x v="7"/>
    <x v="1"/>
    <s v="WACC"/>
    <n v="3079"/>
    <n v="1"/>
    <s v="Visa"/>
    <n v="11405000"/>
    <n v="10560185"/>
    <n v="0"/>
    <n v="0"/>
    <n v="0"/>
    <s v="Dang Thanh Huyen"/>
    <s v="MAL - SHRI RING WITH 2 STONES, 1 DROP CUT AND 1 ROUND CUT   DROP: LONDON ROUND STONE: LONDON   TG: 12"/>
    <s v="Do Thanh Hoa"/>
    <s v="AA0087/V4"/>
    <m/>
    <s v="LONDON"/>
    <n v="11405000"/>
    <s v="12"/>
    <n v="10560185"/>
    <x v="61"/>
    <s v="0904374728"/>
    <n v="6603303"/>
    <x v="0"/>
    <x v="1"/>
  </r>
  <r>
    <x v="6"/>
    <x v="5"/>
    <n v="32"/>
    <s v="SS24"/>
    <s v="EARRINGS"/>
    <s v="SS24"/>
    <n v="3651924"/>
    <n v="3397200"/>
    <d v="2025-08-08T00:00:00"/>
    <n v="208323"/>
    <s v="RHN3079"/>
    <x v="7"/>
    <x v="1"/>
    <s v="WACC"/>
    <n v="3079"/>
    <n v="1"/>
    <s v="Visa"/>
    <n v="10872000"/>
    <n v="10066667"/>
    <n v="0"/>
    <n v="0"/>
    <n v="0"/>
    <s v="Dang Thanh Huyen"/>
    <s v="LUI - CARVED SILVER NUN EARRINGS WITH DROP STONE (7 X 10 ) AMETHYST"/>
    <s v="Do Thanh Hoa"/>
    <s v="OA0131"/>
    <m/>
    <s v="PURPLE"/>
    <n v="10872000"/>
    <s v="U"/>
    <n v="10066667"/>
    <x v="61"/>
    <s v="0904374728"/>
    <n v="6414743"/>
    <x v="0"/>
    <x v="1"/>
  </r>
  <r>
    <x v="6"/>
    <x v="5"/>
    <n v="32"/>
    <s v="SS23"/>
    <s v="NECKLACE"/>
    <s v="SS23"/>
    <n v="2023406"/>
    <n v="1822500"/>
    <d v="2025-08-08T00:00:00"/>
    <n v="182220"/>
    <s v="RHN3079"/>
    <x v="7"/>
    <x v="1"/>
    <s v="WACC"/>
    <n v="3079"/>
    <n v="1"/>
    <s v="Visa"/>
    <n v="5832000"/>
    <n v="5400000"/>
    <n v="0"/>
    <n v="0"/>
    <n v="0"/>
    <s v="Dang Thanh Huyen"/>
    <s v="MAL - SILVER NECKLACE 7.6G, SHAKTI LOVE CAPSULE, WITH ENGRAVED HEART (12MM)  NECKLACE LENGHT: 37/41 CM"/>
    <s v="Do Thanh Hoa"/>
    <s v="CA0174"/>
    <m/>
    <s v="SHAKTI L"/>
    <n v="5832000"/>
    <s v="U"/>
    <n v="5400000"/>
    <x v="61"/>
    <s v="0904374728"/>
    <n v="3376594"/>
    <x v="0"/>
    <x v="1"/>
  </r>
  <r>
    <x v="6"/>
    <x v="5"/>
    <n v="33"/>
    <s v="SS24"/>
    <s v="RING"/>
    <s v="SS24"/>
    <n v="9790956"/>
    <n v="7315949.9999999991"/>
    <d v="2025-08-11T00:00:00"/>
    <n v="202810"/>
    <s v="RHN3089"/>
    <x v="1"/>
    <x v="1"/>
    <s v="WJEW"/>
    <n v="3089"/>
    <n v="1"/>
    <s v="Visa"/>
    <n v="24244000"/>
    <n v="22448148"/>
    <n v="0"/>
    <n v="0"/>
    <n v="0"/>
    <s v="Nguyen Bich Ngoc"/>
    <s v="ROM-WOINA R ST DIA BLK BLK (51) R-C-WOINAR-21 Rings - With Setting Sterling Silver - Black Diamonds:"/>
    <s v="Do Thanh Hoa"/>
    <s v="RG-059909"/>
    <m/>
    <s v="Black Di"/>
    <n v="24244000"/>
    <s v="51"/>
    <n v="22448148"/>
    <x v="14"/>
    <s v="0904374728"/>
    <n v="12657192"/>
    <x v="0"/>
    <x v="1"/>
  </r>
  <r>
    <x v="6"/>
    <x v="5"/>
    <n v="33"/>
    <s v="SS23"/>
    <s v="NECKLACE"/>
    <s v="SS23"/>
    <n v="20492872"/>
    <n v="17337600"/>
    <d v="2025-08-11T00:00:00"/>
    <n v="186483"/>
    <s v="RHN3089"/>
    <x v="1"/>
    <x v="1"/>
    <s v="WACC"/>
    <n v="3089"/>
    <n v="1"/>
    <s v="Visa"/>
    <n v="56348000"/>
    <n v="52174074"/>
    <n v="0"/>
    <n v="0"/>
    <n v="0"/>
    <s v="Nguyen Bich Ngoc"/>
    <s v="RM-PE OLYMPE V S ST DIA BLK 1G PE-C-OLYMPEV-18 Necklaces - Chain - With Setting Sterling Silver - Black Diamonds: 23p, 1.65ct"/>
    <s v="Do Thanh Hoa"/>
    <s v="PE-000966"/>
    <m/>
    <s v="Black Di"/>
    <n v="56348000"/>
    <s v="U"/>
    <n v="52174074"/>
    <x v="14"/>
    <s v="0904374728"/>
    <n v="31681202"/>
    <x v="0"/>
    <x v="1"/>
  </r>
  <r>
    <x v="6"/>
    <x v="5"/>
    <n v="33"/>
    <s v="FW13"/>
    <s v="JEWELRY"/>
    <s v="FW13"/>
    <n v="6308100"/>
    <n v="6308100"/>
    <d v="2025-08-11T00:00:00"/>
    <n v="53346"/>
    <s v="RHN3089"/>
    <x v="1"/>
    <x v="1"/>
    <s v="WACC"/>
    <n v="3089"/>
    <n v="1"/>
    <s v="Visa"/>
    <n v="21728000"/>
    <n v="20118519"/>
    <n v="0"/>
    <n v="0"/>
    <n v="0"/>
    <s v="Nguyen Bich Ngoc"/>
    <s v="RM SILVER RING-TOP SILVER TREATED BANGLE FRAMED WITH ICY GREY DIAMONDS"/>
    <s v="Do Thanh Hoa"/>
    <s v="BEENU (V) S-ST DIX (ICY GRIS)"/>
    <m/>
    <s v="SILVER/G"/>
    <n v="21728000"/>
    <s v="12"/>
    <n v="20118519"/>
    <x v="14"/>
    <s v="0904374728"/>
    <n v="13810419"/>
    <x v="0"/>
    <x v="1"/>
  </r>
  <r>
    <x v="6"/>
    <x v="5"/>
    <n v="33"/>
    <s v="SS24"/>
    <s v="RING"/>
    <s v="SS24"/>
    <n v="4863058"/>
    <n v="3633750"/>
    <d v="2025-08-11T00:00:00"/>
    <n v="202809"/>
    <s v="RHN3089"/>
    <x v="1"/>
    <x v="1"/>
    <s v="WJEW"/>
    <n v="3089"/>
    <n v="1"/>
    <s v="Visa"/>
    <n v="12042000"/>
    <n v="11150000"/>
    <n v="0"/>
    <n v="0"/>
    <n v="0"/>
    <s v="Nguyen Bich Ngoc"/>
    <s v="ROM-WITA R S ST DIX BLK (53) R-C-WITAR-22 Rings - With Setting Sterling Silver - Black Diamond: 1p,"/>
    <s v="Do Thanh Hoa"/>
    <s v="RG-049739"/>
    <m/>
    <s v="Black Di"/>
    <n v="12042000"/>
    <s v="53"/>
    <n v="11150000"/>
    <x v="14"/>
    <s v="0904374728"/>
    <n v="6286942"/>
    <x v="0"/>
    <x v="1"/>
  </r>
  <r>
    <x v="6"/>
    <x v="5"/>
    <n v="33"/>
    <s v="FW25"/>
    <s v="NECKLACE"/>
    <s v="FW25"/>
    <n v="3951573"/>
    <n v="3100000"/>
    <d v="2025-08-11T00:00:00"/>
    <n v="217279"/>
    <s v="RWR2058"/>
    <x v="7"/>
    <x v="0"/>
    <s v="WJEW"/>
    <n v="2058"/>
    <n v="1"/>
    <s v="Payment on Account"/>
    <n v="9424000"/>
    <n v="8725926"/>
    <n v="5"/>
    <n v="459259"/>
    <n v="496000"/>
    <s v="Nguyen Thi Khanh Ha"/>
    <s v="LUI-SILVER NECKLACE CARVED WITH NAVETTE STONES (8x4) RHODOLITE LETTER. (LETTERS M, N, T, H)"/>
    <s v="Do Thanh Hoa"/>
    <s v="CA0276/AG_x000a_"/>
    <m/>
    <s v="SILVER"/>
    <n v="9920000"/>
    <s v="os"/>
    <n v="9185185"/>
    <x v="37"/>
    <s v="0904374728"/>
    <n v="4774353"/>
    <x v="0"/>
    <x v="1"/>
  </r>
  <r>
    <x v="6"/>
    <x v="5"/>
    <n v="33"/>
    <s v="FW25"/>
    <s v="NECKLACE"/>
    <s v="FW25"/>
    <n v="3635447"/>
    <n v="2852000"/>
    <d v="2025-08-11T00:00:00"/>
    <n v="217286"/>
    <s v="RWR2058"/>
    <x v="7"/>
    <x v="0"/>
    <s v="WJEW"/>
    <n v="2058"/>
    <n v="1"/>
    <s v="Payment on Account"/>
    <n v="8670650"/>
    <n v="8028380"/>
    <n v="5"/>
    <n v="422546"/>
    <n v="456350"/>
    <s v="Nguyen Thi Khanh Ha"/>
    <s v="LUI-SHRI CAPSULE NECKLACE IN SILVER WITH ONE NATURAL DROP (9x6) AND ONE STONE NAVETTE CUT AS PENDANT (10x5)_x000a_CITRINE"/>
    <s v="Do Thanh Hoa"/>
    <s v="CA0187/V1_x000a_"/>
    <m/>
    <s v="SILVER"/>
    <n v="9127000"/>
    <s v="os"/>
    <n v="8450926"/>
    <x v="37"/>
    <s v="0904374728"/>
    <n v="4392933"/>
    <x v="0"/>
    <x v="1"/>
  </r>
  <r>
    <x v="6"/>
    <x v="5"/>
    <n v="33"/>
    <s v="SS23"/>
    <s v="RING"/>
    <s v="SS23"/>
    <n v="4436504"/>
    <n v="3996000"/>
    <d v="2025-08-11T00:00:00"/>
    <n v="182184"/>
    <s v="RWR2058"/>
    <x v="7"/>
    <x v="0"/>
    <s v="WACC"/>
    <n v="2058"/>
    <n v="1"/>
    <s v="Payment on Account"/>
    <n v="12148600"/>
    <n v="11248704"/>
    <n v="5"/>
    <n v="592037"/>
    <n v="639400"/>
    <s v="Nguyen Thi Khanh Ha"/>
    <s v="MAL - ENGRAVED SILVER RING, SHRI CAPSULE, WITH NATURAL STONE OVAL FACETED CUT (11 x 9 x H 5,5 mm)  CITRINE   TG 11"/>
    <s v="Do Thanh Hoa"/>
    <s v="AA0109/V2/11"/>
    <m/>
    <s v="CITRINE"/>
    <n v="12788000"/>
    <s v="11"/>
    <n v="11840741"/>
    <x v="37"/>
    <s v="0904374728"/>
    <n v="6812200"/>
    <x v="0"/>
    <x v="1"/>
  </r>
  <r>
    <x v="6"/>
    <x v="5"/>
    <n v="33"/>
    <s v="SS24"/>
    <s v="EARRINGS"/>
    <s v="SS24"/>
    <n v="4778431"/>
    <n v="4446000"/>
    <d v="2025-08-11T00:00:00"/>
    <n v="208318"/>
    <s v="RWR2058"/>
    <x v="7"/>
    <x v="0"/>
    <s v="WACC"/>
    <n v="2058"/>
    <n v="1"/>
    <s v="Payment on Account"/>
    <n v="13516600"/>
    <n v="12515370"/>
    <n v="5"/>
    <n v="658704"/>
    <n v="711400"/>
    <s v="Nguyen Thi Khanh Ha"/>
    <s v="LUI - SILVER EARRINGS WITH ROUND FACETED STONE CITRIN"/>
    <s v="Do Thanh Hoa"/>
    <s v="OA0002/V2"/>
    <m/>
    <s v="YELLOW, "/>
    <n v="14228000"/>
    <s v="U"/>
    <n v="13174074"/>
    <x v="37"/>
    <s v="0904374728"/>
    <n v="7736939"/>
    <x v="0"/>
    <x v="1"/>
  </r>
  <r>
    <x v="6"/>
    <x v="5"/>
    <n v="33"/>
    <s v="FW25"/>
    <s v="NECKLACE"/>
    <s v="FW25"/>
    <n v="22023182"/>
    <n v="20227500"/>
    <d v="2025-08-11T00:00:00"/>
    <n v="219167"/>
    <s v="RHN3092"/>
    <x v="10"/>
    <x v="1"/>
    <s v="WRTW"/>
    <n v="3092"/>
    <n v="1"/>
    <s v="Bank Transfer"/>
    <n v="67518000"/>
    <n v="62516667"/>
    <n v="0"/>
    <n v="0"/>
    <n v="0"/>
    <s v="Nguyen Trung Hieu"/>
    <s v="BRT-NECKLACE LARIAT LINEA FINE (WHITE) Serial n. AAB38667 Gold Net Weight 5,38 g"/>
    <s v="Dinh Thuy Quynh"/>
    <s v="CP455"/>
    <m/>
    <s v="WHITE GO"/>
    <n v="67518000"/>
    <s v="U"/>
    <n v="62516667"/>
    <x v="14"/>
    <s v="0917781299"/>
    <n v="40493485"/>
    <x v="0"/>
    <x v="1"/>
  </r>
  <r>
    <x v="6"/>
    <x v="5"/>
    <n v="33"/>
    <s v="SS23"/>
    <s v="NECKLACE"/>
    <s v="SS23"/>
    <n v="164878231"/>
    <n v="162263475"/>
    <d v="2025-08-12T00:00:00"/>
    <n v="181388"/>
    <s v="RHN3095"/>
    <x v="8"/>
    <x v="1"/>
    <s v="WACC"/>
    <n v="3095"/>
    <n v="1"/>
    <s v="Bank Transfer"/>
    <n v="614266200"/>
    <n v="568765000"/>
    <n v="5"/>
    <n v="29935000"/>
    <n v="32329800"/>
    <s v="Nguyen Thuy Chinh"/>
    <s v="NAN - DIAMONDS 42pcs ct0.23; GOLD 18K 45.63gr"/>
    <s v="Ms. Khuc Thi Dau"/>
    <s v="CS32-538"/>
    <m/>
    <s v="DIAMONDS"/>
    <n v="646596000"/>
    <s v="U"/>
    <n v="598700000"/>
    <x v="14"/>
    <s v="0904577658"/>
    <n v="403886769"/>
    <x v="0"/>
    <x v="1"/>
  </r>
  <r>
    <x v="6"/>
    <x v="5"/>
    <n v="33"/>
    <s v="FW24"/>
    <s v="EARRINGS"/>
    <s v="FW24"/>
    <n v="773190"/>
    <n v="764541"/>
    <d v="2025-08-13T00:00:00"/>
    <n v="205055"/>
    <s v="RWT4790"/>
    <x v="4"/>
    <x v="4"/>
    <s v="WJEW"/>
    <n v="4790"/>
    <n v="1"/>
    <s v="Visa"/>
    <n v="4588000"/>
    <n v="4248148"/>
    <n v="0"/>
    <n v="0"/>
    <n v="0"/>
    <s v="Vuong Que Chau"/>
    <s v="GEO-EARRING BLACK AGATE"/>
    <s v="Nguyen Thi Bich Lien"/>
    <s v="58"/>
    <m/>
    <s v="Black"/>
    <n v="4588000"/>
    <s v="u"/>
    <n v="4248148"/>
    <x v="71"/>
    <s v="0919306262"/>
    <n v="3474958"/>
    <x v="0"/>
    <x v="2"/>
  </r>
  <r>
    <x v="6"/>
    <x v="5"/>
    <n v="33"/>
    <s v="SS23"/>
    <s v="EARRINGS"/>
    <s v="SS23"/>
    <n v="18666361"/>
    <n v="15789600"/>
    <d v="2025-08-14T00:00:00"/>
    <n v="186455"/>
    <s v="RWR2065"/>
    <x v="1"/>
    <x v="0"/>
    <s v="WACC"/>
    <n v="2065"/>
    <n v="1"/>
    <s v="Bank Transfer"/>
    <n v="40000000"/>
    <n v="37037037"/>
    <n v="22.05"/>
    <n v="10478704"/>
    <n v="11317000"/>
    <s v="Nguyen Thi Khanh Ha"/>
    <s v="RM-BO BEGUM S ST DIA CO GLD RQTZ SBL BO-C-BEGUM-54 Earrings - Setting Each Piece: Sterling Silver - Cognac Diamonds: 32p, 0.32ct - Golden Rutilated Quartz: 1p, 3.74ct - Blue Sapphires: 4p, 0.06ct"/>
    <s v="Do Thanh Hoa"/>
    <s v="BO-000645"/>
    <m/>
    <s v="Blue Sap"/>
    <n v="51317000"/>
    <s v="U"/>
    <n v="47515741"/>
    <x v="37"/>
    <s v="0904374728"/>
    <n v="18370676"/>
    <x v="0"/>
    <x v="1"/>
  </r>
  <r>
    <x v="6"/>
    <x v="5"/>
    <n v="34"/>
    <s v="FW25"/>
    <s v="EARRINGS"/>
    <s v="FW25"/>
    <n v="9416809"/>
    <n v="4324500"/>
    <d v="2025-08-19T00:00:00"/>
    <n v="219154"/>
    <s v="RHN3114"/>
    <x v="10"/>
    <x v="1"/>
    <s v="WJEW"/>
    <n v="3114"/>
    <n v="1"/>
    <s v="Payment on Account"/>
    <n v="28303000"/>
    <n v="26206481"/>
    <n v="0"/>
    <n v="0"/>
    <n v="0"/>
    <s v="Nguyen Bich Ngoc"/>
    <s v="BRT-EARRING DIAMONDS ARCH YELLOW Serial n AAB59468 Gold Net Weight 1,0 g"/>
    <s v="Duong Thi Hong Hanh"/>
    <s v="CL468 + CL469"/>
    <m/>
    <s v="YELLOW G"/>
    <n v="28303000"/>
    <s v="U"/>
    <n v="26206481"/>
    <x v="68"/>
    <s v="0942388869"/>
    <n v="16789672"/>
    <x v="0"/>
    <x v="1"/>
  </r>
  <r>
    <x v="6"/>
    <x v="5"/>
    <n v="34"/>
    <s v="FW25"/>
    <s v="NECKLACE"/>
    <s v="FW25"/>
    <n v="5088115"/>
    <n v="4673250"/>
    <d v="2025-08-19T00:00:00"/>
    <n v="219155"/>
    <s v="RHN3114"/>
    <x v="10"/>
    <x v="1"/>
    <s v="WRTW"/>
    <n v="3114"/>
    <n v="1"/>
    <s v="Payment on Account"/>
    <n v="15175000"/>
    <n v="14050926"/>
    <n v="0"/>
    <n v="0"/>
    <n v="0"/>
    <s v="Nguyen Bich Ngoc"/>
    <s v="BRT-BRACELET WHITE SOLITAIRE YELLOW Serial n. AAB54642 Gold Net Weight 1,0 g"/>
    <s v="Duong Thi Hong Hanh"/>
    <s v="CT398"/>
    <m/>
    <s v="YELLOW G"/>
    <n v="15175000"/>
    <s v="U"/>
    <n v="14050926"/>
    <x v="68"/>
    <s v="0942388869"/>
    <n v="8962811"/>
    <x v="0"/>
    <x v="1"/>
  </r>
  <r>
    <x v="6"/>
    <x v="5"/>
    <n v="34"/>
    <s v="FW25"/>
    <s v="EARRINGS"/>
    <s v="FW25"/>
    <n v="32351296"/>
    <n v="29713500"/>
    <d v="2025-08-21T00:00:00"/>
    <n v="219162"/>
    <s v="RHN3121"/>
    <x v="10"/>
    <x v="1"/>
    <s v="WJEW"/>
    <n v="3121"/>
    <n v="2"/>
    <s v="Cash"/>
    <n v="87296000"/>
    <n v="80829630"/>
    <n v="0"/>
    <n v="0"/>
    <n v="0"/>
    <s v="Nguyen Bich Ngoc"/>
    <s v="BRT-EARRING LINEA HOOP FULL DIAMOND WHITE Serial n. AAB32567 Gold Net Weight 2,3 g"/>
    <s v="Tran Thi Minh Vy"/>
    <s v="CT523"/>
    <m/>
    <s v="WHITE GO"/>
    <n v="87296000"/>
    <s v="U"/>
    <n v="80829630"/>
    <x v="72"/>
    <s v="0904399159"/>
    <n v="48478334"/>
    <x v="0"/>
    <x v="1"/>
  </r>
  <r>
    <x v="6"/>
    <x v="5"/>
    <n v="34"/>
    <s v="FW25"/>
    <s v="NECKLACE"/>
    <s v="FW25"/>
    <n v="11087533"/>
    <n v="10183500"/>
    <d v="2025-08-21T00:00:00"/>
    <n v="219158"/>
    <s v="RHN3121"/>
    <x v="10"/>
    <x v="1"/>
    <s v="WRTW"/>
    <n v="3121"/>
    <n v="1"/>
    <s v="Cash"/>
    <n v="32736000"/>
    <n v="30311111"/>
    <n v="0"/>
    <n v="0"/>
    <n v="0"/>
    <s v="Nguyen Bich Ngoc"/>
    <s v="BRT-NECKLACE WHITE MULTISOLITAIRE WHITE Serial n. AAB41674 Gold Net Weight 1,97 g"/>
    <s v="Tran Thi Minh Vy"/>
    <s v="CT395"/>
    <m/>
    <s v="WHITE GO"/>
    <n v="32736000"/>
    <s v="U"/>
    <n v="30311111"/>
    <x v="72"/>
    <s v="0904399159"/>
    <n v="19223578"/>
    <x v="0"/>
    <x v="1"/>
  </r>
  <r>
    <x v="6"/>
    <x v="5"/>
    <n v="34"/>
    <s v="FW25"/>
    <s v="BRACELET"/>
    <s v="FW25"/>
    <n v="25820283"/>
    <n v="23715000"/>
    <d v="2025-08-21T00:00:00"/>
    <n v="219165"/>
    <s v="RHN3121"/>
    <x v="10"/>
    <x v="1"/>
    <s v="WRTW"/>
    <n v="3121"/>
    <n v="1"/>
    <s v="Cash"/>
    <n v="73656000"/>
    <n v="68200000"/>
    <n v="0"/>
    <n v="0"/>
    <n v="0"/>
    <s v="Nguyen Bich Ngoc"/>
    <s v="BRT-BRACELET LINEA DIAMONDS W Serial n AAB18379 Gold Net Weight 4,1 gr"/>
    <s v="Tran Thi Minh Vy"/>
    <s v="CP735"/>
    <m/>
    <s v="WHITE GO"/>
    <n v="73656000"/>
    <s v="U"/>
    <n v="68200000"/>
    <x v="72"/>
    <s v="0904399159"/>
    <n v="42379717"/>
    <x v="0"/>
    <x v="1"/>
  </r>
  <r>
    <x v="6"/>
    <x v="5"/>
    <n v="34"/>
    <s v="SS23"/>
    <s v="EARRINGS"/>
    <s v="SS23"/>
    <n v="101684173"/>
    <n v="117600000"/>
    <d v="2025-08-21T00:00:00"/>
    <n v="180392"/>
    <s v="RWR2085"/>
    <x v="5"/>
    <x v="0"/>
    <s v="WACC"/>
    <n v="2085"/>
    <n v="1"/>
    <s v="Cash"/>
    <n v="237500000"/>
    <n v="219907407"/>
    <n v="5"/>
    <n v="11574074"/>
    <n v="12500000"/>
    <s v="Nguyen Thi Khanh Ha"/>
    <s v="ATS - WG Pr. of Earrings: dia 1,09ct G/VS + blue sapphire 6,37ct"/>
    <s v="Tran Thi Hoai Anh"/>
    <s v="30/18126W/SA"/>
    <m/>
    <s v="DIA + BL"/>
    <n v="250000000"/>
    <s v="O/S"/>
    <n v="231481481"/>
    <x v="37"/>
    <s v="0908039899"/>
    <n v="118223234"/>
    <x v="0"/>
    <x v="1"/>
  </r>
  <r>
    <x v="6"/>
    <x v="5"/>
    <n v="34"/>
    <s v="FW25"/>
    <s v="BRACELET"/>
    <s v="FW25"/>
    <n v="30376804"/>
    <n v="27900000"/>
    <d v="2025-08-22T00:00:00"/>
    <n v="219164"/>
    <s v="RHN3128"/>
    <x v="10"/>
    <x v="1"/>
    <s v="WRTW"/>
    <n v="3128"/>
    <n v="1"/>
    <s v="Cash"/>
    <n v="90024000"/>
    <n v="83355556"/>
    <n v="0"/>
    <n v="0"/>
    <n v="0"/>
    <s v="Nguyen Thi Nghia"/>
    <s v="BRT-BRACELET CHAIN FINE YELLOW Serial n. AAB29878 Gold Net Weight 5,7 g"/>
    <s v="Hoang Lan"/>
    <s v="CP864"/>
    <m/>
    <s v="YELLOW G"/>
    <n v="90024000"/>
    <s v="U"/>
    <n v="83355556"/>
    <x v="61"/>
    <m/>
    <n v="52978752"/>
    <x v="0"/>
    <x v="1"/>
  </r>
  <r>
    <x v="6"/>
    <x v="5"/>
    <n v="34"/>
    <s v="SS24"/>
    <s v="NECKLACE"/>
    <s v="SS24"/>
    <n v="3651924"/>
    <n v="3397200"/>
    <d v="2025-08-22T00:00:00"/>
    <n v="208294"/>
    <s v="RWD2973"/>
    <x v="7"/>
    <x v="6"/>
    <s v="WACC"/>
    <n v="2973"/>
    <n v="1"/>
    <s v="Visa"/>
    <n v="10872000"/>
    <n v="10066667"/>
    <n v="0"/>
    <n v="0"/>
    <n v="0"/>
    <s v="Vo Kim Ngoc"/>
    <s v="LUI - SILVER CARVED NECKLACE, STONES NAVETTE (10X5PCS1) NAVETTE (8X4PCS2) AND PEARLS (5.5MMPCS21) ROCK CRYSTAL"/>
    <s v="Nguyen Thi Bich Lien"/>
    <s v="CA0257/V1"/>
    <m/>
    <s v="WHITE"/>
    <n v="10872000"/>
    <s v="U"/>
    <n v="10066667"/>
    <x v="67"/>
    <s v="0919306262"/>
    <n v="6414743"/>
    <x v="0"/>
    <x v="2"/>
  </r>
  <r>
    <x v="6"/>
    <x v="5"/>
    <n v="35"/>
    <s v="SS24"/>
    <s v="NECKLACE"/>
    <s v="SS24"/>
    <n v="2427460"/>
    <n v="2257200"/>
    <d v="2025-08-25T00:00:00"/>
    <n v="208303"/>
    <s v="RWD2997"/>
    <x v="7"/>
    <x v="6"/>
    <s v="WACC"/>
    <n v="2997"/>
    <n v="1"/>
    <s v="Visa"/>
    <n v="7224000"/>
    <n v="6688889"/>
    <n v="0"/>
    <n v="0"/>
    <n v="0"/>
    <s v="Vo Kim Ngoc"/>
    <s v="LUI - SOUL SHORT SILVER NECKLACE WITH ROUND CUT 6MM STONE SMOKY QUARTZ   FUME"/>
    <s v="PHAM HONG NHUNG"/>
    <s v="CA0261"/>
    <m/>
    <s v="GOLD, SM"/>
    <n v="7224000"/>
    <s v="U"/>
    <n v="6688889"/>
    <x v="67"/>
    <s v="0903146778"/>
    <n v="4261429"/>
    <x v="0"/>
    <x v="2"/>
  </r>
  <r>
    <x v="6"/>
    <x v="5"/>
    <n v="35"/>
    <s v="SS24"/>
    <s v="RING"/>
    <s v="SS24"/>
    <n v="61904440"/>
    <n v="60087500"/>
    <d v="2025-08-30T00:00:00"/>
    <n v="205111"/>
    <s v="RWR2114"/>
    <x v="6"/>
    <x v="0"/>
    <s v="WJEW"/>
    <n v="2114"/>
    <n v="1"/>
    <s v="Visa"/>
    <n v="143165000"/>
    <n v="132560185"/>
    <n v="5"/>
    <n v="6976852"/>
    <n v="7535000"/>
    <s v="Nguyen Ngoc Hieu Nghia"/>
    <s v="GVC-PINK GOLD RING W GOLD 12.20GR DIAMOND 1.12CT"/>
    <s v="Le Thu Ngan"/>
    <s v="AR16944"/>
    <m/>
    <s v="GOLD/DIA"/>
    <n v="150700000"/>
    <s v="13"/>
    <n v="139537037"/>
    <x v="41"/>
    <s v="0983352011"/>
    <n v="70655745"/>
    <x v="0"/>
    <x v="1"/>
  </r>
  <r>
    <x v="6"/>
    <x v="5"/>
    <n v="35"/>
    <s v="SS25"/>
    <s v="RING"/>
    <s v="SS25"/>
    <n v="64043454"/>
    <n v="60932250"/>
    <d v="2025-08-30T00:00:00"/>
    <n v="210762"/>
    <s v="RWR2114"/>
    <x v="9"/>
    <x v="0"/>
    <s v="WJEW"/>
    <n v="2114"/>
    <n v="1"/>
    <s v="Visa"/>
    <n v="175000000"/>
    <n v="162037037"/>
    <n v="12.27"/>
    <n v="22671296"/>
    <n v="24485000"/>
    <s v="Nguyen Ngoc Hieu Nghia"/>
    <s v="VHN-TOURBILLON S RING SIZE 52"/>
    <s v="Le Thu Ngan"/>
    <s v="PN1527A 101"/>
    <m/>
    <s v="GOLD &amp; W"/>
    <n v="199485000"/>
    <m/>
    <n v="184708333"/>
    <x v="24"/>
    <s v="0983352011"/>
    <n v="97993583"/>
    <x v="0"/>
    <x v="1"/>
  </r>
  <r>
    <x v="6"/>
    <x v="6"/>
    <n v="36"/>
    <s v="SS24"/>
    <s v="NECKLACE"/>
    <s v="SS24"/>
    <n v="17664456"/>
    <n v="17696250"/>
    <d v="2025-09-05T00:00:00"/>
    <n v="202691"/>
    <s v="RHN3189"/>
    <x v="8"/>
    <x v="1"/>
    <s v="WACC"/>
    <n v="3189"/>
    <n v="1"/>
    <s v="Payment on Account"/>
    <n v="56748250"/>
    <n v="52544676"/>
    <n v="5"/>
    <n v="2765509"/>
    <n v="2986750"/>
    <s v="Nguyen Bich Ngoc"/>
    <s v="NAN - &quot;DANCING ÉLITE&quot; GOLD 4.03  AND DIAMONDS 0.08 CT ELEGANT PENDANT"/>
    <s v="Nguyen Thi Minh Hue"/>
    <s v="CS5-583"/>
    <n v="15"/>
    <s v="GG IN"/>
    <n v="59735000"/>
    <s v="425"/>
    <n v="55310185"/>
    <x v="10"/>
    <s v="0906159999"/>
    <n v="34880220"/>
    <x v="0"/>
    <x v="1"/>
  </r>
  <r>
    <x v="6"/>
    <x v="6"/>
    <n v="36"/>
    <s v="FW25"/>
    <s v="NECKLACE"/>
    <s v="FW25"/>
    <n v="310103635"/>
    <n v="289395000"/>
    <d v="2025-09-05T00:00:00"/>
    <n v="217097"/>
    <s v="RHN3189"/>
    <x v="8"/>
    <x v="1"/>
    <s v="WJEW"/>
    <n v="3189"/>
    <n v="1"/>
    <s v="Payment on Account"/>
    <n v="893118750"/>
    <n v="826961806"/>
    <n v="5"/>
    <n v="43524306"/>
    <n v="47006250"/>
    <s v="Nguyen Bich Ngoc"/>
    <s v="NAN-BOULES in green colour NECKLACE"/>
    <s v="Nguyen Thi Minh Hue"/>
    <s v="CI6-609"/>
    <n v="15"/>
    <s v="GG"/>
    <n v="940125000"/>
    <s v="u"/>
    <n v="870486111"/>
    <x v="10"/>
    <s v="0906159999"/>
    <n v="516858171"/>
    <x v="0"/>
    <x v="1"/>
  </r>
  <r>
    <x v="6"/>
    <x v="6"/>
    <n v="36"/>
    <s v="FW25"/>
    <s v="EARRINGS"/>
    <s v="FW25"/>
    <n v="26856682"/>
    <n v="25063200"/>
    <d v="2025-09-05T00:00:00"/>
    <n v="217088"/>
    <s v="RHN3189"/>
    <x v="8"/>
    <x v="1"/>
    <s v="WJEW"/>
    <n v="3189"/>
    <n v="1"/>
    <s v="Payment on Account"/>
    <n v="85051600"/>
    <n v="78751481"/>
    <n v="5"/>
    <n v="4144815"/>
    <n v="4476400"/>
    <s v="Nguyen Bich Ngoc"/>
    <s v="NAN-DANCING IN THE RAIN EARRINGS"/>
    <s v="Nguyen Thi Minh Hue"/>
    <s v="OA4-538"/>
    <n v="15"/>
    <s v="GG"/>
    <n v="89528000"/>
    <s v="u"/>
    <n v="82896296"/>
    <x v="10"/>
    <s v="0906159999"/>
    <n v="51894799"/>
    <x v="0"/>
    <x v="1"/>
  </r>
  <r>
    <x v="6"/>
    <x v="6"/>
    <n v="36"/>
    <s v="SS23"/>
    <s v="RING"/>
    <s v="SS23"/>
    <n v="40813027"/>
    <n v="40165785"/>
    <d v="2025-09-05T00:00:00"/>
    <n v="181389"/>
    <s v="RHN3189"/>
    <x v="8"/>
    <x v="1"/>
    <s v="WACC"/>
    <n v="3189"/>
    <n v="1"/>
    <s v="Payment on Account"/>
    <n v="155389600"/>
    <n v="143879259"/>
    <n v="5"/>
    <n v="7572593"/>
    <n v="8178400"/>
    <s v="Nguyen Bich Ngoc"/>
    <s v="NAN - RING GOLD 12.66"/>
    <s v="Nguyen Thi Minh Hue"/>
    <s v="AH2-316"/>
    <n v="15"/>
    <s v="GOLD 12."/>
    <n v="163568000"/>
    <s v="U"/>
    <n v="151451852"/>
    <x v="10"/>
    <s v="0906159999"/>
    <n v="103066232"/>
    <x v="0"/>
    <x v="1"/>
  </r>
  <r>
    <x v="6"/>
    <x v="6"/>
    <n v="36"/>
    <s v="SS23"/>
    <s v="EARRINGS"/>
    <s v="SS23"/>
    <n v="2727850"/>
    <n v="2457000"/>
    <d v="2025-09-05T00:00:00"/>
    <n v="182237"/>
    <s v="RWT4959"/>
    <x v="7"/>
    <x v="4"/>
    <s v="WACC"/>
    <n v="4959"/>
    <n v="1"/>
    <s v="Visa"/>
    <n v="7863000"/>
    <n v="7280556"/>
    <n v="0"/>
    <n v="0"/>
    <n v="0"/>
    <s v="Le Ngoc Kim Tuyen"/>
    <s v="MAL - ENGRAVED SILVER 7.9G EARRINGS WITH FACETED DROP (8X30 MM)  FACETED ONYX"/>
    <s v="Duong Thi Minh Chau"/>
    <s v="OA0042"/>
    <n v="21"/>
    <s v="FACETED "/>
    <n v="7863000"/>
    <s v="U"/>
    <n v="7280556"/>
    <x v="63"/>
    <s v="0903618988"/>
    <n v="4552706"/>
    <x v="0"/>
    <x v="2"/>
  </r>
  <r>
    <x v="6"/>
    <x v="6"/>
    <n v="37"/>
    <s v="SS25"/>
    <s v="RING"/>
    <s v="SS25"/>
    <n v="126831154"/>
    <n v="120669750"/>
    <d v="2025-09-10T00:00:00"/>
    <n v="210755"/>
    <s v="RHN3214"/>
    <x v="9"/>
    <x v="1"/>
    <s v="WJEW"/>
    <n v="3214"/>
    <n v="1"/>
    <s v="Cash"/>
    <n v="375100000"/>
    <n v="347314815"/>
    <n v="0"/>
    <n v="0"/>
    <n v="0"/>
    <s v="Le Bao Ngoc"/>
    <s v="VHN-ABBRACCIO S RING SIZE 53"/>
    <s v="Pham Thanh Huong"/>
    <s v="PG1511A 365"/>
    <n v="16"/>
    <s v="WHITE GO"/>
    <n v="375100000"/>
    <m/>
    <n v="347314815"/>
    <x v="61"/>
    <m/>
    <n v="220483661"/>
    <x v="0"/>
    <x v="1"/>
  </r>
  <r>
    <x v="6"/>
    <x v="6"/>
    <n v="37"/>
    <s v="SS24"/>
    <s v="NECKLACE"/>
    <s v="SS24"/>
    <n v="170078487"/>
    <n v="154912500"/>
    <d v="2025-09-11T00:00:00"/>
    <n v="203152"/>
    <s v="RHN3219"/>
    <x v="2"/>
    <x v="1"/>
    <s v="WJEW"/>
    <n v="3219"/>
    <n v="1"/>
    <s v="MC"/>
    <n v="415810440"/>
    <n v="385009667"/>
    <n v="7"/>
    <n v="28979222"/>
    <n v="31297560"/>
    <s v="Duong Ngoc Bich"/>
    <s v="NAK-LONG BATON CHAIN: SOLID 20K RECYLED ROSE GOLD; 16 1/2 IN LENGTH"/>
    <s v="Do Thanh Hoa"/>
    <s v="40076-16.5-20R"/>
    <n v="16"/>
    <s v="ROSE"/>
    <n v="447108000"/>
    <s v="U"/>
    <n v="413988889"/>
    <x v="3"/>
    <s v="0904374728"/>
    <n v="214931180"/>
    <x v="0"/>
    <x v="1"/>
  </r>
  <r>
    <x v="6"/>
    <x v="6"/>
    <n v="37"/>
    <s v="SS23"/>
    <s v="BRACELET"/>
    <s v="SS23"/>
    <n v="2264882.5555555555"/>
    <n v="2295000"/>
    <d v="2025-09-12T00:00:00"/>
    <n v="182195"/>
    <s v="RWT4970"/>
    <x v="7"/>
    <x v="4"/>
    <s v="WACC"/>
    <n v="4970"/>
    <n v="1"/>
    <s v="Visa"/>
    <n v="6976800"/>
    <n v="6460000"/>
    <n v="5"/>
    <n v="340000"/>
    <n v="367200"/>
    <s v="Nguyen Van Thai"/>
    <s v="MAL - ENGRAVED SILVER BANGLE (NEW SMALL)   ATTENZIONE  TAGLIA COME CAMPIONE"/>
    <s v="Le Thi Thanh Mai"/>
    <s v="BA0079/SMALL"/>
    <n v="12"/>
    <s v="ATTENZIO"/>
    <n v="7344000"/>
    <s v="U"/>
    <n v="6800000"/>
    <x v="45"/>
    <s v="0933530066"/>
    <n v="4195117.444444444"/>
    <x v="0"/>
    <x v="1"/>
  </r>
  <r>
    <x v="6"/>
    <x v="6"/>
    <n v="38"/>
    <s v="FW24"/>
    <s v="NECKLACE"/>
    <s v="FW24"/>
    <n v="1620996"/>
    <n v="1478112.5999999999"/>
    <d v="2025-09-19T00:00:00"/>
    <n v="205021"/>
    <s v="RWT4997"/>
    <x v="4"/>
    <x v="4"/>
    <s v="WJEW"/>
    <n v="4997"/>
    <n v="1"/>
    <s v="Cash"/>
    <n v="8869000"/>
    <n v="8212037"/>
    <n v="0"/>
    <n v="0"/>
    <n v="0"/>
    <s v="Nguyen Nhat Thao Vy"/>
    <s v="GEO-MOSS AGATE HORN NECKLACE"/>
    <s v="Tran Thi Thuy Nga"/>
    <s v="24"/>
    <n v="13"/>
    <s v="Green"/>
    <n v="8869000"/>
    <s v="u"/>
    <n v="8212037"/>
    <x v="54"/>
    <s v="0903920064"/>
    <n v="6591041"/>
    <x v="0"/>
    <x v="2"/>
  </r>
  <r>
    <x v="6"/>
    <x v="6"/>
    <n v="38"/>
    <s v="SS24"/>
    <s v="RING"/>
    <s v="SS24"/>
    <n v="2207056"/>
    <n v="2052000"/>
    <d v="2025-09-19T00:00:00"/>
    <n v="208241"/>
    <s v="RWD3097"/>
    <x v="7"/>
    <x v="6"/>
    <s v="WACC"/>
    <n v="3097"/>
    <n v="1"/>
    <s v="Cash"/>
    <n v="6567000"/>
    <n v="6080556"/>
    <n v="0"/>
    <n v="0"/>
    <n v="0"/>
    <s v="Nguyen Thi Ngoc Diem"/>
    <s v="LUI - SHRI RING IN SILVER WITH NATURAL STONES EMERALD CUT (6X4) SMOKY QUARTZ"/>
    <s v="Duong Thi Minh Chau"/>
    <s v="AA0116/V1"/>
    <n v="15"/>
    <s v="SMOKY"/>
    <n v="6567000"/>
    <s v="13"/>
    <n v="6080556"/>
    <x v="73"/>
    <s v="0903618988"/>
    <n v="3873500"/>
    <x v="0"/>
    <x v="1"/>
  </r>
  <r>
    <x v="6"/>
    <x v="6"/>
    <n v="38"/>
    <s v="SS23"/>
    <s v="EARRINGS"/>
    <s v="SS23"/>
    <n v="21954080"/>
    <n v="18576000"/>
    <d v="2025-09-21T00:00:00"/>
    <n v="186450"/>
    <s v="RWR2169"/>
    <x v="1"/>
    <x v="0"/>
    <s v="WACC"/>
    <n v="2169"/>
    <n v="1"/>
    <s v="JCB"/>
    <n v="57353400"/>
    <n v="53105000"/>
    <n v="5"/>
    <n v="2795000"/>
    <n v="3018600"/>
    <s v="Nguyen Thi Kieu Diem"/>
    <s v="RM-BO 13 S ST C1½ S DIA CO BLK BLK 4P BO-C-13-9 Earrings - Setting Each Piece: Sterling Silver - Cognac Diamonds + Black Diamonds: 68p, 0.56ct"/>
    <s v="Le Thu Ngan"/>
    <s v="BO-000642"/>
    <n v="15"/>
    <s v="Black Di"/>
    <n v="60372000"/>
    <s v="U"/>
    <n v="55900000"/>
    <x v="7"/>
    <s v="0983352011"/>
    <n v="31150920"/>
    <x v="0"/>
    <x v="0"/>
  </r>
  <r>
    <x v="6"/>
    <x v="6"/>
    <n v="38"/>
    <s v="FW25"/>
    <s v="RING"/>
    <s v="FW25"/>
    <n v="5391882"/>
    <n v="4952250"/>
    <d v="2025-09-21T00:00:00"/>
    <n v="219147"/>
    <s v="RHN3291"/>
    <x v="10"/>
    <x v="1"/>
    <s v="WRTW"/>
    <n v="3291"/>
    <n v="1"/>
    <s v="MC"/>
    <n v="16198000"/>
    <n v="14998148"/>
    <n v="0"/>
    <n v="0"/>
    <n v="0"/>
    <s v="Dang Thanh Thuy"/>
    <s v="BRT-RING YELLOW BEE XS Serial n.  AAB46989  Gold Net Weight 1,0 g"/>
    <s v="Do Thanh Hoa"/>
    <s v="CQ608"/>
    <n v="18"/>
    <s v="YELLOW G"/>
    <n v="16198000"/>
    <s v="52"/>
    <n v="14998148"/>
    <x v="74"/>
    <s v="0904374728"/>
    <n v="9606266"/>
    <x v="0"/>
    <x v="1"/>
  </r>
  <r>
    <x v="6"/>
    <x v="6"/>
    <n v="38"/>
    <s v="SS23"/>
    <s v="EARRINGS"/>
    <s v="SS23"/>
    <n v="65918882"/>
    <n v="61404000"/>
    <d v="2025-09-21T00:00:00"/>
    <n v="182558"/>
    <s v="RHN3291"/>
    <x v="2"/>
    <x v="1"/>
    <s v="WACC"/>
    <n v="3291"/>
    <n v="1"/>
    <s v="MC"/>
    <n v="169176000"/>
    <n v="156644444"/>
    <n v="0"/>
    <n v="0"/>
    <n v="0"/>
    <s v="Dang Thanh Thuy"/>
    <s v="NAK - Small Leaf Earrings: 1.9 cts emerald and 20k rose gold; 7/8 inches in length"/>
    <s v="Do Thanh Hoa"/>
    <s v="10320-EM-20R"/>
    <n v="18"/>
    <s v="EMERALD "/>
    <n v="169176000"/>
    <s v="U"/>
    <n v="156644444"/>
    <x v="62"/>
    <s v="0904374728"/>
    <n v="90725562"/>
    <x v="0"/>
    <x v="1"/>
  </r>
  <r>
    <x v="6"/>
    <x v="6"/>
    <n v="38"/>
    <s v="FW25"/>
    <s v="NECKLACE"/>
    <s v="FW25"/>
    <n v="20504342"/>
    <n v="18832500"/>
    <d v="2025-09-21T00:00:00"/>
    <n v="219141"/>
    <s v="RHN3291"/>
    <x v="10"/>
    <x v="1"/>
    <s v="WRTW"/>
    <n v="3291"/>
    <n v="1"/>
    <s v="MC"/>
    <n v="59334000"/>
    <n v="54938889"/>
    <n v="0"/>
    <n v="0"/>
    <n v="0"/>
    <s v="Dang Thanh Thuy"/>
    <s v="BRT-BRACELET CHAIN AMULETO Y Serial n. AAB52860 Gold Net Weight 3,4 g"/>
    <s v="Do Thanh Hoa"/>
    <s v="CX273"/>
    <n v="18"/>
    <s v="YELLOW G"/>
    <n v="59334000"/>
    <s v="U"/>
    <n v="54938889"/>
    <x v="74"/>
    <s v="0904374728"/>
    <n v="34434547"/>
    <x v="0"/>
    <x v="1"/>
  </r>
  <r>
    <x v="6"/>
    <x v="6"/>
    <n v="38"/>
    <s v="FW25"/>
    <s v="NECKLACE"/>
    <s v="FW25"/>
    <n v="34933324"/>
    <n v="32085000"/>
    <d v="2025-09-21T00:00:00"/>
    <n v="219142"/>
    <s v="RHN3291"/>
    <x v="10"/>
    <x v="1"/>
    <s v="WRTW"/>
    <n v="3291"/>
    <n v="1"/>
    <s v="MC"/>
    <n v="104346000"/>
    <n v="96616667"/>
    <n v="0"/>
    <n v="0"/>
    <n v="0"/>
    <s v="Dang Thanh Thuy"/>
    <s v="BRT-NECKLACE CHAIN AMULETO Y Serial n. AAB56419 Gold Net Weight 7,0 g"/>
    <s v="Do Thanh Hoa"/>
    <s v="CX279"/>
    <n v="18"/>
    <s v="YELLOW G"/>
    <n v="104346000"/>
    <s v="U"/>
    <n v="96616667"/>
    <x v="74"/>
    <s v="0904374728"/>
    <n v="61683343"/>
    <x v="0"/>
    <x v="1"/>
  </r>
  <r>
    <x v="6"/>
    <x v="6"/>
    <n v="38"/>
    <s v="FW25"/>
    <s v="RING"/>
    <s v="FW25"/>
    <n v="9113042"/>
    <n v="8370000"/>
    <d v="2025-09-21T00:00:00"/>
    <n v="219148"/>
    <s v="RHN3291"/>
    <x v="10"/>
    <x v="1"/>
    <s v="WRTW"/>
    <n v="3291"/>
    <n v="1"/>
    <s v="MC"/>
    <n v="26598000"/>
    <n v="24627778"/>
    <n v="0"/>
    <n v="0"/>
    <n v="0"/>
    <s v="Dang Thanh Thuy"/>
    <s v="BRT-RING YELLOW BEE BAGUETTE Serial n. AAB38506 Gold Net Weight 1,08 g"/>
    <s v="Do Thanh Hoa"/>
    <s v="CV180"/>
    <n v="18"/>
    <s v="YELLOW G"/>
    <n v="26598000"/>
    <s v="52"/>
    <n v="24627778"/>
    <x v="74"/>
    <s v="0904374728"/>
    <n v="15514736"/>
    <x v="0"/>
    <x v="1"/>
  </r>
  <r>
    <x v="6"/>
    <x v="6"/>
    <n v="38"/>
    <s v="FW25"/>
    <s v="RING"/>
    <s v="FW25"/>
    <n v="5239999"/>
    <n v="4812750"/>
    <d v="2025-09-21T00:00:00"/>
    <n v="219153"/>
    <s v="RHN3291"/>
    <x v="10"/>
    <x v="1"/>
    <s v="WRTW"/>
    <n v="3291"/>
    <n v="1"/>
    <s v="MC"/>
    <n v="14322000"/>
    <n v="13261111"/>
    <n v="0"/>
    <n v="0"/>
    <n v="0"/>
    <s v="Dang Thanh Thuy"/>
    <s v="BRT-RING TRILOGY SOLITAIRE YELLOW Serial n. AAB45276  Gold Net Weight 0,88 g "/>
    <s v="Do Thanh Hoa"/>
    <s v="CV174"/>
    <n v="18"/>
    <s v="YELLOW G"/>
    <n v="14322000"/>
    <s v="51"/>
    <n v="13261111"/>
    <x v="74"/>
    <s v="0904374728"/>
    <n v="8021112"/>
    <x v="0"/>
    <x v="1"/>
  </r>
  <r>
    <x v="6"/>
    <x v="6"/>
    <n v="39"/>
    <s v="FW25"/>
    <s v="EARRINGS"/>
    <s v="FW25"/>
    <n v="123020685"/>
    <n v="122769000"/>
    <d v="2025-09-24T00:00:00"/>
    <n v="217459"/>
    <s v="RHN3301"/>
    <x v="5"/>
    <x v="1"/>
    <s v="WJEW"/>
    <n v="3301"/>
    <n v="1"/>
    <s v="Bank Transfer"/>
    <n v="300000000"/>
    <n v="277777778"/>
    <n v="10.49"/>
    <n v="32555556"/>
    <n v="35160000"/>
    <s v="Le Bao Ngoc"/>
    <s v="ATS-WG PR. OF EARRINGS: DIAMONDS 2,61CT G/VS + PINK TOURMALIN 3,55CT - CRM GOLD 10.52"/>
    <s v="Kieu Anh"/>
    <s v="88/AW01675W2 "/>
    <n v="14"/>
    <s v="PINK+DIA"/>
    <n v="335160000"/>
    <s v="U"/>
    <n v="310333333"/>
    <x v="14"/>
    <s v="0987253443"/>
    <n v="154757093"/>
    <x v="0"/>
    <x v="1"/>
  </r>
  <r>
    <x v="6"/>
    <x v="6"/>
    <n v="39"/>
    <s v="FW25"/>
    <s v="NECKLACE"/>
    <s v="FW25"/>
    <n v="16707242"/>
    <n v="15345000"/>
    <d v="2025-09-25T00:00:00"/>
    <n v="219144"/>
    <s v="RHN3305"/>
    <x v="10"/>
    <x v="1"/>
    <s v="WRTW"/>
    <n v="3305"/>
    <n v="1"/>
    <s v="Visa"/>
    <n v="47058000"/>
    <n v="43572222"/>
    <n v="0"/>
    <n v="0"/>
    <n v="0"/>
    <s v="Nguyen Trung Hieu"/>
    <s v="BRT-NECKLACE AMULETO FULL DIAMONDS YELLOW S Serial n. AAB49453 Gold Net Weight 2,8 g"/>
    <s v="Ms. Le Thi Thuan"/>
    <s v="CT368"/>
    <n v="12"/>
    <s v="YELLOW G"/>
    <n v="47058000"/>
    <s v="U"/>
    <n v="43572222"/>
    <x v="55"/>
    <s v="0985895991"/>
    <n v="26864980"/>
    <x v="0"/>
    <x v="1"/>
  </r>
  <r>
    <x v="6"/>
    <x v="6"/>
    <n v="39"/>
    <s v="FW25"/>
    <s v="NECKLACE"/>
    <s v="FW25"/>
    <n v="28098543"/>
    <n v="25807500"/>
    <d v="2025-09-25T00:00:00"/>
    <n v="219156"/>
    <s v="RHN3305"/>
    <x v="10"/>
    <x v="1"/>
    <s v="WRTW"/>
    <n v="3305"/>
    <n v="1"/>
    <s v="Visa"/>
    <n v="79794000"/>
    <n v="73883333"/>
    <n v="0"/>
    <n v="0"/>
    <n v="0"/>
    <s v="Nguyen Trung Hieu"/>
    <s v="BRT-NECKLACE MULTISOLITAIRE Y Serial n. AAB54175 Gold Net Weight 3,98 g"/>
    <s v="Ms. Le Thi Thuan"/>
    <s v="CX305"/>
    <n v="12"/>
    <s v="YELLOW G"/>
    <n v="79794000"/>
    <s v="U"/>
    <n v="73883333"/>
    <x v="14"/>
    <s v="0985895991"/>
    <n v="45784790"/>
    <x v="0"/>
    <x v="1"/>
  </r>
  <r>
    <x v="6"/>
    <x v="6"/>
    <n v="39"/>
    <s v="SS25"/>
    <s v="RING"/>
    <s v="SS25"/>
    <n v="27529683"/>
    <n v="26390700"/>
    <d v="2025-09-25T00:00:00"/>
    <n v="214602"/>
    <s v="RHN3312"/>
    <x v="8"/>
    <x v="1"/>
    <s v="WJEW"/>
    <n v="3312"/>
    <n v="1"/>
    <s v="MC"/>
    <n v="90495000"/>
    <n v="83791667"/>
    <n v="0"/>
    <n v="0"/>
    <n v="0"/>
    <s v="Pham Chau Anh"/>
    <s v="NAN-IPANEMA RING SIZE 58 GD ct 0,34 RZ ct 2,4"/>
    <s v="Do Thanh Hoa"/>
    <s v="AS7-596"/>
    <n v="18"/>
    <s v="GG"/>
    <n v="90495000"/>
    <m/>
    <n v="83791667"/>
    <x v="74"/>
    <s v="0904374728"/>
    <n v="56261984"/>
    <x v="0"/>
    <x v="1"/>
  </r>
  <r>
    <x v="6"/>
    <x v="6"/>
    <n v="39"/>
    <s v="SS23"/>
    <s v="EARRINGS"/>
    <s v="SS23"/>
    <n v="34381544"/>
    <n v="29102400"/>
    <d v="2025-09-27T00:00:00"/>
    <n v="186456"/>
    <s v="RHN3320"/>
    <x v="1"/>
    <x v="1"/>
    <s v="WACC"/>
    <n v="3320"/>
    <n v="1"/>
    <s v="Payment on Account"/>
    <n v="94583000"/>
    <n v="87576852"/>
    <n v="0"/>
    <n v="0"/>
    <n v="0"/>
    <s v="Dang Thanh Huyen"/>
    <s v="RM-BO BEGUM V S ST DIA CO 1G LQTZ CO BO-C-BEGUMV-38 Earrings - Setting Each Piece: Sterling Silver - Cognac Diamonds: 16p, 1.35ct - Lemon Quartz: 1p, 3.22ct - Cognac Diamonds: 4p, 0.06ct"/>
    <s v="Do Thanh Hoa"/>
    <s v="BO-000589"/>
    <n v="16"/>
    <s v="Lemon Qu"/>
    <n v="94583000"/>
    <s v="U"/>
    <n v="87576852"/>
    <x v="14"/>
    <s v="0904374728"/>
    <n v="53195308"/>
    <x v="0"/>
    <x v="1"/>
  </r>
  <r>
    <x v="6"/>
    <x v="6"/>
    <n v="39"/>
    <s v="SS23"/>
    <s v="NECKLACE"/>
    <s v="SS23"/>
    <n v="4262020"/>
    <n v="3847500"/>
    <d v="2025-09-28T00:00:00"/>
    <n v="182217"/>
    <s v="RWT5026"/>
    <x v="7"/>
    <x v="4"/>
    <s v="WACC"/>
    <n v="5026"/>
    <n v="1"/>
    <s v="Visa"/>
    <n v="12312000"/>
    <n v="11400000"/>
    <n v="0"/>
    <n v="0"/>
    <n v="0"/>
    <s v="Pham Thi Diem Trang "/>
    <s v="MAL - SILVER NECKLACE, LONG CHAIN WITH NATURAL FACETED DROP (20X13,5)   SMOKEY QUARTZ"/>
    <s v="Huynh Phuong Lan"/>
    <s v="CA0144/V1"/>
    <n v="12"/>
    <s v="SMOKEY Q"/>
    <n v="12312000"/>
    <s v="U"/>
    <n v="11400000"/>
    <x v="66"/>
    <s v="0908819797"/>
    <n v="7137980"/>
    <x v="0"/>
    <x v="1"/>
  </r>
  <r>
    <x v="6"/>
    <x v="7"/>
    <n v="40"/>
    <s v="SS24"/>
    <s v="NECKLACE"/>
    <s v="SS24"/>
    <n v="6737574"/>
    <n v="6270000"/>
    <d v="2025-10-02T00:00:00"/>
    <n v="208288"/>
    <s v="RHN3348"/>
    <x v="7"/>
    <x v="1"/>
    <s v="WACC"/>
    <n v="3348"/>
    <n v="1"/>
    <s v="MC"/>
    <n v="20064000"/>
    <n v="18577778"/>
    <n v="0"/>
    <n v="0"/>
    <n v="0"/>
    <s v="Pham Chau Anh"/>
    <s v="LUI - SILVER NECKLACE CM 114  ( 6 PEARLS 7 NAVETTE CUTTED STONES AND OTHER MIXED STONES ) ROCK CRYSTAL "/>
    <s v="Do Thanh Hoa"/>
    <s v="CA0243/V1"/>
    <n v="18"/>
    <s v="WHITE"/>
    <n v="20064000"/>
    <s v="U"/>
    <n v="18577778"/>
    <x v="64"/>
    <s v="0904374728"/>
    <n v="11840204"/>
    <x v="0"/>
    <x v="1"/>
  </r>
  <r>
    <x v="6"/>
    <x v="7"/>
    <n v="40"/>
    <s v="SS23"/>
    <s v="EARRINGS"/>
    <s v="SS23"/>
    <n v="2847756"/>
    <n v="2565000"/>
    <d v="2025-10-02T00:00:00"/>
    <n v="182259"/>
    <s v="RWT5051"/>
    <x v="7"/>
    <x v="4"/>
    <s v="WACC"/>
    <n v="5051"/>
    <n v="1"/>
    <s v="Visa"/>
    <n v="7797600"/>
    <n v="7220000"/>
    <n v="5"/>
    <n v="380000"/>
    <n v="410400"/>
    <s v="Pham Thi Diem Trang "/>
    <s v="MAL - ENGRAVED SILVER EARRINGS WITH 3 NATURAL STONES, VARIOUS CUTS (EMERALD, ROUND, DROP CUT)  CITRINE"/>
    <s v="Duong Thi Minh Chau"/>
    <s v="OA0248/V1/CITRINE"/>
    <n v="19"/>
    <s v="CITRINE"/>
    <n v="8208000"/>
    <s v="U"/>
    <n v="7600000"/>
    <x v="49"/>
    <s v="0903618988"/>
    <n v="4372244"/>
    <x v="0"/>
    <x v="1"/>
  </r>
  <r>
    <x v="6"/>
    <x v="7"/>
    <n v="42"/>
    <s v="FW25"/>
    <s v="NECKLACE"/>
    <s v="FW25"/>
    <n v="110067521"/>
    <n v="105462000"/>
    <d v="2025-10-17T00:00:00"/>
    <n v="217314"/>
    <s v="RHN3426"/>
    <x v="9"/>
    <x v="1"/>
    <s v="WJEW"/>
    <n v="3426"/>
    <n v="1"/>
    <s v="Cash"/>
    <n v="286440000"/>
    <n v="265222222"/>
    <n v="0"/>
    <n v="0"/>
    <n v="0"/>
    <s v="Dang Thanh Huyen"/>
    <s v="VHN-NECKLACE WITH 4 GOLD LINKS"/>
    <s v="Nguyen Ha Anh"/>
    <s v="001832CL214"/>
    <n v="11"/>
    <s v="GOLD"/>
    <n v="286440000"/>
    <m/>
    <n v="265222222"/>
    <x v="61"/>
    <s v="011112222"/>
    <n v="155154701"/>
    <x v="0"/>
    <x v="1"/>
  </r>
  <r>
    <x v="6"/>
    <x v="7"/>
    <n v="42"/>
    <s v="FW25"/>
    <s v="EARRINGS"/>
    <s v="FW25"/>
    <n v="150687678"/>
    <n v="144382500"/>
    <d v="2025-10-17T00:00:00"/>
    <n v="217318"/>
    <s v="RHN3426"/>
    <x v="9"/>
    <x v="1"/>
    <s v="WJEW"/>
    <n v="3426"/>
    <n v="1"/>
    <s v="Cash"/>
    <n v="392150000"/>
    <n v="363101852"/>
    <n v="0"/>
    <n v="0"/>
    <n v="0"/>
    <s v="Dang Thanh Huyen"/>
    <s v="VHN-ROSE GOLD EARRINGS AND ONE DIAMOND PROFILE (CT 10,0)"/>
    <s v="Nguyen Ha Anh"/>
    <s v="0G1832B 310"/>
    <n v="11"/>
    <s v="GOLD"/>
    <n v="392150000"/>
    <m/>
    <n v="363101852"/>
    <x v="61"/>
    <s v="011112222"/>
    <n v="212414174"/>
    <x v="0"/>
    <x v="1"/>
  </r>
  <r>
    <x v="6"/>
    <x v="7"/>
    <n v="42"/>
    <s v="SS23"/>
    <s v="EARRINGS"/>
    <s v="SS23"/>
    <n v="18367195"/>
    <n v="18075915"/>
    <d v="2025-10-18T00:00:00"/>
    <n v="181409"/>
    <s v="RHN3442"/>
    <x v="8"/>
    <x v="1"/>
    <s v="WACC"/>
    <n v="3442"/>
    <n v="1"/>
    <s v="Visa"/>
    <n v="94467000"/>
    <n v="87469444"/>
    <n v="0"/>
    <n v="0"/>
    <n v="0"/>
    <s v="Tran Phan Anh"/>
    <s v="NAN - DIAMONDS 8pcs ct0.11, RUTILE QUARTZ 2pcs ct13.0"/>
    <s v="Do Thanh Hoa"/>
    <s v="OS7-576"/>
    <n v="17"/>
    <s v="DIAMONDS"/>
    <n v="94467000"/>
    <s v="U"/>
    <n v="87469444"/>
    <x v="10"/>
    <s v="0904374728"/>
    <n v="69102249"/>
    <x v="0"/>
    <x v="1"/>
  </r>
  <r>
    <x v="6"/>
    <x v="7"/>
    <n v="43"/>
    <s v="SS25"/>
    <s v="EARRINGS"/>
    <s v="SS25"/>
    <n v="20162586"/>
    <n v="19328400"/>
    <d v="2025-10-20T00:00:00"/>
    <n v="214601"/>
    <s v="RHN3460"/>
    <x v="8"/>
    <x v="1"/>
    <s v="WJEW"/>
    <n v="3460"/>
    <n v="1"/>
    <s v="Cash"/>
    <n v="66748000"/>
    <n v="61803704"/>
    <n v="0"/>
    <n v="0"/>
    <n v="0"/>
    <s v="Nguyen Trung Hieu"/>
    <s v="NAN-LIBERA EARRINGS B ct 0,13"/>
    <s v="Nguyen Anh Tuyet"/>
    <s v="OS1-602"/>
    <n v="13"/>
    <s v="GG"/>
    <n v="66748000"/>
    <m/>
    <n v="61803704"/>
    <x v="10"/>
    <s v="0904861412"/>
    <n v="41641118"/>
    <x v="0"/>
    <x v="1"/>
  </r>
  <r>
    <x v="6"/>
    <x v="7"/>
    <n v="43"/>
    <s v="FW24"/>
    <s v="RING"/>
    <s v="FW24"/>
    <n v="57829923"/>
    <n v="57082500"/>
    <d v="2025-10-26T00:00:00"/>
    <n v="209302"/>
    <s v="RHN3489"/>
    <x v="9"/>
    <x v="1"/>
    <s v="WJEW"/>
    <n v="3489"/>
    <n v="1"/>
    <s v="Cash"/>
    <n v="165726000"/>
    <n v="153450000"/>
    <n v="0"/>
    <n v="0"/>
    <n v="0"/>
    <s v="Nguyen Bich Ngoc"/>
    <s v="VHN - Ring Calla Media Gold Gr 9,80  Titanium Gr 0,40  25 Diamonds Ct 0,28"/>
    <s v="Nguyen Ha Anh"/>
    <s v="0G1652A 354"/>
    <n v="10"/>
    <s v="GOLD"/>
    <n v="165726000"/>
    <s v="54"/>
    <n v="153450000"/>
    <x v="14"/>
    <s v="011112222"/>
    <n v="95620077"/>
    <x v="0"/>
    <x v="1"/>
  </r>
  <r>
    <x v="6"/>
    <x v="7"/>
    <n v="43"/>
    <s v="SS24"/>
    <s v="RING"/>
    <s v="SS24"/>
    <n v="61904440"/>
    <n v="60087500"/>
    <d v="2025-10-26T00:00:00"/>
    <n v="205110"/>
    <s v="RHN3489"/>
    <x v="6"/>
    <x v="1"/>
    <s v="WJEW"/>
    <n v="3489"/>
    <n v="1"/>
    <s v="Cash"/>
    <n v="179282000"/>
    <n v="166001852"/>
    <n v="0"/>
    <n v="0"/>
    <n v="0"/>
    <s v="Nguyen Bich Ngoc"/>
    <s v="GVC-PINK GOLD RING W GOLD 12.20GR DIAMOND 1.12CT"/>
    <s v="Nguyen Ha Anh"/>
    <s v="AR16944"/>
    <n v="10"/>
    <s v="GOLD/DIA"/>
    <n v="179282000"/>
    <s v="11"/>
    <n v="166001852"/>
    <x v="61"/>
    <s v="011112222"/>
    <n v="104097412"/>
    <x v="0"/>
    <x v="1"/>
  </r>
  <r>
    <x v="6"/>
    <x v="7"/>
    <n v="44"/>
    <s v="FW25"/>
    <s v="EARRINGS"/>
    <s v="FW25"/>
    <n v="121860471"/>
    <n v="116761500.00000001"/>
    <d v="2025-10-28T00:00:00"/>
    <n v="217309"/>
    <s v="RHN3500"/>
    <x v="9"/>
    <x v="1"/>
    <s v="WJEW"/>
    <n v="3500"/>
    <n v="1"/>
    <s v="Cash"/>
    <n v="351230000"/>
    <n v="325212963"/>
    <n v="0"/>
    <n v="0"/>
    <n v="0"/>
    <s v="Nguyen Bich Ngoc"/>
    <s v="VHN-EARCLIPS IN ROSE GOLD, WHITE GOLD AND DIAMONDS. DIAMONDS 60, CT. 0,39 (MIDI) SIZE U"/>
    <s v="Nguyen Ha Anh"/>
    <s v="PG1527B 336"/>
    <n v="10"/>
    <s v="GOLD"/>
    <n v="351230000"/>
    <m/>
    <n v="325212963"/>
    <x v="61"/>
    <s v="011112222"/>
    <n v="203352492"/>
    <x v="0"/>
    <x v="1"/>
  </r>
  <r>
    <x v="6"/>
    <x v="7"/>
    <n v="44"/>
    <s v="FW24"/>
    <s v="RING"/>
    <s v="FW24"/>
    <n v="481467730"/>
    <n v="475245000"/>
    <d v="2025-10-28T00:00:00"/>
    <n v="209322"/>
    <s v="RHN3500"/>
    <x v="9"/>
    <x v="1"/>
    <s v="WJEW"/>
    <n v="3500"/>
    <n v="1"/>
    <s v="Cash"/>
    <n v="1343540000"/>
    <n v="1244018519"/>
    <n v="0"/>
    <n v="0"/>
    <n v="0"/>
    <s v="Nguyen Bich Ngoc"/>
    <s v="VHN - Ring Tourbillon White gold Gr 29,05  708 Diamonds Ct 4,23"/>
    <s v="Nguyen Ha Anh"/>
    <s v="PG0527A 020"/>
    <n v="10"/>
    <s v="GOLD"/>
    <n v="1343540000"/>
    <s v="53"/>
    <n v="1244018519"/>
    <x v="61"/>
    <s v="011112222"/>
    <n v="762550789"/>
    <x v="0"/>
    <x v="1"/>
  </r>
  <r>
    <x v="6"/>
    <x v="7"/>
    <n v="44"/>
    <s v="SS25"/>
    <s v="RING"/>
    <s v="SS25"/>
    <n v="148808247"/>
    <n v="142772625"/>
    <d v="2025-10-28T00:00:00"/>
    <n v="211216"/>
    <s v="RHN3500"/>
    <x v="9"/>
    <x v="1"/>
    <s v="WJEW"/>
    <n v="3500"/>
    <n v="1"/>
    <s v="Cash"/>
    <n v="436480000"/>
    <n v="404148148"/>
    <n v="0"/>
    <n v="0"/>
    <n v="0"/>
    <s v="Nguyen Bich Ngoc"/>
    <s v="VHN-TOURBILLON S RING"/>
    <s v="Nguyen Ha Anh"/>
    <s v="PG1527A 336"/>
    <n v="10"/>
    <s v="GOLDDIAM"/>
    <n v="436480000"/>
    <s v="52"/>
    <n v="404148148"/>
    <x v="61"/>
    <s v="011112222"/>
    <n v="255339901"/>
    <x v="0"/>
    <x v="1"/>
  </r>
  <r>
    <x v="6"/>
    <x v="7"/>
    <n v="44"/>
    <s v="FW25"/>
    <s v="EARRINGS"/>
    <s v="FW25"/>
    <n v="89102279"/>
    <n v="85374000"/>
    <d v="2025-10-28T00:00:00"/>
    <n v="217307"/>
    <s v="RHN3501"/>
    <x v="9"/>
    <x v="1"/>
    <s v="WJEW"/>
    <n v="3501"/>
    <n v="1"/>
    <s v="Cash"/>
    <n v="262570000"/>
    <n v="243120370"/>
    <n v="0"/>
    <n v="0"/>
    <n v="0"/>
    <s v="Duong Ngoc Bich"/>
    <s v="VHN-EARCLIPS IN ROSE GOLD AND WHITE GOLD (MIDI) ((WITH CLIP AND PIN POSITIONED"/>
    <s v="Linh Pham"/>
    <s v="PN1527B 101"/>
    <n v="10"/>
    <s v="GOLD"/>
    <n v="262570000"/>
    <m/>
    <n v="243120370"/>
    <x v="3"/>
    <m/>
    <n v="154018091"/>
    <x v="0"/>
    <x v="1"/>
  </r>
  <r>
    <x v="6"/>
    <x v="7"/>
    <n v="44"/>
    <s v="SS25"/>
    <s v="BRACELET"/>
    <s v="SS25"/>
    <n v="97397754"/>
    <n v="93190500"/>
    <d v="2025-10-29T00:00:00"/>
    <n v="210751"/>
    <s v="RHN3521"/>
    <x v="9"/>
    <x v="1"/>
    <s v="WJEW"/>
    <n v="3521"/>
    <n v="1"/>
    <s v="Visa"/>
    <n v="323950000"/>
    <n v="299953704"/>
    <n v="0"/>
    <n v="0"/>
    <n v="0"/>
    <s v="Nguyen Thi Nghia"/>
    <s v="VHN-CALLA MEDIA BRACELET "/>
    <s v="Do Thanh Hoa"/>
    <s v="0G1652BR313"/>
    <n v="19"/>
    <s v="GOLD &amp; T"/>
    <n v="323950000"/>
    <m/>
    <n v="299953704"/>
    <x v="14"/>
    <s v="0904374728"/>
    <n v="202555950"/>
    <x v="0"/>
    <x v="1"/>
  </r>
  <r>
    <x v="6"/>
    <x v="11"/>
    <n v="44"/>
    <s v="SS24"/>
    <s v="EARRINGS"/>
    <s v="SS24"/>
    <n v="103548888"/>
    <n v="100320000"/>
    <d v="2025-11-01T00:00:00"/>
    <n v="205106"/>
    <s v="RHN3533"/>
    <x v="6"/>
    <x v="1"/>
    <s v="WJEW"/>
    <n v="3533"/>
    <n v="1"/>
    <s v="Payment on Account"/>
    <n v="293238000"/>
    <n v="271516667"/>
    <n v="0"/>
    <n v="0"/>
    <n v="0"/>
    <s v="Nguyen Bich Ngoc"/>
    <s v="GVC-PINK GOLD P.OF EARRINGS ( CENTER DIAM.TOTAL 0.30) W GOLD 13.00GR DIAMOND 2.33CT"/>
    <s v="Pham Thanh Huong"/>
    <s v="B39733"/>
    <n v="11"/>
    <s v="GOLD/DIA"/>
    <n v="293238000"/>
    <s v="U"/>
    <n v="271516667"/>
    <x v="61"/>
    <m/>
    <n v="167967779"/>
    <x v="0"/>
    <x v="1"/>
  </r>
  <r>
    <x v="6"/>
    <x v="11"/>
    <n v="44"/>
    <s v="SS24"/>
    <s v="EARRINGS"/>
    <s v="SS24"/>
    <n v="113922153"/>
    <n v="114127200.00000003"/>
    <d v="2025-11-02T00:00:00"/>
    <n v="202686"/>
    <s v="RHN3537"/>
    <x v="8"/>
    <x v="1"/>
    <s v="WACC"/>
    <n v="3537"/>
    <n v="1"/>
    <s v="Bank Transfer"/>
    <n v="429354400"/>
    <n v="397550370"/>
    <n v="5"/>
    <n v="20923704"/>
    <n v="22597600"/>
    <s v="Dang Thanh Huyen"/>
    <s v="NAN - “SPECIAL EDITION” EARRINGS ROSE GOLD 9.90 WITH MORGANITE 5.90 CT AND DIAMONDS 1.05CT "/>
    <s v="Nguyen Thi Minh Hue"/>
    <s v="SPC167"/>
    <n v="19"/>
    <s v="RRLU"/>
    <n v="451952000"/>
    <s v="U"/>
    <n v="418474074"/>
    <x v="72"/>
    <s v="0906159999"/>
    <n v="283628217"/>
    <x v="0"/>
    <x v="1"/>
  </r>
  <r>
    <x v="6"/>
    <x v="11"/>
    <n v="44"/>
    <s v="SS24"/>
    <s v="RING"/>
    <s v="SS24"/>
    <n v="65412838"/>
    <n v="65530575.000000007"/>
    <d v="2025-11-02T00:00:00"/>
    <n v="202682"/>
    <s v="RHN3537"/>
    <x v="8"/>
    <x v="1"/>
    <s v="WACC"/>
    <n v="3537"/>
    <n v="1"/>
    <s v="Bank Transfer"/>
    <n v="248752750"/>
    <n v="230326620"/>
    <n v="5"/>
    <n v="12122454"/>
    <n v="13092250"/>
    <s v="Dang Thanh Huyen"/>
    <s v="NAN - “SPECIAL EDITION” RING ROSE GOLD 6.30 WITH MORGANITE 2.95 CT AND DIAMONDS 0.60CT "/>
    <s v="Nguyen Thi Minh Hue"/>
    <s v="SPC164"/>
    <n v="19"/>
    <s v="RRLU"/>
    <n v="261845000"/>
    <s v="14"/>
    <n v="242449074"/>
    <x v="72"/>
    <s v="0906159999"/>
    <n v="164913782"/>
    <x v="0"/>
    <x v="1"/>
  </r>
  <r>
    <x v="6"/>
    <x v="11"/>
    <n v="44"/>
    <s v="SS24"/>
    <s v="NECKLACE"/>
    <s v="SS24"/>
    <n v="98105670"/>
    <n v="98282250"/>
    <d v="2025-11-02T00:00:00"/>
    <n v="202685"/>
    <s v="RHN3537"/>
    <x v="8"/>
    <x v="1"/>
    <s v="WACC"/>
    <n v="3537"/>
    <n v="1"/>
    <s v="Bank Transfer"/>
    <n v="372552950"/>
    <n v="344956435"/>
    <n v="5"/>
    <n v="18155602"/>
    <n v="19608050"/>
    <s v="Dang Thanh Huyen"/>
    <s v="NAN - “SPECIAL EDITION” NECKLACE ROSE GOLD 14.80 WITH MORGANITE 2.95 CT AND DIAMONDS 0.60CT "/>
    <s v="Nguyen Thi Minh Hue"/>
    <s v="SPC166"/>
    <n v="19"/>
    <s v="RRLU"/>
    <n v="392161000"/>
    <s v="465"/>
    <n v="363112037"/>
    <x v="72"/>
    <s v="0906159999"/>
    <n v="246850765"/>
    <x v="0"/>
    <x v="1"/>
  </r>
  <r>
    <x v="6"/>
    <x v="11"/>
    <n v="45"/>
    <s v="FW25"/>
    <s v="NECKLACE"/>
    <s v="FW25"/>
    <n v="132576416"/>
    <n v="123723000"/>
    <d v="2025-11-05T00:00:00"/>
    <n v="217087"/>
    <s v="RHN3551"/>
    <x v="8"/>
    <x v="1"/>
    <s v="WJEW"/>
    <n v="3551"/>
    <n v="1"/>
    <s v="Payment on Account"/>
    <n v="538563840"/>
    <n v="498670222"/>
    <n v="0"/>
    <n v="0"/>
    <n v="0"/>
    <s v="Dang Thanh Huyen"/>
    <s v="NAN-DANCING IN THE RAIN NECKLACE"/>
    <s v="Du Thi Thanh Thuong"/>
    <s v="CI1-538"/>
    <n v="10"/>
    <s v="GG"/>
    <n v="538563840"/>
    <s v="u"/>
    <n v="498670222"/>
    <x v="61"/>
    <s v="0912808373"/>
    <n v="366093806"/>
    <x v="0"/>
    <x v="1"/>
  </r>
  <r>
    <x v="6"/>
    <x v="11"/>
    <n v="45"/>
    <s v="SS25"/>
    <s v="EARRINGS"/>
    <s v="SS25"/>
    <n v="13570970"/>
    <n v="13009500"/>
    <d v="2025-11-06T00:00:00"/>
    <n v="214606"/>
    <s v="RHN3557"/>
    <x v="8"/>
    <x v="1"/>
    <s v="WJEW"/>
    <n v="3557"/>
    <n v="1"/>
    <s v="Cash"/>
    <n v="59781120"/>
    <n v="55352889"/>
    <n v="0"/>
    <n v="0"/>
    <n v="0"/>
    <s v="Tran Phan Anh"/>
    <s v="NAN-DANCING IN THE RAIN SMALL EARRINGS B ct 0,09"/>
    <s v="Hoang Lan"/>
    <s v="OS17-583"/>
    <n v="10"/>
    <s v="GG"/>
    <n v="59781120"/>
    <m/>
    <n v="55352889"/>
    <x v="61"/>
    <m/>
    <n v="41781919"/>
    <x v="0"/>
    <x v="1"/>
  </r>
  <r>
    <x v="6"/>
    <x v="11"/>
    <n v="46"/>
    <s v="SS24"/>
    <s v="NECKLACE"/>
    <s v="SS24"/>
    <n v="18183848"/>
    <n v="19242630"/>
    <d v="2025-11-10T00:00:00"/>
    <n v="206898"/>
    <s v="RHN3574"/>
    <x v="8"/>
    <x v="1"/>
    <s v="WACC"/>
    <n v="3574"/>
    <n v="1"/>
    <s v="Cash"/>
    <n v="78264000"/>
    <n v="72466667"/>
    <n v="0"/>
    <n v="0"/>
    <n v="0"/>
    <s v="Nguyen Bich Ngoc"/>
    <s v="NAN - &quot;ÉLITE&quot; GOLD 18K 2.16 AND DIAMONDS 0.19CT LIGHT POINT NECKLACE"/>
    <s v="Hoang Lan"/>
    <s v="CS34-583"/>
    <n v="10"/>
    <s v="RRLU"/>
    <n v="78264000"/>
    <s v="395"/>
    <n v="72466667"/>
    <x v="61"/>
    <m/>
    <n v="54282819"/>
    <x v="0"/>
    <x v="1"/>
  </r>
  <r>
    <x v="6"/>
    <x v="11"/>
    <n v="46"/>
    <s v="FW24"/>
    <s v="RING"/>
    <s v="FW24"/>
    <n v="28826223"/>
    <n v="23161000"/>
    <d v="2025-11-11T00:00:00"/>
    <n v="210769"/>
    <s v="RWR2316"/>
    <x v="0"/>
    <x v="0"/>
    <s v="WACC"/>
    <n v="2316"/>
    <n v="1"/>
    <s v="Visa"/>
    <n v="62182250"/>
    <n v="57576157"/>
    <n v="5"/>
    <n v="3030324"/>
    <n v="3272750"/>
    <s v="Nguyen Thi Khanh Ha"/>
    <s v="SPK-GEMINI SG PAVE RING"/>
    <s v="Huynh Phuong Lan"/>
    <s v="G3-GEMSGPA"/>
    <n v="13"/>
    <s v="SLIVER"/>
    <n v="65455000"/>
    <s v="6.5"/>
    <n v="60606481"/>
    <x v="59"/>
    <s v="0908819797"/>
    <n v="28749934"/>
    <x v="0"/>
    <x v="1"/>
  </r>
  <r>
    <x v="6"/>
    <x v="11"/>
    <n v="46"/>
    <s v="SS24"/>
    <s v="NECKLACE"/>
    <s v="SS24"/>
    <n v="3064181"/>
    <n v="2850000"/>
    <d v="2025-11-11T00:00:00"/>
    <n v="208307"/>
    <s v="RWR2316"/>
    <x v="7"/>
    <x v="0"/>
    <s v="WACC"/>
    <n v="2316"/>
    <n v="1"/>
    <s v="Visa"/>
    <n v="10670400"/>
    <n v="9880000"/>
    <n v="10"/>
    <n v="1097778"/>
    <n v="1185600"/>
    <s v="Nguyen Thi Khanh Ha"/>
    <s v="LUI - SILVER NECKLACE CARVED WITH NAVETTE STONES (8X4) SMOKY QUARTZ - LETTER A"/>
    <s v="Huynh Phuong Lan"/>
    <s v="CA0276/AG"/>
    <n v="13"/>
    <s v="SMOKY"/>
    <n v="11856000"/>
    <s v="U"/>
    <n v="10977778"/>
    <x v="59"/>
    <s v="0908819797"/>
    <n v="6815819"/>
    <x v="0"/>
    <x v="1"/>
  </r>
  <r>
    <x v="6"/>
    <x v="11"/>
    <n v="47"/>
    <s v="FW24"/>
    <s v="NECKLACE"/>
    <s v="FW24"/>
    <n v="2409440"/>
    <n v="2344592.4"/>
    <d v="2025-11-18T00:00:00"/>
    <n v="205026"/>
    <s v="RWT5296"/>
    <x v="4"/>
    <x v="4"/>
    <s v="WJEW"/>
    <n v="5296"/>
    <n v="1"/>
    <s v="Visa"/>
    <n v="14068000"/>
    <n v="13025926"/>
    <n v="0"/>
    <n v="0"/>
    <n v="0"/>
    <s v="Pham Thi Diem Trang "/>
    <s v="GEO-CITRIN HORN NECKLACE"/>
    <s v="To Mai Lien"/>
    <s v="29"/>
    <n v="18"/>
    <s v="Yellow"/>
    <n v="14068000"/>
    <s v="u"/>
    <n v="13025926"/>
    <x v="66"/>
    <s v="0936462242"/>
    <n v="10616486"/>
    <x v="0"/>
    <x v="1"/>
  </r>
  <r>
    <x v="6"/>
    <x v="11"/>
    <n v="47"/>
    <s v="FW24"/>
    <s v="NECKLACE"/>
    <s v="FW24"/>
    <n v="1321732"/>
    <n v="1121326.8"/>
    <d v="2025-11-18T00:00:00"/>
    <n v="205035"/>
    <s v="RWT5296"/>
    <x v="4"/>
    <x v="4"/>
    <s v="WJEW"/>
    <n v="5296"/>
    <n v="1"/>
    <s v="Visa"/>
    <n v="6728000"/>
    <n v="6229630"/>
    <n v="0"/>
    <n v="0"/>
    <n v="0"/>
    <s v="Pham Thi Diem Trang "/>
    <s v="GEO-MOONSTONE NECKLACE"/>
    <s v="To Mai Lien"/>
    <s v="38"/>
    <n v="18"/>
    <s v="Moon"/>
    <n v="6728000"/>
    <s v="u"/>
    <n v="6229630"/>
    <x v="66"/>
    <s v="0936462242"/>
    <n v="4907898"/>
    <x v="0"/>
    <x v="1"/>
  </r>
  <r>
    <x v="6"/>
    <x v="11"/>
    <n v="47"/>
    <s v="FW24"/>
    <s v="NECKLACE"/>
    <s v="FW24"/>
    <n v="1620996"/>
    <n v="1478112.5999999999"/>
    <d v="2025-11-18T00:00:00"/>
    <n v="205015"/>
    <s v="RWT5296"/>
    <x v="4"/>
    <x v="4"/>
    <s v="WJEW"/>
    <n v="5296"/>
    <n v="1"/>
    <s v="Visa"/>
    <n v="8869000"/>
    <n v="8212037"/>
    <n v="0"/>
    <n v="0"/>
    <n v="0"/>
    <s v="Pham Thi Diem Trang "/>
    <s v="GEO-MOONSTONE NECKLACE"/>
    <s v="To Mai Lien"/>
    <s v="18"/>
    <n v="18"/>
    <s v="Moon"/>
    <n v="8869000"/>
    <s v="u"/>
    <n v="8212037"/>
    <x v="66"/>
    <s v="0936462242"/>
    <n v="6591041"/>
    <x v="0"/>
    <x v="1"/>
  </r>
  <r>
    <x v="6"/>
    <x v="11"/>
    <n v="48"/>
    <s v="FW25"/>
    <s v="EARRINGS"/>
    <s v="FW25"/>
    <n v="163790954"/>
    <n v="156937500"/>
    <d v="2025-11-24T00:00:00"/>
    <n v="217312"/>
    <s v="RHN3651"/>
    <x v="9"/>
    <x v="1"/>
    <s v="WJEW"/>
    <n v="3651"/>
    <n v="1"/>
    <s v="Payment on Account"/>
    <n v="420000000"/>
    <n v="388888889"/>
    <n v="1.47"/>
    <n v="5787037"/>
    <n v="6250000"/>
    <s v="Duong Ngoc Bich"/>
    <s v="VHN-ROSE GOLD AND JET EARRING INTERNAL"/>
    <s v="Nguyen Thanh Huong"/>
    <s v="0N0623B 610"/>
    <n v="10"/>
    <s v="GOLD"/>
    <n v="426250000"/>
    <m/>
    <n v="394675926"/>
    <x v="3"/>
    <s v="0912068618"/>
    <n v="225097935"/>
    <x v="0"/>
    <x v="1"/>
  </r>
  <r>
    <x v="6"/>
    <x v="11"/>
    <n v="48"/>
    <s v="SS24"/>
    <s v="EARRINGS"/>
    <s v="SS24"/>
    <n v="79474542"/>
    <n v="77199375"/>
    <d v="2025-11-28T00:00:00"/>
    <n v="205089"/>
    <s v="RHN3702"/>
    <x v="6"/>
    <x v="1"/>
    <s v="WJEW"/>
    <n v="3702"/>
    <n v="1"/>
    <s v="Visa"/>
    <n v="228461000"/>
    <n v="211537963"/>
    <n v="0"/>
    <n v="0"/>
    <n v="0"/>
    <s v="Nguyen Bich Ngoc"/>
    <s v="GVC-PINK GOLD P.OF EARRINGS W GOLD 13.40GR DIAMOND 1.09CT"/>
    <s v="Vu Minh Hang"/>
    <s v="B39513"/>
    <n v="15"/>
    <s v="GOLD/DIA"/>
    <n v="228461000"/>
    <s v="U"/>
    <n v="211537963"/>
    <x v="68"/>
    <s v="0903266674"/>
    <n v="132063421"/>
    <x v="0"/>
    <x v="1"/>
  </r>
  <r>
    <x v="6"/>
    <x v="11"/>
    <n v="48"/>
    <s v="FW24"/>
    <s v="EARRINGS"/>
    <s v="FW24"/>
    <n v="26398751"/>
    <n v="21210600.000000004"/>
    <d v="2025-11-29T00:00:00"/>
    <n v="210765"/>
    <s v="RHN3709"/>
    <x v="0"/>
    <x v="1"/>
    <s v="WACC"/>
    <n v="3709"/>
    <n v="1"/>
    <s v="Cash"/>
    <n v="64554000"/>
    <n v="59772222"/>
    <n v="0"/>
    <n v="0"/>
    <n v="0"/>
    <s v="Dang Thanh Huyen"/>
    <s v="SPK-ZAHRA MAX HOOP SILVER EARRINGS DIAMOND"/>
    <s v="Tran Thi Minh Vy"/>
    <s v="E-ZAMAXSSWD"/>
    <n v="10"/>
    <s v="SLIVER"/>
    <n v="64554000"/>
    <s v="U"/>
    <n v="59772222"/>
    <x v="14"/>
    <s v="0904399159"/>
    <n v="33373471"/>
    <x v="0"/>
    <x v="1"/>
  </r>
  <r>
    <x v="6"/>
    <x v="11"/>
    <n v="48"/>
    <s v="FW24"/>
    <s v="RING"/>
    <s v="FW24"/>
    <n v="108263388"/>
    <n v="110000000"/>
    <d v="2025-11-30T00:00:00"/>
    <n v="205070"/>
    <s v="RHN3730"/>
    <x v="5"/>
    <x v="1"/>
    <s v="WJEW"/>
    <n v="3730"/>
    <n v="1"/>
    <s v="Cash"/>
    <n v="363732000"/>
    <n v="336788889"/>
    <n v="0"/>
    <n v="0"/>
    <n v="0"/>
    <s v="Dang Thanh Huyen"/>
    <s v="ATS-PG Ring: brown diamond round 1,05ct + brown diamond 1,88ct / gmr gold 16.18 / size U"/>
    <s v="Pham Thanh Huong"/>
    <s v="88/01774R/CH"/>
    <n v="18"/>
    <s v="brown di"/>
    <n v="363732000"/>
    <s v="15"/>
    <n v="336788889"/>
    <x v="61"/>
    <m/>
    <n v="228525501"/>
    <x v="0"/>
    <x v="1"/>
  </r>
  <r>
    <x v="6"/>
    <x v="8"/>
    <n v="49"/>
    <s v="FW24"/>
    <s v="EARRINGS"/>
    <s v="FW24"/>
    <n v="34788304"/>
    <n v="35337500"/>
    <d v="2025-12-01T00:00:00"/>
    <n v="205077"/>
    <s v="RHN3742"/>
    <x v="5"/>
    <x v="1"/>
    <s v="WJEW"/>
    <n v="3742"/>
    <n v="1"/>
    <s v="Cash"/>
    <n v="119423550"/>
    <n v="110577361"/>
    <n v="5"/>
    <n v="5819861"/>
    <n v="6285450"/>
    <s v="Nguyen Bich Ngoc"/>
    <s v="ATS-PG Pr. of Earrings: diamond 0,06 G/VS + blue topaze 2,90ct + lemon quartz 34,17ct + pink sapphire 0,07ct / grm 7.27 / size U"/>
    <s v="Nguyen Thi Minh Hue"/>
    <s v="93/AW15186"/>
    <n v="19"/>
    <s v="lemon qu"/>
    <n v="125709000"/>
    <s v="U"/>
    <n v="116397222"/>
    <x v="61"/>
    <s v="0906159999"/>
    <n v="75789057"/>
    <x v="0"/>
    <x v="1"/>
  </r>
  <r>
    <x v="6"/>
    <x v="8"/>
    <n v="49"/>
    <s v="FW24"/>
    <s v="RING"/>
    <s v="FW24"/>
    <n v="30989154"/>
    <n v="31487500"/>
    <d v="2025-12-01T00:00:00"/>
    <n v="205076"/>
    <s v="RHN3742"/>
    <x v="5"/>
    <x v="1"/>
    <s v="WJEW"/>
    <n v="3742"/>
    <n v="1"/>
    <s v="Cash"/>
    <n v="109215800"/>
    <n v="101125741"/>
    <n v="5"/>
    <n v="5322407"/>
    <n v="5748200"/>
    <s v="Nguyen Bich Ngoc"/>
    <s v="ATS-PG Ring: diamond 0,08ct G/VS + blue topaze 1,87ct + lemon quartz 15,92ct + pink sapphire 0,08ct / grm 7.16 / size 13"/>
    <s v="Nguyen Thi Minh Hue"/>
    <s v="93/AW15187"/>
    <n v="19"/>
    <s v="lemon qu"/>
    <n v="114964000"/>
    <s v="13"/>
    <n v="106448148"/>
    <x v="61"/>
    <s v="0906159999"/>
    <n v="70136587"/>
    <x v="0"/>
    <x v="1"/>
  </r>
  <r>
    <x v="6"/>
    <x v="8"/>
    <n v="49"/>
    <s v="FW23"/>
    <s v="EARRINGS"/>
    <s v="FW23"/>
    <n v="37008358"/>
    <n v="33957000"/>
    <d v="2025-12-01T00:00:00"/>
    <n v="193282"/>
    <s v="RWR2397"/>
    <x v="8"/>
    <x v="0"/>
    <s v="WACC"/>
    <n v="2397"/>
    <n v="1"/>
    <s v="Bank Transfer"/>
    <n v="152210560"/>
    <n v="140935704"/>
    <n v="0"/>
    <n v="0"/>
    <n v="0"/>
    <s v="Nguyen Thi Khanh Ha"/>
    <s v="NAN - EARRINGS DIAMONDS pcs 68 ct 0.56"/>
    <s v="To Mai Lien"/>
    <s v="OS25-583"/>
    <n v="20"/>
    <s v="GG"/>
    <n v="152210560"/>
    <s v="U"/>
    <n v="140935704"/>
    <x v="15"/>
    <s v="0936462242"/>
    <n v="103927346"/>
    <x v="0"/>
    <x v="1"/>
  </r>
  <r>
    <x v="6"/>
    <x v="8"/>
    <n v="49"/>
    <s v="SS25"/>
    <s v="EARRINGS"/>
    <s v="SS25"/>
    <n v="242772904"/>
    <n v="237755250"/>
    <d v="2025-12-05T00:00:00"/>
    <n v="216112"/>
    <s v="RHN3760"/>
    <x v="9"/>
    <x v="1"/>
    <s v="WJEW"/>
    <n v="3760"/>
    <n v="1"/>
    <s v="Cash"/>
    <n v="732899000"/>
    <n v="678610185"/>
    <n v="0"/>
    <n v="0"/>
    <n v="0"/>
    <s v="Nguyen Bich Ngoc"/>
    <s v="VHN-OLIMPIA EARCLIPS WHITE GOLD BLACK DIAMOND"/>
    <s v="Hien Trang"/>
    <s v="MG1606B 051"/>
    <n v="11"/>
    <s v="WHITGOLD"/>
    <n v="270000000"/>
    <s v="OS"/>
    <n v="250000000"/>
    <x v="61"/>
    <s v="00000000001"/>
    <n v="435837281"/>
    <x v="0"/>
    <x v="1"/>
  </r>
  <r>
    <x v="6"/>
    <x v="8"/>
    <n v="49"/>
    <s v="FW25"/>
    <s v="RING"/>
    <s v="FW25"/>
    <n v="186066526"/>
    <n v="178281000"/>
    <d v="2025-12-05T00:00:00"/>
    <n v="217311"/>
    <s v="RHN3760"/>
    <x v="9"/>
    <x v="1"/>
    <s v="WJEW"/>
    <n v="3760"/>
    <n v="1"/>
    <s v="Cash"/>
    <n v="504680000"/>
    <n v="467296296"/>
    <n v="0"/>
    <n v="0"/>
    <n v="0"/>
    <s v="Nguyen Bich Ngoc"/>
    <s v="VHN-RING IN WHITE GOLD AND BLACK DIAMOND SIZE 54"/>
    <s v="Hien Trang"/>
    <s v="MG1801A 050"/>
    <n v="11"/>
    <s v="GOLD"/>
    <n v="210000000"/>
    <s v="54"/>
    <n v="194444444"/>
    <x v="61"/>
    <s v="00000000001"/>
    <n v="281229770"/>
    <x v="0"/>
    <x v="1"/>
  </r>
  <r>
    <x v="6"/>
    <x v="8"/>
    <n v="49"/>
    <s v="PS26"/>
    <s v="OTHER"/>
    <s v="SS26"/>
    <n v="41739327"/>
    <n v="40465100"/>
    <d v="2025-12-07T00:00:00"/>
    <n v="222534"/>
    <s v="RHN3767"/>
    <x v="9"/>
    <x v="1"/>
    <s v="WJEW"/>
    <n v="3767"/>
    <n v="1"/>
    <s v="Cash"/>
    <n v="109120000"/>
    <n v="101037037"/>
    <n v="0"/>
    <n v="0"/>
    <n v="0"/>
    <s v="Nguyen Thi Nghia"/>
    <s v="VHN-MON JEU LINK TITANIUM AND PINK SAPPHIRE "/>
    <s v="Nguyen Ha Anh"/>
    <s v="TG1332CO611 "/>
    <n v="10"/>
    <s v="TITANIUM"/>
    <n v="109120000"/>
    <s v="u"/>
    <n v="101037037"/>
    <x v="61"/>
    <s v="011112222"/>
    <n v="59297710"/>
    <x v="0"/>
    <x v="1"/>
  </r>
  <r>
    <x v="6"/>
    <x v="8"/>
    <n v="49"/>
    <s v="PS26"/>
    <s v="OTHER"/>
    <s v="SS26"/>
    <n v="41739327"/>
    <n v="40465100"/>
    <d v="2025-12-07T00:00:00"/>
    <n v="222535"/>
    <s v="RHN3767"/>
    <x v="9"/>
    <x v="1"/>
    <s v="WJEW"/>
    <n v="3767"/>
    <n v="1"/>
    <s v="Cash"/>
    <n v="109120000"/>
    <n v="101037037"/>
    <n v="0"/>
    <n v="0"/>
    <n v="0"/>
    <s v="Nguyen Thi Nghia"/>
    <s v="VHN-MON JEU LINK TITANIUM AND TSAVORITE"/>
    <s v="Nguyen Ha Anh"/>
    <s v="TG1332CO614 "/>
    <n v="10"/>
    <s v="TITANIUM"/>
    <n v="109120000"/>
    <s v="u"/>
    <n v="101037037"/>
    <x v="61"/>
    <s v="011112222"/>
    <n v="59297710"/>
    <x v="0"/>
    <x v="1"/>
  </r>
  <r>
    <x v="6"/>
    <x v="8"/>
    <n v="50"/>
    <s v="FW24"/>
    <s v="NECKLACE"/>
    <s v="FW24"/>
    <n v="1620996"/>
    <n v="1478112.5999999999"/>
    <d v="2025-12-09T00:00:00"/>
    <n v="205022"/>
    <s v="RWT5639"/>
    <x v="4"/>
    <x v="4"/>
    <s v="WJEW"/>
    <n v="5639"/>
    <n v="1"/>
    <s v="Visa"/>
    <n v="8869000"/>
    <n v="8212037"/>
    <n v="0"/>
    <n v="0"/>
    <n v="0"/>
    <s v="Chau Hue Thuong"/>
    <s v="GEO-CORNELIAN HORN NECKLACE"/>
    <s v="Nguyen Thi Giau"/>
    <s v="25"/>
    <n v="20"/>
    <s v="Red"/>
    <n v="8869000"/>
    <s v="u"/>
    <n v="8212037"/>
    <x v="52"/>
    <s v="0907137144"/>
    <n v="6591041"/>
    <x v="0"/>
    <x v="0"/>
  </r>
  <r>
    <x v="6"/>
    <x v="8"/>
    <n v="50"/>
    <s v="FW24"/>
    <s v="NECKLACE"/>
    <s v="FW24"/>
    <n v="1190323"/>
    <n v="968418.6"/>
    <d v="2025-12-09T00:00:00"/>
    <n v="205032"/>
    <s v="RWT5639"/>
    <x v="4"/>
    <x v="4"/>
    <s v="WJEW"/>
    <n v="5639"/>
    <n v="1"/>
    <s v="Visa"/>
    <n v="5811000"/>
    <n v="5380556"/>
    <n v="0"/>
    <n v="0"/>
    <n v="0"/>
    <s v="Chau Hue Thuong"/>
    <s v="GEO-WHITE AGATE NECKLACE"/>
    <s v="Nguyen Thi Giau"/>
    <s v="35"/>
    <n v="20"/>
    <s v="White"/>
    <n v="5811000"/>
    <s v="u"/>
    <n v="5380556"/>
    <x v="52"/>
    <s v="0907137144"/>
    <n v="4190233"/>
    <x v="0"/>
    <x v="0"/>
  </r>
  <r>
    <x v="6"/>
    <x v="8"/>
    <n v="50"/>
    <s v="FW24"/>
    <s v="NECKLACE"/>
    <s v="FW24"/>
    <n v="1620996"/>
    <n v="1478112.5999999999"/>
    <d v="2025-12-09T00:00:00"/>
    <n v="205027"/>
    <s v="RWT5639"/>
    <x v="4"/>
    <x v="4"/>
    <s v="WJEW"/>
    <n v="5639"/>
    <n v="1"/>
    <s v="Visa"/>
    <n v="8869000"/>
    <n v="8212037"/>
    <n v="0"/>
    <n v="0"/>
    <n v="0"/>
    <s v="Chau Hue Thuong"/>
    <s v="GEO-MOONSTONE NECKLACE"/>
    <s v="Nguyen Thi Giau"/>
    <s v="30"/>
    <n v="20"/>
    <s v="Moon"/>
    <n v="8869000"/>
    <s v="u"/>
    <n v="8212037"/>
    <x v="52"/>
    <s v="0907137144"/>
    <n v="6591041"/>
    <x v="0"/>
    <x v="0"/>
  </r>
  <r>
    <x v="6"/>
    <x v="8"/>
    <n v="51"/>
    <s v="SS25"/>
    <s v="RING"/>
    <s v="SS25"/>
    <n v="35489834"/>
    <n v="34050375"/>
    <d v="2025-12-18T00:00:00"/>
    <n v="211223"/>
    <s v="RWR2454"/>
    <x v="9"/>
    <x v="0"/>
    <s v="WJEW"/>
    <n v="2454"/>
    <n v="1"/>
    <s v="Visa"/>
    <n v="102044250"/>
    <n v="94485417"/>
    <n v="5"/>
    <n v="4972917"/>
    <n v="5370750"/>
    <s v="Nguyen Kim Huong"/>
    <s v="VHN-FRECCIA RING"/>
    <s v="Le Thu Ngan"/>
    <s v="0N1601A 254"/>
    <n v="12"/>
    <s v="GOLDLAPI"/>
    <n v="107415000"/>
    <s v="53"/>
    <n v="99458333"/>
    <x v="59"/>
    <s v="0983352011"/>
    <n v="58995583"/>
    <x v="0"/>
    <x v="1"/>
  </r>
  <r>
    <x v="6"/>
    <x v="8"/>
    <n v="51"/>
    <s v="SS25"/>
    <s v="RING"/>
    <s v="SS25"/>
    <n v="35489834"/>
    <n v="34050375"/>
    <d v="2025-12-18T00:00:00"/>
    <n v="211222"/>
    <s v="RWR2454"/>
    <x v="9"/>
    <x v="0"/>
    <s v="WJEW"/>
    <n v="2454"/>
    <n v="1"/>
    <s v="Visa"/>
    <n v="102044250"/>
    <n v="94485417"/>
    <n v="5"/>
    <n v="4972917"/>
    <n v="5370750"/>
    <s v="Nguyen Kim Huong"/>
    <s v="VHN-FRECCIA RING"/>
    <s v="Le Thu Ngan"/>
    <s v="0N1601A 250"/>
    <n v="12"/>
    <s v="GOLDPEAR"/>
    <n v="107415000"/>
    <s v="51"/>
    <n v="99458333"/>
    <x v="59"/>
    <s v="0983352011"/>
    <n v="58995583"/>
    <x v="0"/>
    <x v="1"/>
  </r>
  <r>
    <x v="6"/>
    <x v="8"/>
    <n v="51"/>
    <s v="PS26"/>
    <s v="EARRINGS"/>
    <s v="SS26"/>
    <n v="40393026"/>
    <n v="39159900"/>
    <d v="2025-12-19T00:00:00"/>
    <n v="222532"/>
    <s v="RHN3802"/>
    <x v="9"/>
    <x v="1"/>
    <s v="WJEW"/>
    <n v="3802"/>
    <n v="1"/>
    <s v="Cash"/>
    <n v="107250000"/>
    <n v="99305556"/>
    <n v="0"/>
    <n v="0"/>
    <n v="0"/>
    <s v="Nguyen Thi Nghia"/>
    <s v="VHN-MON JEU EARCLIPS PINK GOLD"/>
    <s v="Hoang Lan"/>
    <s v="001332B 100"/>
    <n v="10"/>
    <s v="PINK GOL"/>
    <n v="107250000"/>
    <s v="u"/>
    <n v="99305556"/>
    <x v="61"/>
    <m/>
    <n v="58912530"/>
    <x v="0"/>
    <x v="1"/>
  </r>
  <r>
    <x v="6"/>
    <x v="8"/>
    <n v="51"/>
    <s v="PS26"/>
    <s v="OTHER"/>
    <s v="SS26"/>
    <n v="20196513.09090909"/>
    <n v="19579950"/>
    <d v="2025-12-19T00:00:00"/>
    <n v="222533"/>
    <s v="RHN3802"/>
    <x v="9"/>
    <x v="1"/>
    <s v="WJEW"/>
    <n v="3802"/>
    <n v="2"/>
    <s v="Cash"/>
    <n v="53626000"/>
    <n v="49653704"/>
    <n v="0"/>
    <n v="0"/>
    <n v="0"/>
    <s v="Nguyen Thi Nghia"/>
    <s v="VHN-MON JEU LINK PINK GOLD"/>
    <s v="Hoang Lan"/>
    <s v="001332CO100"/>
    <n v="10"/>
    <s v="PINK GOL"/>
    <n v="53626000"/>
    <s v="u"/>
    <n v="49653704"/>
    <x v="61"/>
    <m/>
    <n v="29457190.90909091"/>
    <x v="0"/>
    <x v="1"/>
  </r>
  <r>
    <x v="6"/>
    <x v="8"/>
    <n v="52"/>
    <s v="SS25"/>
    <s v="EARRINGS"/>
    <s v="SS25"/>
    <n v="48346529"/>
    <n v="45997875"/>
    <d v="2025-12-24T00:00:00"/>
    <n v="211111"/>
    <s v="RHN3839"/>
    <x v="9"/>
    <x v="1"/>
    <s v="WJEW"/>
    <n v="3839"/>
    <n v="1"/>
    <s v="MC"/>
    <n v="143220000"/>
    <n v="132611111"/>
    <n v="0"/>
    <n v="0"/>
    <n v="0"/>
    <s v="Nguyen Bich Ngoc"/>
    <s v="VHN-FRECCIA EARRINGS"/>
    <s v="Do Thanh Hoa"/>
    <s v="0N1601B 250"/>
    <n v="18"/>
    <s v="PINKGOLD"/>
    <n v="143220000"/>
    <s v="u"/>
    <n v="132611111"/>
    <x v="64"/>
    <s v="0904374728"/>
    <n v="84264582"/>
    <x v="0"/>
    <x v="1"/>
  </r>
  <r>
    <x v="6"/>
    <x v="8"/>
    <n v="53"/>
    <s v="FW25"/>
    <s v="EARRINGS"/>
    <s v="FW25"/>
    <n v="313168305"/>
    <n v="300064500"/>
    <d v="2025-12-30T00:00:00"/>
    <n v="217300"/>
    <s v="RWR2520"/>
    <x v="9"/>
    <x v="0"/>
    <s v="WJEW"/>
    <n v="2520"/>
    <n v="1"/>
    <s v="Charge"/>
    <n v="845680000"/>
    <n v="783037037"/>
    <n v="0"/>
    <n v="0"/>
    <n v="0"/>
    <s v="Nguyen Thi Khanh Ha"/>
    <s v="VHN-EARLIPS WHITE GOLD BLACK DIAMONDS SIZE U"/>
    <s v="Phan Lan Phuong"/>
    <s v="MG1800B 050"/>
    <n v="18"/>
    <s v="GOLD"/>
    <n v="845680000"/>
    <m/>
    <n v="783037037"/>
    <x v="15"/>
    <s v="0977317777"/>
    <n v="469868732"/>
    <x v="0"/>
    <x v="1"/>
  </r>
  <r>
    <x v="6"/>
    <x v="8"/>
    <n v="53"/>
    <s v="SS25"/>
    <s v="RING"/>
    <s v="SS25"/>
    <n v="76583325"/>
    <n v="73477125"/>
    <d v="2025-12-31T00:00:00"/>
    <n v="211213"/>
    <s v="RWR2527"/>
    <x v="9"/>
    <x v="0"/>
    <s v="WJEW"/>
    <n v="2527"/>
    <n v="1"/>
    <s v="Bank Transfer"/>
    <n v="212187250"/>
    <n v="196469676"/>
    <n v="5"/>
    <n v="10340509"/>
    <n v="11167750"/>
    <s v="Nguyen Thi Khanh Ha"/>
    <s v="VHN-PIROUETTE E RING"/>
    <s v="Le Thu Ngan"/>
    <s v="000623A 600"/>
    <n v="16"/>
    <s v="GOLDDIAM"/>
    <n v="223355000"/>
    <s v="52"/>
    <n v="206810185"/>
    <x v="59"/>
    <s v="0983352011"/>
    <n v="119886351"/>
    <x v="0"/>
    <x v="1"/>
  </r>
  <r>
    <x v="7"/>
    <x v="0"/>
    <n v="1"/>
    <s v="SS26"/>
    <s v="NECKLACE"/>
    <s v="SS26"/>
    <n v="28276064"/>
    <n v="25061400"/>
    <d v="2026-01-01T00:00:00"/>
    <n v="225197"/>
    <s v="RHN3892"/>
    <x v="9"/>
    <x v="1"/>
    <s v="WJEW"/>
    <n v="3892"/>
    <n v="1"/>
    <s v="Cash"/>
    <n v="67584000"/>
    <n v="62577778"/>
    <n v="0"/>
    <n v="0"/>
    <n v="0"/>
    <s v="Dang Thanh Huyen"/>
    <s v="VHN-MON JEU BLACK TITANIUM 20 LINKS NECKLACE"/>
    <s v="Hien Trang"/>
    <s v="T01332CO630x24"/>
    <n v="13"/>
    <s v="TITANIUM"/>
    <n v="67584000"/>
    <s v="u"/>
    <n v="62577778"/>
    <x v="61"/>
    <s v="00000000001"/>
    <n v="34301714"/>
    <x v="0"/>
    <x v="1"/>
  </r>
  <r>
    <x v="7"/>
    <x v="0"/>
    <n v="1"/>
    <s v="PS26"/>
    <s v="OTHER"/>
    <s v="SS26"/>
    <n v="20196513.09090909"/>
    <n v="19579950"/>
    <d v="2026-01-01T00:00:00"/>
    <n v="222533"/>
    <s v="RHN3892"/>
    <x v="9"/>
    <x v="1"/>
    <s v="WJEW"/>
    <n v="3892"/>
    <n v="2"/>
    <s v="Cash"/>
    <n v="53626000"/>
    <n v="49653704"/>
    <n v="16.670000000000002"/>
    <n v="9929630"/>
    <n v="10724000"/>
    <s v="Dang Thanh Huyen"/>
    <s v="VHN-MON JEU LINK PINK GOLD"/>
    <s v="Hien Trang"/>
    <s v="001332CO100"/>
    <n v="13"/>
    <s v="PINK GOL"/>
    <n v="64350000"/>
    <s v="u"/>
    <n v="59583333"/>
    <x v="61"/>
    <s v="00000000001"/>
    <n v="29457190.90909091"/>
    <x v="0"/>
    <x v="1"/>
  </r>
  <r>
    <x v="7"/>
    <x v="0"/>
    <n v="1"/>
    <s v="SS25"/>
    <s v="RING"/>
    <s v="SS25"/>
    <n v="-76583325"/>
    <n v="-73477125"/>
    <d v="2026-01-03T00:00:00"/>
    <n v="211213"/>
    <s v="RWR2545"/>
    <x v="9"/>
    <x v="0"/>
    <s v="WJEW"/>
    <n v="2545"/>
    <n v="-1"/>
    <s v="Payment on Account"/>
    <n v="-212187250"/>
    <n v="-196469676"/>
    <n v="5"/>
    <n v="-10340509"/>
    <n v="-11167750"/>
    <s v="Nguyen Thi Khanh Ha"/>
    <s v="VHN-PIROUETTE E RING"/>
    <s v="Le Thu Ngan"/>
    <s v="000623A 600"/>
    <n v="17"/>
    <s v="GOLDDIAM"/>
    <n v="-223355000"/>
    <s v="52"/>
    <n v="-206810185"/>
    <x v="59"/>
    <s v="0983352011"/>
    <n v="-119886351"/>
    <x v="0"/>
    <x v="1"/>
  </r>
  <r>
    <x v="7"/>
    <x v="0"/>
    <n v="1"/>
    <s v="SS25"/>
    <s v="RING"/>
    <s v="SS25"/>
    <n v="76583325"/>
    <n v="73477125"/>
    <d v="2026-01-03T00:00:00"/>
    <n v="211212"/>
    <s v="RWR2546"/>
    <x v="9"/>
    <x v="0"/>
    <s v="WJEW"/>
    <n v="2546"/>
    <n v="1"/>
    <s v="Payment on Account"/>
    <n v="212187250"/>
    <n v="196469676"/>
    <n v="23.42"/>
    <n v="60070139"/>
    <n v="64875750"/>
    <s v="Nguyen Thi Khanh Ha"/>
    <s v="VHN-PIROUETTE E RING"/>
    <s v="Le Thu Ngan"/>
    <s v="000623A 600"/>
    <n v="17"/>
    <s v="GOLDDIAM"/>
    <n v="277063000"/>
    <s v="53"/>
    <n v="256539815"/>
    <x v="59"/>
    <s v="0983352011"/>
    <n v="119886351"/>
    <x v="0"/>
    <x v="1"/>
  </r>
  <r>
    <x v="7"/>
    <x v="0"/>
    <n v="1"/>
    <s v="SS23"/>
    <s v="RING"/>
    <s v="SS23"/>
    <n v="4796221"/>
    <n v="4320000"/>
    <d v="2026-01-03T00:00:00"/>
    <n v="182173"/>
    <s v="RWT5965"/>
    <x v="7"/>
    <x v="4"/>
    <s v="WACC"/>
    <n v="5965"/>
    <n v="1"/>
    <s v="Visa"/>
    <n v="17972000"/>
    <n v="16640741"/>
    <n v="0"/>
    <n v="0"/>
    <n v="0"/>
    <s v="Vuong Que Chau"/>
    <s v="MAL -ENGRAVED SILVER RING WITH ONE LARGE NATURAL DROP AND ONE NATURAL STONE EMERALD CUT   LARGE DROP: ROCK CRYSTAL  EMERALD CUT: ROCK CRYSTAL   TG 11"/>
    <s v="Doan Thi Thu Thuy"/>
    <s v="AA0072/V1"/>
    <n v="18"/>
    <s v="ROCK CRY"/>
    <n v="17972000"/>
    <s v="11"/>
    <n v="16640741"/>
    <x v="26"/>
    <s v="0933180538"/>
    <n v="11844520"/>
    <x v="0"/>
    <x v="0"/>
  </r>
  <r>
    <x v="7"/>
    <x v="0"/>
    <n v="1"/>
    <s v="SS24"/>
    <s v="RING"/>
    <s v="SS24"/>
    <n v="4288646"/>
    <n v="3990000"/>
    <d v="2026-01-04T00:00:00"/>
    <n v="208260"/>
    <s v="RWT5985"/>
    <x v="7"/>
    <x v="4"/>
    <s v="WACC"/>
    <n v="5985"/>
    <n v="1"/>
    <s v="Visa"/>
    <n v="16599000"/>
    <n v="15369444"/>
    <n v="0"/>
    <n v="0"/>
    <n v="0"/>
    <s v="Nguyen Van Thai"/>
    <s v="LUI - SILVER RING CARVED WITH 10 EMERALD-CUT STONES (6 X 4) SMOKEY QUARTZ"/>
    <s v="Do Thanh Hien"/>
    <s v="AA0138/V1"/>
    <n v="21"/>
    <s v="SMOKY"/>
    <n v="16599000"/>
    <s v="13"/>
    <n v="15369444"/>
    <x v="52"/>
    <s v="0908329582"/>
    <n v="11080798"/>
    <x v="0"/>
    <x v="0"/>
  </r>
  <r>
    <x v="7"/>
    <x v="0"/>
    <n v="1"/>
    <s v="SS24"/>
    <s v="RING"/>
    <s v="SS24"/>
    <n v="3064182"/>
    <n v="2850000"/>
    <d v="2026-01-04T00:00:00"/>
    <n v="208246"/>
    <s v="RWT5985"/>
    <x v="7"/>
    <x v="4"/>
    <s v="WACC"/>
    <n v="5985"/>
    <n v="1"/>
    <s v="Visa"/>
    <n v="11856000"/>
    <n v="10977778"/>
    <n v="0"/>
    <n v="0"/>
    <n v="0"/>
    <s v="Nguyen Van Thai"/>
    <s v="LUI - SILVER RING WITH 2 PEARLS AND A STONE  SMOKY QUARTZ "/>
    <s v="Do Thanh Hien"/>
    <s v="AA0121/V1"/>
    <n v="21"/>
    <s v="SMOKY, W"/>
    <n v="11856000"/>
    <s v="13"/>
    <n v="10977778"/>
    <x v="52"/>
    <s v="0908329582"/>
    <n v="7913596"/>
    <x v="0"/>
    <x v="0"/>
  </r>
  <r>
    <x v="7"/>
    <x v="0"/>
    <n v="1"/>
    <s v="SS26"/>
    <s v="NECKLACE"/>
    <s v="SS26"/>
    <n v="28276064"/>
    <n v="25061400"/>
    <d v="2026-01-01T00:00:00"/>
    <n v="225197"/>
    <s v="RHN3892"/>
    <x v="9"/>
    <x v="1"/>
    <s v="WJEW"/>
    <n v="3892"/>
    <n v="1"/>
    <s v="Cash"/>
    <n v="67584000"/>
    <n v="62577778"/>
    <n v="0"/>
    <n v="0"/>
    <n v="0"/>
    <s v="Dang Thanh Huyen"/>
    <s v="VHN-MON JEU BLACK TITANIUM 20 LINKS NECKLACE"/>
    <s v="Hien Trang"/>
    <s v="T01332CO630x24"/>
    <n v="13"/>
    <s v="TITANIUM"/>
    <n v="67584000"/>
    <s v="u"/>
    <n v="62577778"/>
    <x v="61"/>
    <s v="00000000001"/>
    <n v="34301714"/>
    <x v="0"/>
    <x v="1"/>
  </r>
  <r>
    <x v="7"/>
    <x v="0"/>
    <n v="1"/>
    <s v="PS26"/>
    <s v="OTHER"/>
    <s v="SS26"/>
    <n v="20196513.09090909"/>
    <n v="19579950"/>
    <d v="2026-01-01T00:00:00"/>
    <n v="222533"/>
    <s v="RHN3892"/>
    <x v="9"/>
    <x v="1"/>
    <s v="WJEW"/>
    <n v="3892"/>
    <n v="2"/>
    <s v="Cash"/>
    <n v="53626000"/>
    <n v="49653704"/>
    <n v="16.670000000000002"/>
    <n v="9929630"/>
    <n v="10724000"/>
    <s v="Dang Thanh Huyen"/>
    <s v="VHN-MON JEU LINK PINK GOLD"/>
    <s v="Hien Trang"/>
    <s v="001332CO100"/>
    <n v="13"/>
    <s v="PINK GOL"/>
    <n v="64350000"/>
    <s v="u"/>
    <n v="59583333"/>
    <x v="61"/>
    <s v="00000000001"/>
    <n v="29457190.90909091"/>
    <x v="0"/>
    <x v="1"/>
  </r>
  <r>
    <x v="7"/>
    <x v="0"/>
    <n v="1"/>
    <s v="SS25"/>
    <s v="RING"/>
    <s v="SS25"/>
    <n v="-76583325"/>
    <n v="-73477125"/>
    <d v="2026-01-03T00:00:00"/>
    <n v="211213"/>
    <s v="RWR2545"/>
    <x v="9"/>
    <x v="0"/>
    <s v="WJEW"/>
    <n v="2545"/>
    <n v="-1"/>
    <s v="Payment on Account"/>
    <n v="-212187250"/>
    <n v="-196469676"/>
    <n v="5"/>
    <n v="-10340509"/>
    <n v="-11167750"/>
    <s v="Nguyen Thi Khanh Ha"/>
    <s v="VHN-PIROUETTE E RING"/>
    <s v="Le Thu Ngan"/>
    <s v="000623A 600"/>
    <n v="17"/>
    <s v="GOLDDIAM"/>
    <n v="-223355000"/>
    <s v="52"/>
    <n v="-206810185"/>
    <x v="59"/>
    <s v="0983352011"/>
    <n v="-119886351"/>
    <x v="0"/>
    <x v="1"/>
  </r>
  <r>
    <x v="7"/>
    <x v="0"/>
    <n v="1"/>
    <s v="SS25"/>
    <s v="RING"/>
    <s v="SS25"/>
    <n v="76583325"/>
    <n v="73477125"/>
    <d v="2026-01-03T00:00:00"/>
    <n v="211212"/>
    <s v="RWR2546"/>
    <x v="9"/>
    <x v="0"/>
    <s v="WJEW"/>
    <n v="2546"/>
    <n v="1"/>
    <s v="Payment on Account"/>
    <n v="212187250"/>
    <n v="196469676"/>
    <n v="23.42"/>
    <n v="60070139"/>
    <n v="64875750"/>
    <s v="Nguyen Thi Khanh Ha"/>
    <s v="VHN-PIROUETTE E RING"/>
    <s v="Le Thu Ngan"/>
    <s v="000623A 600"/>
    <n v="17"/>
    <s v="GOLDDIAM"/>
    <n v="277063000"/>
    <s v="53"/>
    <n v="256539815"/>
    <x v="59"/>
    <s v="0983352011"/>
    <n v="119886351"/>
    <x v="0"/>
    <x v="1"/>
  </r>
  <r>
    <x v="7"/>
    <x v="0"/>
    <n v="1"/>
    <s v="SS23"/>
    <s v="RING"/>
    <s v="SS23"/>
    <n v="4796221"/>
    <n v="4320000"/>
    <d v="2026-01-03T00:00:00"/>
    <n v="182173"/>
    <s v="RWT5965"/>
    <x v="7"/>
    <x v="4"/>
    <s v="WACC"/>
    <n v="5965"/>
    <n v="1"/>
    <s v="Visa"/>
    <n v="17972000"/>
    <n v="16640741"/>
    <n v="0"/>
    <n v="0"/>
    <n v="0"/>
    <s v="Vuong Que Chau"/>
    <s v="MAL -ENGRAVED SILVER RING WITH ONE LARGE NATURAL DROP AND ONE NATURAL STONE EMERALD CUT   LARGE DROP: ROCK CRYSTAL  EMERALD CUT: ROCK CRYSTAL   TG 11"/>
    <s v="Doan Thi Thu Thuy"/>
    <s v="AA0072/V1"/>
    <n v="18"/>
    <s v="ROCK CRY"/>
    <n v="17972000"/>
    <s v="11"/>
    <n v="16640741"/>
    <x v="26"/>
    <s v="0933180538"/>
    <n v="11844520"/>
    <x v="0"/>
    <x v="0"/>
  </r>
  <r>
    <x v="7"/>
    <x v="0"/>
    <n v="1"/>
    <s v="SS24"/>
    <s v="RING"/>
    <s v="SS24"/>
    <n v="4288646"/>
    <n v="3990000"/>
    <d v="2026-01-04T00:00:00"/>
    <n v="208260"/>
    <s v="RWT5985"/>
    <x v="7"/>
    <x v="4"/>
    <s v="WACC"/>
    <n v="5985"/>
    <n v="1"/>
    <s v="Visa"/>
    <n v="16599000"/>
    <n v="15369444"/>
    <n v="0"/>
    <n v="0"/>
    <n v="0"/>
    <s v="Nguyen Van Thai"/>
    <s v="LUI - SILVER RING CARVED WITH 10 EMERALD-CUT STONES (6 X 4) SMOKEY QUARTZ"/>
    <s v="Do Thanh Hien"/>
    <s v="AA0138/V1"/>
    <n v="21"/>
    <s v="SMOKY"/>
    <n v="16599000"/>
    <s v="13"/>
    <n v="15369444"/>
    <x v="52"/>
    <s v="0908329582"/>
    <n v="11080798"/>
    <x v="0"/>
    <x v="0"/>
  </r>
  <r>
    <x v="7"/>
    <x v="0"/>
    <n v="1"/>
    <s v="SS24"/>
    <s v="RING"/>
    <s v="SS24"/>
    <n v="3064182"/>
    <n v="2850000"/>
    <d v="2026-01-04T00:00:00"/>
    <n v="208246"/>
    <s v="RWT5985"/>
    <x v="7"/>
    <x v="4"/>
    <s v="WACC"/>
    <n v="5985"/>
    <n v="1"/>
    <s v="Visa"/>
    <n v="11856000"/>
    <n v="10977778"/>
    <n v="0"/>
    <n v="0"/>
    <n v="0"/>
    <s v="Nguyen Van Thai"/>
    <s v="LUI - SILVER RING WITH 2 PEARLS AND A STONE  SMOKY QUARTZ "/>
    <s v="Do Thanh Hien"/>
    <s v="AA0121/V1"/>
    <n v="21"/>
    <s v="SMOKY, W"/>
    <n v="11856000"/>
    <s v="13"/>
    <n v="10977778"/>
    <x v="52"/>
    <s v="0908329582"/>
    <n v="7913596"/>
    <x v="0"/>
    <x v="0"/>
  </r>
  <r>
    <x v="7"/>
    <x v="0"/>
    <n v="2"/>
    <s v="SS26"/>
    <s v="EARRINGS"/>
    <s v="SS26"/>
    <n v="6160855.5"/>
    <n v="5850000"/>
    <d v="2026-01-05T00:00:00"/>
    <n v="223701"/>
    <s v="RHN3933"/>
    <x v="10"/>
    <x v="1"/>
    <s v="WJEW"/>
    <n v="3933"/>
    <n v="1"/>
    <s v="MC"/>
    <n v="17160000"/>
    <n v="15888889"/>
    <n v="0"/>
    <n v="0"/>
    <n v="0"/>
    <s v="Nguyen Thi Nghia"/>
    <s v="BRT-EAR CUFF LINEA PEARL"/>
    <s v="Do Thanh Hoa"/>
    <s v="CJ533"/>
    <n v="17"/>
    <s v="ROSE GOL"/>
    <n v="17160000"/>
    <s v="u"/>
    <n v="15888889"/>
    <x v="10"/>
    <s v="0904374728"/>
    <n v="9728033.5"/>
    <x v="0"/>
    <x v="1"/>
  </r>
  <r>
    <x v="7"/>
    <x v="0"/>
    <n v="2"/>
    <s v="SS26"/>
    <s v="EARRINGS"/>
    <s v="SS26"/>
    <n v="22795218"/>
    <n v="21703500.000000004"/>
    <d v="2026-01-05T00:00:00"/>
    <n v="225168"/>
    <s v="RHN3933"/>
    <x v="8"/>
    <x v="1"/>
    <s v="WJEW"/>
    <n v="3933"/>
    <n v="1"/>
    <s v="MC"/>
    <n v="67005000"/>
    <n v="62041667"/>
    <n v="0"/>
    <n v="0"/>
    <n v="0"/>
    <s v="Nguyen Thi Nghia"/>
    <s v="NAN-MYSTERY BLACK EARRINGS"/>
    <s v="Do Thanh Hoa"/>
    <s v="OS30-587_IN_GG"/>
    <n v="17"/>
    <s v="GG"/>
    <n v="67005000"/>
    <s v="U"/>
    <n v="62041667"/>
    <x v="10"/>
    <s v="0904374728"/>
    <n v="39246449"/>
    <x v="0"/>
    <x v="1"/>
  </r>
  <r>
    <x v="7"/>
    <x v="0"/>
    <n v="2"/>
    <s v="SS26"/>
    <s v="RING"/>
    <s v="SS26"/>
    <n v="28755154"/>
    <n v="27378000"/>
    <d v="2026-01-05T00:00:00"/>
    <n v="225169"/>
    <s v="RHN3933"/>
    <x v="8"/>
    <x v="1"/>
    <s v="WJEW"/>
    <n v="3933"/>
    <n v="1"/>
    <s v="MC"/>
    <n v="85345000"/>
    <n v="79023148"/>
    <n v="0"/>
    <n v="0"/>
    <n v="0"/>
    <s v="Nguyen Thi Nghia"/>
    <s v="NAN-MYSTERY BLACK RING SIZE 14"/>
    <s v="Do Thanh Hoa"/>
    <s v="AS53-597_IN_GG"/>
    <n v="17"/>
    <s v="GG"/>
    <n v="85345000"/>
    <s v="14"/>
    <n v="79023148"/>
    <x v="10"/>
    <s v="0904374728"/>
    <n v="50267994"/>
    <x v="0"/>
    <x v="1"/>
  </r>
  <r>
    <x v="7"/>
    <x v="0"/>
    <n v="2"/>
    <s v="SS24"/>
    <s v="NECKLACE"/>
    <s v="SS24"/>
    <n v="29728722"/>
    <n v="31459725"/>
    <d v="2026-01-05T00:00:00"/>
    <n v="206895"/>
    <s v="RHN3935"/>
    <x v="8"/>
    <x v="1"/>
    <s v="WACC"/>
    <n v="3935"/>
    <n v="1"/>
    <s v="Bank Transfer"/>
    <n v="134349950"/>
    <n v="124398102"/>
    <n v="5"/>
    <n v="6547269"/>
    <n v="7071050"/>
    <s v="Nguyen Thi Nghia"/>
    <s v="NAN - “SPECIAL EDITION” NECKLACE GOLD 18K 8.10 AND AQUAMARINE 11.00CT"/>
    <s v="Nguyen Thi Minh Hue"/>
    <s v="CN2-587"/>
    <n v="20"/>
    <s v="GG IN"/>
    <n v="141421000"/>
    <s v="950"/>
    <n v="130945370"/>
    <x v="61"/>
    <s v="0906159999"/>
    <n v="94669380"/>
    <x v="0"/>
    <x v="1"/>
  </r>
  <r>
    <x v="7"/>
    <x v="0"/>
    <n v="2"/>
    <s v="SS26"/>
    <s v="RING"/>
    <s v="SS26"/>
    <n v="57110930"/>
    <n v="54375750.000000007"/>
    <d v="2026-01-05T00:00:00"/>
    <n v="225181"/>
    <s v="RHN3935"/>
    <x v="8"/>
    <x v="1"/>
    <s v="WJEW"/>
    <n v="3935"/>
    <n v="1"/>
    <s v="Bank Transfer"/>
    <n v="171629850"/>
    <n v="158916528"/>
    <n v="5"/>
    <n v="8364028"/>
    <n v="9033150"/>
    <s v="Nguyen Thi Nghia"/>
    <s v="NAN-IPANEMA  RING SIZE 15"/>
    <s v="Nguyen Thi Minh Hue"/>
    <s v="AH20-612_LU_GG"/>
    <n v="20"/>
    <s v="GG"/>
    <n v="180663000"/>
    <s v="15"/>
    <n v="167280556"/>
    <x v="61"/>
    <s v="0906159999"/>
    <n v="101805598"/>
    <x v="0"/>
    <x v="1"/>
  </r>
  <r>
    <x v="7"/>
    <x v="0"/>
    <n v="2"/>
    <s v="SS26"/>
    <s v="RING"/>
    <s v="SS26"/>
    <n v="31612236"/>
    <n v="30098250"/>
    <d v="2026-01-06T00:00:00"/>
    <n v="225154"/>
    <s v="RHN3936"/>
    <x v="8"/>
    <x v="1"/>
    <s v="WJEW"/>
    <n v="3936"/>
    <n v="1"/>
    <s v="Bank Transfer"/>
    <n v="92157600"/>
    <n v="85331111"/>
    <n v="5"/>
    <n v="4491111"/>
    <n v="4850400"/>
    <s v="Duong Ngoc Bich"/>
    <s v="NAN-BOULES RING SIZE 13"/>
    <s v="Pham Thi Anh Tuyet"/>
    <s v="AS5-609_IN_GG"/>
    <n v="11"/>
    <s v="GG"/>
    <n v="97008000"/>
    <s v="13"/>
    <n v="89822222"/>
    <x v="61"/>
    <s v="0904005226"/>
    <n v="53718875"/>
    <x v="0"/>
    <x v="1"/>
  </r>
  <r>
    <x v="7"/>
    <x v="0"/>
    <n v="2"/>
    <s v="SS26"/>
    <s v="RING"/>
    <s v="SS26"/>
    <n v="187852500.00000003"/>
    <n v="170775000"/>
    <d v="2026-01-07T00:00:00"/>
    <n v="225200"/>
    <s v="RHN3941"/>
    <x v="2"/>
    <x v="1"/>
    <s v="WJEW"/>
    <n v="3941"/>
    <n v="1"/>
    <s v="Cash"/>
    <n v="489060000"/>
    <n v="452833333"/>
    <n v="0"/>
    <n v="0"/>
    <n v="0"/>
    <s v="Nguyen Trung Hieu"/>
    <s v="NAK ARMSTRONG-FOLD OVER MOSAIC RING SIZE 6.5"/>
    <s v="Hien Trang"/>
    <s v="90201-CT-20R"/>
    <n v="10"/>
    <s v="CHROME "/>
    <n v="489060000"/>
    <s v="6.5"/>
    <n v="452833333"/>
    <x v="61"/>
    <s v="00000000001"/>
    <n v="264980832.99999997"/>
    <x v="0"/>
    <x v="1"/>
  </r>
  <r>
    <x v="7"/>
    <x v="0"/>
    <n v="2"/>
    <s v="SS26"/>
    <s v="NECKLACE"/>
    <s v="SS26"/>
    <n v="25413531.333333332"/>
    <n v="24131250"/>
    <d v="2026-01-07T00:00:00"/>
    <n v="223727"/>
    <s v="RHN3941"/>
    <x v="10"/>
    <x v="1"/>
    <s v="WJEW"/>
    <n v="3941"/>
    <n v="1"/>
    <s v="Cash"/>
    <n v="70785000"/>
    <n v="65541667"/>
    <n v="0"/>
    <n v="0"/>
    <n v="0"/>
    <s v="Nguyen Trung Hieu"/>
    <s v="BRT-NECKLACE LARIAT LINEA FINE"/>
    <s v="Hien Trang"/>
    <s v="CP456"/>
    <n v="10"/>
    <s v="YELLOW G"/>
    <n v="70785000"/>
    <s v="u"/>
    <n v="65541667"/>
    <x v="61"/>
    <s v="00000000001"/>
    <n v="40128135.666666672"/>
    <x v="0"/>
    <x v="1"/>
  </r>
  <r>
    <x v="7"/>
    <x v="0"/>
    <n v="2"/>
    <s v="SS26"/>
    <s v="EARRINGS"/>
    <s v="SS26"/>
    <n v="138847500"/>
    <n v="126225000"/>
    <d v="2026-01-07T00:00:00"/>
    <n v="225203"/>
    <s v="RHN3941"/>
    <x v="2"/>
    <x v="1"/>
    <s v="WJEW"/>
    <n v="3941"/>
    <n v="1"/>
    <s v="Cash"/>
    <n v="366795000"/>
    <n v="339625000"/>
    <n v="0"/>
    <n v="0"/>
    <n v="0"/>
    <s v="Nguyen Trung Hieu"/>
    <s v="NAK ARMSTRONG-FOLD OVER MOSAIC EARRINGS"/>
    <s v="Hien Trang"/>
    <s v="H10103-CT-20R"/>
    <n v="10"/>
    <s v="CHROME "/>
    <n v="366795000"/>
    <s v="U"/>
    <n v="339625000"/>
    <x v="61"/>
    <s v="00000000001"/>
    <n v="200777500"/>
    <x v="0"/>
    <x v="1"/>
  </r>
  <r>
    <x v="7"/>
    <x v="0"/>
    <n v="2"/>
    <s v="SS26"/>
    <s v="EARRINGS"/>
    <s v="SS26"/>
    <n v="49685625.000000007"/>
    <n v="45168750"/>
    <d v="2026-01-07T00:00:00"/>
    <n v="225207"/>
    <s v="RHN3944"/>
    <x v="2"/>
    <x v="1"/>
    <s v="WJEW"/>
    <n v="3944"/>
    <n v="1"/>
    <s v="MC"/>
    <n v="128535000"/>
    <n v="119013889"/>
    <n v="0"/>
    <n v="0"/>
    <n v="0"/>
    <s v="Dang Thanh Huyen"/>
    <s v="NAK ARMSTRONG-SINGLE RUCHED EARCUFF"/>
    <s v="Do Thanh Hoa"/>
    <s v="10482-BSL-20R"/>
    <n v="16"/>
    <s v="BLACK"/>
    <n v="128535000"/>
    <s v="U"/>
    <n v="119013889"/>
    <x v="14"/>
    <s v="0904374728"/>
    <n v="69328264"/>
    <x v="0"/>
    <x v="1"/>
  </r>
  <r>
    <x v="7"/>
    <x v="0"/>
    <n v="2"/>
    <s v="SS26"/>
    <s v="BRACELET"/>
    <s v="SS26"/>
    <n v="19252675"/>
    <n v="18281250"/>
    <d v="2026-01-07T00:00:00"/>
    <n v="223709"/>
    <s v="RHN3944"/>
    <x v="10"/>
    <x v="1"/>
    <s v="WJEW"/>
    <n v="3944"/>
    <n v="1"/>
    <s v="MC"/>
    <n v="53625000"/>
    <n v="49652778"/>
    <n v="0"/>
    <n v="0"/>
    <n v="0"/>
    <s v="Dang Thanh Huyen"/>
    <s v="BRT-BRACELET SOLITAIRE BAGUETTE"/>
    <s v="Do Thanh Hoa"/>
    <s v="CX297"/>
    <n v="16"/>
    <s v="YELLOW G"/>
    <n v="53625000"/>
    <s v="u"/>
    <n v="49652778"/>
    <x v="14"/>
    <s v="0904374728"/>
    <n v="30400103"/>
    <x v="0"/>
    <x v="1"/>
  </r>
  <r>
    <x v="7"/>
    <x v="0"/>
    <n v="2"/>
    <s v="SS26"/>
    <s v="BRACELET"/>
    <s v="SS26"/>
    <n v="6930963.5"/>
    <n v="6581250"/>
    <d v="2026-01-07T00:00:00"/>
    <n v="223699"/>
    <s v="RHN3944"/>
    <x v="10"/>
    <x v="1"/>
    <s v="WJEW"/>
    <n v="3944"/>
    <n v="1"/>
    <s v="MC"/>
    <n v="19305000"/>
    <n v="17875000"/>
    <n v="0"/>
    <n v="0"/>
    <n v="0"/>
    <s v="Dang Thanh Huyen"/>
    <s v="BRT-BRACELET CON AMORE Y"/>
    <s v="Do Thanh Hoa"/>
    <s v="CY592"/>
    <n v="16"/>
    <s v="YELLOW G"/>
    <n v="19305000"/>
    <s v="u"/>
    <n v="17875000"/>
    <x v="14"/>
    <s v="0904374728"/>
    <n v="10944036.5"/>
    <x v="0"/>
    <x v="1"/>
  </r>
  <r>
    <x v="7"/>
    <x v="0"/>
    <n v="2"/>
    <s v="SS26"/>
    <s v="NECKLACE"/>
    <s v="SS26"/>
    <n v="20022781"/>
    <n v="19012500"/>
    <d v="2026-01-08T00:00:00"/>
    <n v="223717"/>
    <s v="RHN3951"/>
    <x v="10"/>
    <x v="1"/>
    <s v="WJEW"/>
    <n v="3951"/>
    <n v="1"/>
    <s v="Visa"/>
    <n v="55770000"/>
    <n v="51638889"/>
    <n v="0"/>
    <n v="0"/>
    <n v="0"/>
    <s v="Nguyen Bich Ngoc"/>
    <s v="BRT-NECKLACE SOLITAIRE BUBBLE Y"/>
    <s v="Do Thanh Hoa"/>
    <s v="DA737"/>
    <n v="18"/>
    <s v="YELLOW G"/>
    <n v="55770000"/>
    <s v="u"/>
    <n v="51638889"/>
    <x v="64"/>
    <s v="0904374728"/>
    <n v="31616108"/>
    <x v="0"/>
    <x v="1"/>
  </r>
  <r>
    <x v="7"/>
    <x v="0"/>
    <n v="2"/>
    <s v="SS26"/>
    <s v="BRACELET"/>
    <s v="SS26"/>
    <n v="13553883"/>
    <n v="12870000"/>
    <d v="2026-01-08T00:00:00"/>
    <n v="223711"/>
    <s v="RHN3951"/>
    <x v="10"/>
    <x v="1"/>
    <s v="WJEW"/>
    <n v="3951"/>
    <n v="1"/>
    <s v="Visa"/>
    <n v="37895000"/>
    <n v="35087963"/>
    <n v="0"/>
    <n v="0"/>
    <n v="0"/>
    <s v="Nguyen Bich Ngoc"/>
    <s v="BRT-BRACELET SOLITAIRE BUBBLE Y"/>
    <s v="Do Thanh Hoa"/>
    <s v="DA698"/>
    <n v="18"/>
    <s v="YELLOW G"/>
    <n v="37895000"/>
    <s v="u"/>
    <n v="35087963"/>
    <x v="14"/>
    <s v="0904374728"/>
    <n v="21534080"/>
    <x v="0"/>
    <x v="1"/>
  </r>
  <r>
    <x v="7"/>
    <x v="0"/>
    <n v="2"/>
    <s v="SS23"/>
    <s v="NECKLACE"/>
    <s v="SS23"/>
    <n v="5845393"/>
    <n v="5265000"/>
    <d v="2026-01-08T00:00:00"/>
    <n v="182215"/>
    <s v="RWR2580"/>
    <x v="7"/>
    <x v="0"/>
    <s v="WACC"/>
    <n v="2580"/>
    <n v="1"/>
    <s v="Visa"/>
    <n v="21903000"/>
    <n v="20280556"/>
    <n v="0"/>
    <n v="0"/>
    <n v="0"/>
    <s v="Nguyen Ngoc Hieu Nghia"/>
    <s v="MAL - ENGRAVED SILVER NECKLACE, CROSS PENDANT WITH 5 NATURAL DROPS ( 7 X 10) AND SMALL STONE FACETED CUT (6MM)  NECKLACE LENGHT: 40/45 CM   ROCK CRYSTAL"/>
    <s v="Tourist"/>
    <s v="CA0112/ROCK CRYSTAL"/>
    <n v="19"/>
    <s v="ROCK CRY"/>
    <n v="21903000"/>
    <s v="U"/>
    <n v="20280556"/>
    <x v="37"/>
    <s v="0000000000"/>
    <n v="14435163"/>
    <x v="0"/>
    <x v="1"/>
  </r>
  <r>
    <x v="7"/>
    <x v="0"/>
    <n v="2"/>
    <s v="SS25"/>
    <s v="EARRINGS"/>
    <s v="SS25"/>
    <n v="24704706"/>
    <n v="23682600.000000004"/>
    <d v="2026-01-10T00:00:00"/>
    <n v="214608"/>
    <s v="RWR2585"/>
    <x v="8"/>
    <x v="0"/>
    <s v="WJEW"/>
    <n v="2585"/>
    <n v="1"/>
    <s v="Cash"/>
    <n v="95187200"/>
    <n v="88136296"/>
    <n v="0"/>
    <n v="0"/>
    <n v="0"/>
    <s v="Nguyen Thi Khanh Ha"/>
    <s v="NAN-DANCING IN THE RAIN BABY EARRINGS B ct 0,35"/>
    <s v="To Mai Lien"/>
    <s v="OS42-583"/>
    <n v="10"/>
    <s v="GG"/>
    <n v="95187200"/>
    <m/>
    <n v="88136296"/>
    <x v="15"/>
    <s v="0936462242"/>
    <n v="63431590"/>
    <x v="0"/>
    <x v="1"/>
  </r>
  <r>
    <x v="7"/>
    <x v="0"/>
    <n v="2"/>
    <s v="SS26"/>
    <s v="RING"/>
    <s v="SS26"/>
    <n v="26604661"/>
    <n v="25330500"/>
    <d v="2026-01-10T00:00:00"/>
    <n v="225138"/>
    <s v="RWR2585"/>
    <x v="8"/>
    <x v="0"/>
    <s v="WJEW"/>
    <n v="2585"/>
    <n v="1"/>
    <s v="Cash"/>
    <n v="82771000"/>
    <n v="76639815"/>
    <n v="0"/>
    <n v="0"/>
    <n v="0"/>
    <s v="Nguyen Thi Khanh Ha"/>
    <s v="NAN-DANCING GOLD RING SIZE 11"/>
    <s v="To Mai Lien"/>
    <s v="AS8-583_LU_RR"/>
    <n v="10"/>
    <s v="RR"/>
    <n v="82771000"/>
    <s v="11"/>
    <n v="76639815"/>
    <x v="15"/>
    <s v="0936462242"/>
    <n v="50035154"/>
    <x v="0"/>
    <x v="1"/>
  </r>
  <r>
    <x v="7"/>
    <x v="0"/>
    <n v="2"/>
    <s v="SS24"/>
    <s v="NECKLACE"/>
    <s v="SS24"/>
    <n v="3177198"/>
    <n v="2374050"/>
    <d v="2026-01-10T00:00:00"/>
    <n v="202758"/>
    <s v="RHN3956"/>
    <x v="1"/>
    <x v="1"/>
    <s v="WJEW"/>
    <n v="3956"/>
    <n v="1"/>
    <s v="Visa"/>
    <n v="10004000"/>
    <n v="9262963"/>
    <n v="0"/>
    <n v="0"/>
    <n v="0"/>
    <s v="Dang Thanh Huyen"/>
    <s v="ROM-PEW DOLPHIN PE-H-DOLPHIN-2 Necklaces - Wax - No Setting Silver"/>
    <s v="Tran Thi Thuong"/>
    <s v="PEW-000341 "/>
    <n v="17"/>
    <s v="Silver, "/>
    <n v="10004000"/>
    <s v="U"/>
    <n v="9262963"/>
    <x v="74"/>
    <s v="0938760988"/>
    <n v="6085765"/>
    <x v="0"/>
    <x v="1"/>
  </r>
  <r>
    <x v="7"/>
    <x v="0"/>
    <n v="2"/>
    <s v="SS26"/>
    <s v="EARRINGS"/>
    <s v="SS26"/>
    <n v="24027338"/>
    <n v="22815000"/>
    <d v="2026-01-10T00:00:00"/>
    <n v="223720"/>
    <s v="RHN3957"/>
    <x v="10"/>
    <x v="1"/>
    <s v="WJEW"/>
    <n v="3957"/>
    <n v="1"/>
    <s v="Cash"/>
    <n v="66853000"/>
    <n v="61900926"/>
    <n v="0"/>
    <n v="0"/>
    <n v="0"/>
    <s v="Nguyen Minh Tam"/>
    <s v="BRT-EARRING LINEA FINE - PAIR 2 PC"/>
    <s v="Dinh Thuy Quynh"/>
    <s v="CP446"/>
    <n v="18"/>
    <s v="WHITE GO"/>
    <n v="66853000"/>
    <s v="u"/>
    <n v="61900926"/>
    <x v="62"/>
    <s v="0917781299"/>
    <n v="37873588"/>
    <x v="0"/>
    <x v="1"/>
  </r>
  <r>
    <x v="7"/>
    <x v="0"/>
    <n v="2"/>
    <s v="SS26"/>
    <s v="EARRINGS"/>
    <s v="SS26"/>
    <n v="8625198.333333334"/>
    <n v="8190000"/>
    <d v="2026-01-11T00:00:00"/>
    <n v="223700"/>
    <s v="RHN3961"/>
    <x v="10"/>
    <x v="1"/>
    <s v="WJEW"/>
    <n v="3961"/>
    <n v="1"/>
    <s v="Cash"/>
    <n v="23953000"/>
    <n v="22178704"/>
    <n v="0"/>
    <n v="0"/>
    <n v="0"/>
    <s v="Nguyen Bich Ngoc"/>
    <s v="BRT-EARRING ESSENTIAL MICROPEARLS "/>
    <s v="Le Thi Hong Hong"/>
    <s v="CJ551"/>
    <n v="15"/>
    <s v="ROSE GOL"/>
    <n v="23953000"/>
    <s v="u"/>
    <n v="22178704"/>
    <x v="14"/>
    <s v="0982610062"/>
    <n v="13553505.666666666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4">
  <r>
    <n v="2026"/>
    <n v="1"/>
    <d v="2026-01-12T00:00:00"/>
    <n v="30044"/>
    <x v="0"/>
    <s v="WACC"/>
    <x v="0"/>
    <s v="JEWELRY"/>
    <n v="3698446"/>
    <x v="0"/>
    <n v="1"/>
    <n v="3698446"/>
  </r>
  <r>
    <n v="2026"/>
    <n v="1"/>
    <d v="2026-01-12T00:00:00"/>
    <n v="90573"/>
    <x v="0"/>
    <s v="WACC"/>
    <x v="1"/>
    <s v="JEWELRY"/>
    <n v="9475200"/>
    <x v="1"/>
    <n v="1"/>
    <n v="9475200"/>
  </r>
  <r>
    <n v="2026"/>
    <n v="1"/>
    <d v="2026-01-12T00:00:00"/>
    <n v="90583"/>
    <x v="0"/>
    <s v="WACC"/>
    <x v="1"/>
    <s v="JEWELRY"/>
    <n v="1945800"/>
    <x v="0"/>
    <n v="1"/>
    <n v="1945800"/>
  </r>
  <r>
    <n v="2026"/>
    <n v="1"/>
    <d v="2026-01-12T00:00:00"/>
    <n v="117902"/>
    <x v="0"/>
    <s v="WACC"/>
    <x v="2"/>
    <s v="JEWELRY"/>
    <n v="34545000"/>
    <x v="0"/>
    <n v="1"/>
    <n v="34545000"/>
  </r>
  <r>
    <n v="2026"/>
    <n v="1"/>
    <d v="2026-01-12T00:00:00"/>
    <n v="132032"/>
    <x v="0"/>
    <s v="WACC"/>
    <x v="3"/>
    <s v="NECKLACE"/>
    <n v="5306700"/>
    <x v="1"/>
    <n v="1"/>
    <n v="5306700"/>
  </r>
  <r>
    <n v="2026"/>
    <n v="1"/>
    <d v="2026-01-12T00:00:00"/>
    <n v="133939"/>
    <x v="1"/>
    <s v="WACC"/>
    <x v="3"/>
    <s v="PIN"/>
    <n v="17358250"/>
    <x v="1"/>
    <n v="1"/>
    <n v="17358250"/>
  </r>
  <r>
    <n v="2026"/>
    <n v="1"/>
    <d v="2026-01-12T00:00:00"/>
    <n v="139754"/>
    <x v="1"/>
    <s v="WACC"/>
    <x v="3"/>
    <s v="BROOCH"/>
    <n v="10682000"/>
    <x v="1"/>
    <n v="1"/>
    <n v="10682000"/>
  </r>
  <r>
    <n v="2026"/>
    <n v="1"/>
    <d v="2026-01-12T00:00:00"/>
    <n v="151866"/>
    <x v="0"/>
    <s v="WACC"/>
    <x v="4"/>
    <s v="RING"/>
    <n v="3281775"/>
    <x v="1"/>
    <n v="1"/>
    <n v="3281775"/>
  </r>
  <r>
    <n v="2026"/>
    <n v="1"/>
    <d v="2026-01-12T00:00:00"/>
    <n v="151877"/>
    <x v="0"/>
    <s v="WACC"/>
    <x v="4"/>
    <s v="RING"/>
    <n v="14802900"/>
    <x v="1"/>
    <n v="1"/>
    <n v="14802900"/>
  </r>
  <r>
    <n v="2026"/>
    <n v="1"/>
    <d v="2026-01-12T00:00:00"/>
    <n v="170999"/>
    <x v="2"/>
    <s v="WACC"/>
    <x v="5"/>
    <s v="EARRINGS"/>
    <n v="1622500"/>
    <x v="2"/>
    <n v="3"/>
    <n v="4867500"/>
  </r>
  <r>
    <n v="2026"/>
    <n v="1"/>
    <d v="2026-01-12T00:00:00"/>
    <n v="171001"/>
    <x v="2"/>
    <s v="WACC"/>
    <x v="5"/>
    <s v="EARRINGS"/>
    <n v="1062000"/>
    <x v="3"/>
    <n v="1"/>
    <n v="1062000"/>
  </r>
  <r>
    <n v="2026"/>
    <n v="1"/>
    <d v="2026-01-12T00:00:00"/>
    <n v="171015"/>
    <x v="3"/>
    <s v="WACC"/>
    <x v="5"/>
    <s v="NECKLACE"/>
    <n v="2537000"/>
    <x v="0"/>
    <n v="1"/>
    <n v="2537000"/>
  </r>
  <r>
    <n v="2026"/>
    <n v="1"/>
    <d v="2026-01-12T00:00:00"/>
    <n v="171016"/>
    <x v="3"/>
    <s v="WACC"/>
    <x v="5"/>
    <s v="NECKLACE"/>
    <n v="6136000"/>
    <x v="4"/>
    <n v="1"/>
    <n v="6136000"/>
  </r>
  <r>
    <n v="2026"/>
    <n v="1"/>
    <d v="2026-01-12T00:00:00"/>
    <n v="171018"/>
    <x v="3"/>
    <s v="WACC"/>
    <x v="5"/>
    <s v="NECKLACE"/>
    <n v="13275000"/>
    <x v="0"/>
    <n v="1"/>
    <n v="13275000"/>
  </r>
  <r>
    <n v="2026"/>
    <n v="1"/>
    <d v="2026-01-12T00:00:00"/>
    <n v="171022"/>
    <x v="4"/>
    <s v="WACC"/>
    <x v="5"/>
    <s v="PENDANT"/>
    <n v="737500"/>
    <x v="0"/>
    <n v="1"/>
    <n v="737500"/>
  </r>
  <r>
    <n v="2026"/>
    <n v="1"/>
    <d v="2026-01-12T00:00:00"/>
    <n v="171038"/>
    <x v="4"/>
    <s v="WACC"/>
    <x v="5"/>
    <s v="PENDANT"/>
    <n v="3953000"/>
    <x v="0"/>
    <n v="1"/>
    <n v="3953000"/>
  </r>
  <r>
    <n v="2026"/>
    <n v="1"/>
    <d v="2026-01-12T00:00:00"/>
    <n v="171039"/>
    <x v="4"/>
    <s v="WACC"/>
    <x v="5"/>
    <s v="RING"/>
    <n v="3953000"/>
    <x v="0"/>
    <n v="1"/>
    <n v="3953000"/>
  </r>
  <r>
    <n v="2026"/>
    <n v="1"/>
    <d v="2026-01-12T00:00:00"/>
    <n v="171041"/>
    <x v="4"/>
    <s v="WACC"/>
    <x v="5"/>
    <s v="RING"/>
    <n v="7906000"/>
    <x v="0"/>
    <n v="1"/>
    <n v="7906000"/>
  </r>
  <r>
    <n v="2026"/>
    <n v="1"/>
    <d v="2026-01-12T00:00:00"/>
    <n v="171044"/>
    <x v="4"/>
    <s v="WACC"/>
    <x v="5"/>
    <s v="EARRINGS"/>
    <n v="7906000"/>
    <x v="0"/>
    <n v="1"/>
    <n v="7906000"/>
  </r>
  <r>
    <n v="2026"/>
    <n v="1"/>
    <d v="2026-01-12T00:00:00"/>
    <n v="171046"/>
    <x v="4"/>
    <s v="WACC"/>
    <x v="5"/>
    <s v="PENDANT"/>
    <n v="3540000"/>
    <x v="0"/>
    <n v="1"/>
    <n v="3540000"/>
  </r>
  <r>
    <n v="2026"/>
    <n v="1"/>
    <d v="2026-01-12T00:00:00"/>
    <n v="171047"/>
    <x v="4"/>
    <s v="WACC"/>
    <x v="5"/>
    <s v="PENDANT"/>
    <n v="7375000"/>
    <x v="0"/>
    <n v="1"/>
    <n v="7375000"/>
  </r>
  <r>
    <n v="2026"/>
    <n v="1"/>
    <d v="2026-01-12T00:00:00"/>
    <n v="171048"/>
    <x v="4"/>
    <s v="WACC"/>
    <x v="5"/>
    <s v="EARRINGS"/>
    <n v="8850000"/>
    <x v="0"/>
    <n v="1"/>
    <n v="8850000"/>
  </r>
  <r>
    <n v="2026"/>
    <n v="1"/>
    <d v="2026-01-12T00:00:00"/>
    <n v="171051"/>
    <x v="4"/>
    <s v="WACC"/>
    <x v="5"/>
    <s v="RING"/>
    <n v="8850000"/>
    <x v="0"/>
    <n v="1"/>
    <n v="8850000"/>
  </r>
  <r>
    <n v="2026"/>
    <n v="1"/>
    <d v="2026-01-12T00:00:00"/>
    <n v="171052"/>
    <x v="4"/>
    <s v="WACC"/>
    <x v="5"/>
    <s v="EARRINGS"/>
    <n v="10325000"/>
    <x v="0"/>
    <n v="1"/>
    <n v="10325000"/>
  </r>
  <r>
    <n v="2026"/>
    <n v="1"/>
    <d v="2026-01-12T00:00:00"/>
    <n v="171053"/>
    <x v="4"/>
    <s v="WACC"/>
    <x v="5"/>
    <s v="RING"/>
    <n v="9145000"/>
    <x v="0"/>
    <n v="1"/>
    <n v="9145000"/>
  </r>
  <r>
    <n v="2026"/>
    <n v="1"/>
    <d v="2026-01-12T00:00:00"/>
    <n v="171054"/>
    <x v="4"/>
    <s v="WACC"/>
    <x v="5"/>
    <s v="ACC"/>
    <n v="10620000"/>
    <x v="0"/>
    <n v="1"/>
    <n v="10620000"/>
  </r>
  <r>
    <n v="2026"/>
    <n v="1"/>
    <d v="2026-01-12T00:00:00"/>
    <n v="171055"/>
    <x v="4"/>
    <s v="WACC"/>
    <x v="5"/>
    <s v="RING"/>
    <n v="10325000"/>
    <x v="0"/>
    <n v="1"/>
    <n v="10325000"/>
  </r>
  <r>
    <n v="2026"/>
    <n v="1"/>
    <d v="2026-01-12T00:00:00"/>
    <n v="171097"/>
    <x v="5"/>
    <s v="WACC"/>
    <x v="5"/>
    <s v="EARRINGS"/>
    <n v="7227500"/>
    <x v="0"/>
    <n v="1"/>
    <n v="7227500"/>
  </r>
  <r>
    <n v="2026"/>
    <n v="1"/>
    <d v="2026-01-12T00:00:00"/>
    <n v="174865"/>
    <x v="3"/>
    <s v="WACC"/>
    <x v="6"/>
    <s v="NECKLACE"/>
    <n v="1461877"/>
    <x v="4"/>
    <n v="1"/>
    <n v="1461877"/>
  </r>
  <r>
    <n v="2026"/>
    <n v="1"/>
    <d v="2026-01-12T00:00:00"/>
    <n v="174868"/>
    <x v="3"/>
    <s v="WACC"/>
    <x v="6"/>
    <s v="NECKLACE"/>
    <n v="1461877"/>
    <x v="1"/>
    <n v="1"/>
    <n v="1461877"/>
  </r>
  <r>
    <n v="2026"/>
    <n v="1"/>
    <d v="2026-01-12T00:00:00"/>
    <n v="174877"/>
    <x v="3"/>
    <s v="WACC"/>
    <x v="6"/>
    <s v="NECKLACE"/>
    <n v="1759667"/>
    <x v="1"/>
    <n v="1"/>
    <n v="1759667"/>
  </r>
  <r>
    <n v="2026"/>
    <n v="1"/>
    <d v="2026-01-12T00:00:00"/>
    <n v="174883"/>
    <x v="3"/>
    <s v="WACC"/>
    <x v="6"/>
    <s v="NECKLACE"/>
    <n v="1759667"/>
    <x v="0"/>
    <n v="1"/>
    <n v="1759667"/>
  </r>
  <r>
    <n v="2026"/>
    <n v="1"/>
    <d v="2026-01-12T00:00:00"/>
    <n v="174889"/>
    <x v="3"/>
    <s v="WACC"/>
    <x v="6"/>
    <s v="NECKLACE"/>
    <n v="1641228"/>
    <x v="0"/>
    <n v="1"/>
    <n v="1641228"/>
  </r>
  <r>
    <n v="2026"/>
    <n v="1"/>
    <d v="2026-01-12T00:00:00"/>
    <n v="174890"/>
    <x v="3"/>
    <s v="WACC"/>
    <x v="6"/>
    <s v="NECKLACE"/>
    <n v="1760999"/>
    <x v="4"/>
    <n v="1"/>
    <n v="1760999"/>
  </r>
  <r>
    <n v="2026"/>
    <n v="1"/>
    <d v="2026-01-12T00:00:00"/>
    <n v="174897"/>
    <x v="3"/>
    <s v="WACC"/>
    <x v="6"/>
    <s v="NECKLACE"/>
    <n v="2673340"/>
    <x v="0"/>
    <n v="1"/>
    <n v="2673340"/>
  </r>
  <r>
    <n v="2026"/>
    <n v="1"/>
    <d v="2026-01-12T00:00:00"/>
    <n v="174899"/>
    <x v="3"/>
    <s v="WACC"/>
    <x v="6"/>
    <s v="NECKLACE"/>
    <n v="2064225"/>
    <x v="4"/>
    <n v="1"/>
    <n v="2064225"/>
  </r>
  <r>
    <n v="2026"/>
    <n v="1"/>
    <d v="2026-01-12T00:00:00"/>
    <n v="174904"/>
    <x v="3"/>
    <s v="WACC"/>
    <x v="6"/>
    <s v="EARRINGS"/>
    <n v="1032112"/>
    <x v="0"/>
    <n v="1"/>
    <n v="1032112"/>
  </r>
  <r>
    <n v="2026"/>
    <n v="1"/>
    <d v="2026-01-12T00:00:00"/>
    <n v="174906"/>
    <x v="3"/>
    <s v="WACC"/>
    <x v="6"/>
    <s v="EARRINGS"/>
    <n v="913673"/>
    <x v="0"/>
    <n v="1"/>
    <n v="913673"/>
  </r>
  <r>
    <n v="2026"/>
    <n v="1"/>
    <d v="2026-01-12T00:00:00"/>
    <n v="174909"/>
    <x v="3"/>
    <s v="WACC"/>
    <x v="6"/>
    <s v="EARRINGS"/>
    <n v="1032112"/>
    <x v="0"/>
    <n v="1"/>
    <n v="1032112"/>
  </r>
  <r>
    <n v="2026"/>
    <n v="1"/>
    <d v="2026-01-12T00:00:00"/>
    <n v="174911"/>
    <x v="3"/>
    <s v="WACC"/>
    <x v="6"/>
    <s v="RING"/>
    <n v="913673"/>
    <x v="1"/>
    <n v="1"/>
    <n v="913673"/>
  </r>
  <r>
    <n v="2026"/>
    <n v="1"/>
    <d v="2026-01-12T00:00:00"/>
    <n v="174912"/>
    <x v="3"/>
    <s v="WACC"/>
    <x v="6"/>
    <s v="RING"/>
    <n v="1766435"/>
    <x v="0"/>
    <n v="1"/>
    <n v="1766435"/>
  </r>
  <r>
    <n v="2026"/>
    <n v="1"/>
    <d v="2026-01-12T00:00:00"/>
    <n v="174913"/>
    <x v="3"/>
    <s v="WACC"/>
    <x v="6"/>
    <s v="RING"/>
    <n v="852761"/>
    <x v="1"/>
    <n v="1"/>
    <n v="852761"/>
  </r>
  <r>
    <n v="2026"/>
    <n v="1"/>
    <d v="2026-01-12T00:00:00"/>
    <n v="175379"/>
    <x v="5"/>
    <s v="WACC"/>
    <x v="6"/>
    <s v="EARRINGS"/>
    <n v="5192000"/>
    <x v="0"/>
    <n v="1"/>
    <n v="5192000"/>
  </r>
  <r>
    <n v="2026"/>
    <n v="1"/>
    <d v="2026-01-12T00:00:00"/>
    <n v="175381"/>
    <x v="5"/>
    <s v="WACC"/>
    <x v="6"/>
    <s v="EARRINGS"/>
    <n v="1298000"/>
    <x v="1"/>
    <n v="1"/>
    <n v="1298000"/>
  </r>
  <r>
    <n v="2026"/>
    <n v="1"/>
    <d v="2026-01-12T00:00:00"/>
    <n v="175389"/>
    <x v="5"/>
    <s v="WACC"/>
    <x v="6"/>
    <s v="EARRINGS"/>
    <n v="2124000"/>
    <x v="1"/>
    <n v="1"/>
    <n v="2124000"/>
  </r>
  <r>
    <n v="2026"/>
    <n v="1"/>
    <d v="2026-01-12T00:00:00"/>
    <n v="175413"/>
    <x v="4"/>
    <s v="WACC"/>
    <x v="6"/>
    <s v="EARRINGS"/>
    <n v="5900000"/>
    <x v="1"/>
    <n v="1"/>
    <n v="5900000"/>
  </r>
  <r>
    <n v="2026"/>
    <n v="1"/>
    <d v="2026-01-12T00:00:00"/>
    <n v="175414"/>
    <x v="4"/>
    <s v="WACC"/>
    <x v="6"/>
    <s v="EARRINGS"/>
    <n v="8850000"/>
    <x v="1"/>
    <n v="1"/>
    <n v="8850000"/>
  </r>
  <r>
    <n v="2026"/>
    <n v="1"/>
    <d v="2026-01-12T00:00:00"/>
    <n v="175415"/>
    <x v="4"/>
    <s v="WACC"/>
    <x v="6"/>
    <s v="EARRINGS"/>
    <n v="8850000"/>
    <x v="1"/>
    <n v="1"/>
    <n v="8850000"/>
  </r>
  <r>
    <n v="2026"/>
    <n v="1"/>
    <d v="2026-01-12T00:00:00"/>
    <n v="175417"/>
    <x v="4"/>
    <s v="WACC"/>
    <x v="6"/>
    <s v="EARRINGS"/>
    <n v="5310000"/>
    <x v="0"/>
    <n v="1"/>
    <n v="5310000"/>
  </r>
  <r>
    <n v="2026"/>
    <n v="1"/>
    <d v="2026-01-12T00:00:00"/>
    <n v="175418"/>
    <x v="4"/>
    <s v="WACC"/>
    <x v="6"/>
    <s v="RING"/>
    <n v="5310000"/>
    <x v="1"/>
    <n v="1"/>
    <n v="5310000"/>
  </r>
  <r>
    <n v="2026"/>
    <n v="1"/>
    <d v="2026-01-12T00:00:00"/>
    <n v="175421"/>
    <x v="4"/>
    <s v="WACC"/>
    <x v="6"/>
    <s v="EARRINGS"/>
    <n v="8260000"/>
    <x v="0"/>
    <n v="1"/>
    <n v="8260000"/>
  </r>
  <r>
    <n v="2026"/>
    <n v="1"/>
    <d v="2026-01-12T00:00:00"/>
    <n v="175428"/>
    <x v="4"/>
    <s v="WACC"/>
    <x v="6"/>
    <s v="PENDANT"/>
    <n v="1475000"/>
    <x v="1"/>
    <n v="1"/>
    <n v="1475000"/>
  </r>
  <r>
    <n v="2026"/>
    <n v="1"/>
    <d v="2026-01-12T00:00:00"/>
    <n v="175468"/>
    <x v="6"/>
    <s v="WACC"/>
    <x v="7"/>
    <s v="EARRINGS"/>
    <n v="48192587"/>
    <x v="5"/>
    <n v="1"/>
    <n v="48192587"/>
  </r>
  <r>
    <n v="2026"/>
    <n v="1"/>
    <d v="2026-01-12T00:00:00"/>
    <n v="175866"/>
    <x v="6"/>
    <s v="WACC"/>
    <x v="6"/>
    <s v="EARRINGS"/>
    <n v="135242436"/>
    <x v="0"/>
    <n v="1"/>
    <n v="135242436"/>
  </r>
  <r>
    <n v="2026"/>
    <n v="1"/>
    <d v="2026-01-12T00:00:00"/>
    <n v="175874"/>
    <x v="6"/>
    <s v="WACC"/>
    <x v="6"/>
    <s v="RING"/>
    <n v="217563919"/>
    <x v="0"/>
    <n v="1"/>
    <n v="217563919"/>
  </r>
  <r>
    <n v="2026"/>
    <n v="1"/>
    <d v="2026-01-12T00:00:00"/>
    <n v="176231"/>
    <x v="6"/>
    <s v="WACC"/>
    <x v="6"/>
    <s v="NECKLACE"/>
    <n v="32960839"/>
    <x v="0"/>
    <n v="1"/>
    <n v="32960839"/>
  </r>
  <r>
    <n v="2026"/>
    <n v="1"/>
    <d v="2026-01-12T00:00:00"/>
    <n v="176593"/>
    <x v="4"/>
    <s v="WACC"/>
    <x v="6"/>
    <s v="EARRINGS"/>
    <n v="236000"/>
    <x v="2"/>
    <n v="1"/>
    <n v="236000"/>
  </r>
  <r>
    <n v="2026"/>
    <n v="1"/>
    <d v="2026-01-12T00:00:00"/>
    <n v="176595"/>
    <x v="4"/>
    <s v="WACC"/>
    <x v="6"/>
    <s v="EARRINGS"/>
    <n v="885000"/>
    <x v="2"/>
    <n v="1"/>
    <n v="885000"/>
  </r>
  <r>
    <n v="2026"/>
    <n v="1"/>
    <d v="2026-01-12T00:00:00"/>
    <n v="176596"/>
    <x v="4"/>
    <s v="WACC"/>
    <x v="6"/>
    <s v="NECKLACE"/>
    <n v="177000"/>
    <x v="1"/>
    <n v="1"/>
    <n v="177000"/>
  </r>
  <r>
    <n v="2026"/>
    <n v="1"/>
    <d v="2026-01-12T00:00:00"/>
    <n v="176597"/>
    <x v="4"/>
    <s v="WACC"/>
    <x v="6"/>
    <s v="RING"/>
    <n v="13717500"/>
    <x v="1"/>
    <n v="1"/>
    <n v="13717500"/>
  </r>
  <r>
    <n v="2026"/>
    <n v="1"/>
    <d v="2026-01-12T00:00:00"/>
    <n v="176599"/>
    <x v="4"/>
    <s v="WACC"/>
    <x v="6"/>
    <s v="RING"/>
    <n v="20650000"/>
    <x v="0"/>
    <n v="1"/>
    <n v="20650000"/>
  </r>
  <r>
    <n v="2026"/>
    <n v="1"/>
    <d v="2026-01-12T00:00:00"/>
    <n v="176604"/>
    <x v="0"/>
    <s v="WACC"/>
    <x v="7"/>
    <s v="NECKLACE"/>
    <n v="10830000"/>
    <x v="1"/>
    <n v="1"/>
    <n v="10830000"/>
  </r>
  <r>
    <n v="2026"/>
    <n v="1"/>
    <d v="2026-01-12T00:00:00"/>
    <n v="176605"/>
    <x v="0"/>
    <s v="WACC"/>
    <x v="7"/>
    <s v="NECKLACE"/>
    <n v="14060000"/>
    <x v="1"/>
    <n v="2"/>
    <n v="28120000"/>
  </r>
  <r>
    <n v="2026"/>
    <n v="1"/>
    <d v="2026-01-12T00:00:00"/>
    <n v="176605"/>
    <x v="0"/>
    <s v="WACC"/>
    <x v="7"/>
    <s v="NECKLACE"/>
    <n v="14060000"/>
    <x v="0"/>
    <n v="1"/>
    <n v="14060000"/>
  </r>
  <r>
    <n v="2026"/>
    <n v="1"/>
    <d v="2026-01-12T00:00:00"/>
    <n v="176606"/>
    <x v="0"/>
    <s v="WACC"/>
    <x v="7"/>
    <s v="NECKLACE"/>
    <n v="16007500"/>
    <x v="1"/>
    <n v="1"/>
    <n v="16007500"/>
  </r>
  <r>
    <n v="2026"/>
    <n v="1"/>
    <d v="2026-01-12T00:00:00"/>
    <n v="176607"/>
    <x v="0"/>
    <s v="WACC"/>
    <x v="7"/>
    <s v="NECKLACE"/>
    <n v="16197500"/>
    <x v="1"/>
    <n v="1"/>
    <n v="16197500"/>
  </r>
  <r>
    <n v="2026"/>
    <n v="1"/>
    <d v="2026-01-12T00:00:00"/>
    <n v="176607"/>
    <x v="0"/>
    <s v="WACC"/>
    <x v="7"/>
    <s v="NECKLACE"/>
    <n v="16197500"/>
    <x v="0"/>
    <n v="1"/>
    <n v="16197500"/>
  </r>
  <r>
    <n v="2026"/>
    <n v="1"/>
    <d v="2026-01-12T00:00:00"/>
    <n v="176624"/>
    <x v="0"/>
    <s v="WACC"/>
    <x v="7"/>
    <s v="RING"/>
    <n v="8455000"/>
    <x v="1"/>
    <n v="1"/>
    <n v="8455000"/>
  </r>
  <r>
    <n v="2026"/>
    <n v="1"/>
    <d v="2026-01-12T00:00:00"/>
    <n v="176625"/>
    <x v="0"/>
    <s v="WACC"/>
    <x v="7"/>
    <s v="RING"/>
    <n v="8455000"/>
    <x v="1"/>
    <n v="1"/>
    <n v="8455000"/>
  </r>
  <r>
    <n v="2026"/>
    <n v="1"/>
    <d v="2026-01-12T00:00:00"/>
    <n v="180399"/>
    <x v="7"/>
    <s v="WACC"/>
    <x v="7"/>
    <s v="BANGLE"/>
    <n v="168516446"/>
    <x v="1"/>
    <n v="1"/>
    <n v="168516446"/>
  </r>
  <r>
    <n v="2026"/>
    <n v="1"/>
    <d v="2026-01-12T00:00:00"/>
    <n v="180401"/>
    <x v="7"/>
    <s v="WACC"/>
    <x v="7"/>
    <s v="RING"/>
    <n v="116265759"/>
    <x v="1"/>
    <n v="1"/>
    <n v="116265759"/>
  </r>
  <r>
    <n v="2026"/>
    <n v="1"/>
    <d v="2026-01-12T00:00:00"/>
    <n v="181385"/>
    <x v="8"/>
    <s v="WACC"/>
    <x v="7"/>
    <s v="BRACELET"/>
    <n v="47983963"/>
    <x v="1"/>
    <n v="1"/>
    <n v="47983963"/>
  </r>
  <r>
    <n v="2026"/>
    <n v="1"/>
    <d v="2026-01-12T00:00:00"/>
    <n v="181386"/>
    <x v="8"/>
    <s v="WACC"/>
    <x v="7"/>
    <s v="NECKLACE"/>
    <n v="22925672"/>
    <x v="4"/>
    <n v="1"/>
    <n v="22925672"/>
  </r>
  <r>
    <n v="2026"/>
    <n v="1"/>
    <d v="2026-01-12T00:00:00"/>
    <n v="182160"/>
    <x v="5"/>
    <s v="WACC"/>
    <x v="7"/>
    <s v="RING"/>
    <n v="4046811"/>
    <x v="1"/>
    <n v="1"/>
    <n v="4046811"/>
  </r>
  <r>
    <n v="2026"/>
    <n v="1"/>
    <d v="2026-01-12T00:00:00"/>
    <n v="182167"/>
    <x v="5"/>
    <s v="WACC"/>
    <x v="7"/>
    <s v="RING"/>
    <n v="3297401"/>
    <x v="1"/>
    <n v="1"/>
    <n v="3297401"/>
  </r>
  <r>
    <n v="2026"/>
    <n v="1"/>
    <d v="2026-01-12T00:00:00"/>
    <n v="182168"/>
    <x v="5"/>
    <s v="WACC"/>
    <x v="7"/>
    <s v="RING"/>
    <n v="4046811"/>
    <x v="1"/>
    <n v="1"/>
    <n v="4046811"/>
  </r>
  <r>
    <n v="2026"/>
    <n v="1"/>
    <d v="2026-01-12T00:00:00"/>
    <n v="182171"/>
    <x v="5"/>
    <s v="WACC"/>
    <x v="7"/>
    <s v="RING"/>
    <n v="4256645"/>
    <x v="2"/>
    <n v="1"/>
    <n v="4256645"/>
  </r>
  <r>
    <n v="2026"/>
    <n v="1"/>
    <d v="2026-01-12T00:00:00"/>
    <n v="182174"/>
    <x v="5"/>
    <s v="WACC"/>
    <x v="7"/>
    <s v="RING"/>
    <n v="7494094"/>
    <x v="3"/>
    <n v="1"/>
    <n v="7494094"/>
  </r>
  <r>
    <n v="2026"/>
    <n v="1"/>
    <d v="2026-01-12T00:00:00"/>
    <n v="182189"/>
    <x v="5"/>
    <s v="WACC"/>
    <x v="7"/>
    <s v="RING"/>
    <n v="2398111"/>
    <x v="1"/>
    <n v="1"/>
    <n v="2398111"/>
  </r>
  <r>
    <n v="2026"/>
    <n v="1"/>
    <d v="2026-01-12T00:00:00"/>
    <n v="182196"/>
    <x v="5"/>
    <s v="WACC"/>
    <x v="7"/>
    <s v="BRACELET"/>
    <n v="15587716"/>
    <x v="1"/>
    <n v="1"/>
    <n v="15587716"/>
  </r>
  <r>
    <n v="2026"/>
    <n v="1"/>
    <d v="2026-01-12T00:00:00"/>
    <n v="182198"/>
    <x v="5"/>
    <s v="WACC"/>
    <x v="7"/>
    <s v="BRACELET"/>
    <n v="10431781"/>
    <x v="1"/>
    <n v="1"/>
    <n v="10431781"/>
  </r>
  <r>
    <n v="2026"/>
    <n v="1"/>
    <d v="2026-01-12T00:00:00"/>
    <n v="182199"/>
    <x v="5"/>
    <s v="WACC"/>
    <x v="7"/>
    <s v="BRACELET"/>
    <n v="10431781"/>
    <x v="3"/>
    <n v="1"/>
    <n v="10431781"/>
  </r>
  <r>
    <n v="2026"/>
    <n v="1"/>
    <d v="2026-01-12T00:00:00"/>
    <n v="182201"/>
    <x v="5"/>
    <s v="WACC"/>
    <x v="7"/>
    <s v="BRACELET"/>
    <n v="9232725"/>
    <x v="2"/>
    <n v="1"/>
    <n v="9232725"/>
  </r>
  <r>
    <n v="2026"/>
    <n v="1"/>
    <d v="2026-01-12T00:00:00"/>
    <n v="182202"/>
    <x v="5"/>
    <s v="WACC"/>
    <x v="7"/>
    <s v="BRACELET"/>
    <n v="18285591"/>
    <x v="0"/>
    <n v="1"/>
    <n v="18285591"/>
  </r>
  <r>
    <n v="2026"/>
    <n v="1"/>
    <d v="2026-01-12T00:00:00"/>
    <n v="182207"/>
    <x v="5"/>
    <s v="WACC"/>
    <x v="7"/>
    <s v="NECKLACE"/>
    <n v="4706292"/>
    <x v="2"/>
    <n v="1"/>
    <n v="4706292"/>
  </r>
  <r>
    <n v="2026"/>
    <n v="1"/>
    <d v="2026-01-12T00:00:00"/>
    <n v="182208"/>
    <x v="5"/>
    <s v="WACC"/>
    <x v="7"/>
    <s v="NECKLACE"/>
    <n v="5056788"/>
    <x v="0"/>
    <n v="1"/>
    <n v="5056788"/>
  </r>
  <r>
    <n v="2026"/>
    <n v="1"/>
    <d v="2026-01-12T00:00:00"/>
    <n v="182212"/>
    <x v="5"/>
    <s v="WACC"/>
    <x v="7"/>
    <s v="NECKLACE"/>
    <n v="10791497"/>
    <x v="2"/>
    <n v="1"/>
    <n v="10791497"/>
  </r>
  <r>
    <n v="2026"/>
    <n v="1"/>
    <d v="2026-01-12T00:00:00"/>
    <n v="182213"/>
    <x v="5"/>
    <s v="WACC"/>
    <x v="7"/>
    <s v="NECKLACE"/>
    <n v="4496457"/>
    <x v="2"/>
    <n v="1"/>
    <n v="4496457"/>
  </r>
  <r>
    <n v="2026"/>
    <n v="1"/>
    <d v="2026-01-12T00:00:00"/>
    <n v="182216"/>
    <x v="5"/>
    <s v="WACC"/>
    <x v="7"/>
    <s v="NECKLACE"/>
    <n v="5845393"/>
    <x v="2"/>
    <n v="1"/>
    <n v="5845393"/>
  </r>
  <r>
    <n v="2026"/>
    <n v="1"/>
    <d v="2026-01-12T00:00:00"/>
    <n v="182217"/>
    <x v="5"/>
    <s v="WACC"/>
    <x v="7"/>
    <s v="NECKLACE"/>
    <n v="4262020"/>
    <x v="0"/>
    <n v="1"/>
    <n v="4262020"/>
  </r>
  <r>
    <n v="2026"/>
    <n v="1"/>
    <d v="2026-01-12T00:00:00"/>
    <n v="182219"/>
    <x v="5"/>
    <s v="WACC"/>
    <x v="7"/>
    <s v="NECKLACE"/>
    <n v="8543268"/>
    <x v="0"/>
    <n v="1"/>
    <n v="8543268"/>
  </r>
  <r>
    <n v="2026"/>
    <n v="1"/>
    <d v="2026-01-12T00:00:00"/>
    <n v="182233"/>
    <x v="5"/>
    <s v="WACC"/>
    <x v="7"/>
    <s v="NECKLACE"/>
    <n v="7284260"/>
    <x v="2"/>
    <n v="1"/>
    <n v="7284260"/>
  </r>
  <r>
    <n v="2026"/>
    <n v="1"/>
    <d v="2026-01-12T00:00:00"/>
    <n v="182238"/>
    <x v="5"/>
    <s v="WACC"/>
    <x v="7"/>
    <s v="EARRINGS"/>
    <n v="1139103"/>
    <x v="1"/>
    <n v="1"/>
    <n v="1139103"/>
  </r>
  <r>
    <n v="2026"/>
    <n v="1"/>
    <d v="2026-01-12T00:00:00"/>
    <n v="182239"/>
    <x v="5"/>
    <s v="WACC"/>
    <x v="7"/>
    <s v="EARRINGS"/>
    <n v="4346575"/>
    <x v="2"/>
    <n v="1"/>
    <n v="4346575"/>
  </r>
  <r>
    <n v="2026"/>
    <n v="1"/>
    <d v="2026-01-12T00:00:00"/>
    <n v="182240"/>
    <x v="5"/>
    <s v="WACC"/>
    <x v="7"/>
    <s v="EARRINGS"/>
    <n v="5725489"/>
    <x v="2"/>
    <n v="1"/>
    <n v="5725489"/>
  </r>
  <r>
    <n v="2026"/>
    <n v="1"/>
    <d v="2026-01-12T00:00:00"/>
    <n v="182241"/>
    <x v="5"/>
    <s v="WACC"/>
    <x v="7"/>
    <s v="EARRINGS"/>
    <n v="2263216"/>
    <x v="2"/>
    <n v="1"/>
    <n v="2263216"/>
  </r>
  <r>
    <n v="2026"/>
    <n v="1"/>
    <d v="2026-01-12T00:00:00"/>
    <n v="182249"/>
    <x v="5"/>
    <s v="WACC"/>
    <x v="7"/>
    <s v="EARRINGS"/>
    <n v="2068370"/>
    <x v="1"/>
    <n v="1"/>
    <n v="2068370"/>
  </r>
  <r>
    <n v="2026"/>
    <n v="1"/>
    <d v="2026-01-12T00:00:00"/>
    <n v="182250"/>
    <x v="5"/>
    <s v="WACC"/>
    <x v="7"/>
    <s v="EARRINGS"/>
    <n v="6564827"/>
    <x v="0"/>
    <n v="1"/>
    <n v="6564827"/>
  </r>
  <r>
    <n v="2026"/>
    <n v="1"/>
    <d v="2026-01-12T00:00:00"/>
    <n v="182253"/>
    <x v="5"/>
    <s v="WACC"/>
    <x v="7"/>
    <s v="EARRINGS"/>
    <n v="4121752"/>
    <x v="0"/>
    <n v="1"/>
    <n v="4121752"/>
  </r>
  <r>
    <n v="2026"/>
    <n v="1"/>
    <d v="2026-01-12T00:00:00"/>
    <n v="182256"/>
    <x v="5"/>
    <s v="WACC"/>
    <x v="7"/>
    <s v="EARRINGS"/>
    <n v="7194332"/>
    <x v="1"/>
    <n v="1"/>
    <n v="7194332"/>
  </r>
  <r>
    <n v="2026"/>
    <n v="1"/>
    <d v="2026-01-12T00:00:00"/>
    <n v="182263"/>
    <x v="5"/>
    <s v="WACC"/>
    <x v="7"/>
    <s v="EARRINGS"/>
    <n v="5036031"/>
    <x v="1"/>
    <n v="1"/>
    <n v="5036031"/>
  </r>
  <r>
    <n v="2026"/>
    <n v="1"/>
    <d v="2026-01-12T00:00:00"/>
    <n v="182264"/>
    <x v="5"/>
    <s v="WACC"/>
    <x v="7"/>
    <s v="EARRINGS"/>
    <n v="5036031"/>
    <x v="2"/>
    <n v="1"/>
    <n v="5036031"/>
  </r>
  <r>
    <n v="2026"/>
    <n v="1"/>
    <d v="2026-01-12T00:00:00"/>
    <n v="182265"/>
    <x v="5"/>
    <s v="WACC"/>
    <x v="7"/>
    <s v="EARRINGS"/>
    <n v="3881941"/>
    <x v="2"/>
    <n v="1"/>
    <n v="3881941"/>
  </r>
  <r>
    <n v="2026"/>
    <n v="1"/>
    <d v="2026-01-12T00:00:00"/>
    <n v="182267"/>
    <x v="5"/>
    <s v="WACC"/>
    <x v="7"/>
    <s v="EARRINGS"/>
    <n v="2098346"/>
    <x v="1"/>
    <n v="1"/>
    <n v="2098346"/>
  </r>
  <r>
    <n v="2026"/>
    <n v="1"/>
    <d v="2026-01-12T00:00:00"/>
    <n v="182281"/>
    <x v="5"/>
    <s v="WACC"/>
    <x v="7"/>
    <s v="EARRINGS"/>
    <n v="4196693"/>
    <x v="2"/>
    <n v="1"/>
    <n v="4196693"/>
  </r>
  <r>
    <n v="2026"/>
    <n v="1"/>
    <d v="2026-01-12T00:00:00"/>
    <n v="182566"/>
    <x v="6"/>
    <s v="WACC"/>
    <x v="7"/>
    <s v="RING"/>
    <n v="75335867"/>
    <x v="1"/>
    <n v="1"/>
    <n v="75335867"/>
  </r>
  <r>
    <n v="2026"/>
    <n v="1"/>
    <d v="2026-01-12T00:00:00"/>
    <n v="186304"/>
    <x v="2"/>
    <s v="WACC"/>
    <x v="7"/>
    <s v="EARRINGS"/>
    <n v="1134000"/>
    <x v="2"/>
    <n v="1"/>
    <n v="1134000"/>
  </r>
  <r>
    <n v="2026"/>
    <n v="1"/>
    <d v="2026-01-12T00:00:00"/>
    <n v="186305"/>
    <x v="2"/>
    <s v="WACC"/>
    <x v="7"/>
    <s v="EARRINGS"/>
    <n v="1026000"/>
    <x v="2"/>
    <n v="1"/>
    <n v="1026000"/>
  </r>
  <r>
    <n v="2026"/>
    <n v="1"/>
    <d v="2026-01-12T00:00:00"/>
    <n v="186306"/>
    <x v="2"/>
    <s v="WACC"/>
    <x v="7"/>
    <s v="EARRINGS"/>
    <n v="1026000"/>
    <x v="3"/>
    <n v="1"/>
    <n v="1026000"/>
  </r>
  <r>
    <n v="2026"/>
    <n v="1"/>
    <d v="2026-01-12T00:00:00"/>
    <n v="186311"/>
    <x v="4"/>
    <s v="WACC"/>
    <x v="7"/>
    <s v="RING"/>
    <n v="21330000"/>
    <x v="1"/>
    <n v="1"/>
    <n v="21330000"/>
  </r>
  <r>
    <n v="2026"/>
    <n v="1"/>
    <d v="2026-01-12T00:00:00"/>
    <n v="186312"/>
    <x v="4"/>
    <s v="WACC"/>
    <x v="7"/>
    <s v="EARRINGS"/>
    <n v="16200000"/>
    <x v="1"/>
    <n v="1"/>
    <n v="16200000"/>
  </r>
  <r>
    <n v="2026"/>
    <n v="1"/>
    <d v="2026-01-12T00:00:00"/>
    <n v="186453"/>
    <x v="0"/>
    <s v="WACC"/>
    <x v="7"/>
    <s v="EARRINGS"/>
    <n v="14514286"/>
    <x v="1"/>
    <n v="1"/>
    <n v="14514286"/>
  </r>
  <r>
    <n v="2026"/>
    <n v="1"/>
    <d v="2026-01-12T00:00:00"/>
    <n v="186459"/>
    <x v="0"/>
    <s v="WACC"/>
    <x v="7"/>
    <s v="EARRINGS"/>
    <n v="26997902"/>
    <x v="1"/>
    <n v="1"/>
    <n v="26997902"/>
  </r>
  <r>
    <n v="2026"/>
    <n v="1"/>
    <d v="2026-01-12T00:00:00"/>
    <n v="186462"/>
    <x v="0"/>
    <s v="WACC"/>
    <x v="7"/>
    <s v="RING"/>
    <n v="5184701"/>
    <x v="5"/>
    <n v="1"/>
    <n v="5184701"/>
  </r>
  <r>
    <n v="2026"/>
    <n v="1"/>
    <d v="2026-01-12T00:00:00"/>
    <n v="186463"/>
    <x v="0"/>
    <s v="WACC"/>
    <x v="7"/>
    <s v="RING"/>
    <n v="8472421"/>
    <x v="5"/>
    <n v="1"/>
    <n v="8472421"/>
  </r>
  <r>
    <n v="2026"/>
    <n v="1"/>
    <d v="2026-01-12T00:00:00"/>
    <n v="186464"/>
    <x v="0"/>
    <s v="WACC"/>
    <x v="7"/>
    <s v="RING"/>
    <n v="6414358"/>
    <x v="1"/>
    <n v="1"/>
    <n v="6414358"/>
  </r>
  <r>
    <n v="2026"/>
    <n v="1"/>
    <d v="2026-01-12T00:00:00"/>
    <n v="186468"/>
    <x v="0"/>
    <s v="WACC"/>
    <x v="7"/>
    <s v="RING"/>
    <n v="45123438"/>
    <x v="0"/>
    <n v="1"/>
    <n v="45123438"/>
  </r>
  <r>
    <n v="2026"/>
    <n v="1"/>
    <d v="2026-01-12T00:00:00"/>
    <n v="186473"/>
    <x v="0"/>
    <s v="WACC"/>
    <x v="7"/>
    <s v="RING"/>
    <n v="7383705"/>
    <x v="1"/>
    <n v="1"/>
    <n v="7383705"/>
  </r>
  <r>
    <n v="2026"/>
    <n v="1"/>
    <d v="2026-01-12T00:00:00"/>
    <n v="186474"/>
    <x v="0"/>
    <s v="WACC"/>
    <x v="7"/>
    <s v="NECKLACE"/>
    <n v="25845843"/>
    <x v="1"/>
    <n v="1"/>
    <n v="25845843"/>
  </r>
  <r>
    <n v="2026"/>
    <n v="1"/>
    <d v="2026-01-12T00:00:00"/>
    <n v="186477"/>
    <x v="0"/>
    <s v="WACC"/>
    <x v="7"/>
    <s v="NECKLACE"/>
    <n v="16207046"/>
    <x v="0"/>
    <n v="1"/>
    <n v="16207046"/>
  </r>
  <r>
    <n v="2026"/>
    <n v="1"/>
    <d v="2026-01-12T00:00:00"/>
    <n v="186482"/>
    <x v="0"/>
    <s v="WACC"/>
    <x v="7"/>
    <s v="NECKLACE"/>
    <n v="29934637"/>
    <x v="0"/>
    <n v="1"/>
    <n v="29934637"/>
  </r>
  <r>
    <n v="2026"/>
    <n v="1"/>
    <d v="2026-01-12T00:00:00"/>
    <n v="186487"/>
    <x v="0"/>
    <s v="WACC"/>
    <x v="7"/>
    <s v="RING"/>
    <n v="7749006"/>
    <x v="5"/>
    <n v="1"/>
    <n v="7749006"/>
  </r>
  <r>
    <n v="2026"/>
    <n v="1"/>
    <d v="2026-01-12T00:00:00"/>
    <n v="186490"/>
    <x v="0"/>
    <s v="WACC"/>
    <x v="7"/>
    <s v="RING"/>
    <n v="6582629"/>
    <x v="1"/>
    <n v="1"/>
    <n v="6582629"/>
  </r>
  <r>
    <n v="2026"/>
    <n v="1"/>
    <d v="2026-01-12T00:00:00"/>
    <n v="186491"/>
    <x v="0"/>
    <s v="WACC"/>
    <x v="7"/>
    <s v="RING"/>
    <n v="7320424"/>
    <x v="1"/>
    <n v="1"/>
    <n v="7320424"/>
  </r>
  <r>
    <n v="2026"/>
    <n v="1"/>
    <d v="2026-01-12T00:00:00"/>
    <n v="186497"/>
    <x v="0"/>
    <s v="WACC"/>
    <x v="7"/>
    <s v="RING"/>
    <n v="6343888"/>
    <x v="1"/>
    <n v="1"/>
    <n v="6343888"/>
  </r>
  <r>
    <n v="2026"/>
    <n v="1"/>
    <d v="2026-01-12T00:00:00"/>
    <n v="186498"/>
    <x v="0"/>
    <s v="WACC"/>
    <x v="7"/>
    <s v="RING"/>
    <n v="6891841"/>
    <x v="1"/>
    <n v="1"/>
    <n v="6891841"/>
  </r>
  <r>
    <n v="2026"/>
    <n v="1"/>
    <d v="2026-01-12T00:00:00"/>
    <n v="193094"/>
    <x v="9"/>
    <s v="WACC"/>
    <x v="8"/>
    <s v="EARRINGS"/>
    <n v="101201414"/>
    <x v="1"/>
    <n v="1"/>
    <n v="101201414"/>
  </r>
  <r>
    <n v="2026"/>
    <n v="1"/>
    <d v="2026-01-12T00:00:00"/>
    <n v="193095"/>
    <x v="9"/>
    <s v="WACC"/>
    <x v="8"/>
    <s v="EARRINGS"/>
    <n v="139997498"/>
    <x v="1"/>
    <n v="1"/>
    <n v="139997498"/>
  </r>
  <r>
    <n v="2026"/>
    <n v="1"/>
    <d v="2026-01-12T00:00:00"/>
    <n v="193097"/>
    <x v="9"/>
    <s v="WACC"/>
    <x v="8"/>
    <s v="RING"/>
    <n v="98538269"/>
    <x v="1"/>
    <n v="1"/>
    <n v="98538269"/>
  </r>
  <r>
    <n v="2026"/>
    <n v="1"/>
    <d v="2026-01-12T00:00:00"/>
    <n v="193238"/>
    <x v="8"/>
    <s v="WACC"/>
    <x v="8"/>
    <s v="EARRINGS"/>
    <n v="134392500"/>
    <x v="0"/>
    <n v="1"/>
    <n v="134392500"/>
  </r>
  <r>
    <n v="2026"/>
    <n v="1"/>
    <d v="2026-01-12T00:00:00"/>
    <n v="193240"/>
    <x v="3"/>
    <s v="WACC"/>
    <x v="8"/>
    <s v="NECKLACE"/>
    <n v="1435500"/>
    <x v="3"/>
    <n v="1"/>
    <n v="1435500"/>
  </r>
  <r>
    <n v="2026"/>
    <n v="1"/>
    <d v="2026-01-12T00:00:00"/>
    <n v="193242"/>
    <x v="3"/>
    <s v="WACC"/>
    <x v="8"/>
    <s v="NECKLACE"/>
    <n v="1435500"/>
    <x v="3"/>
    <n v="1"/>
    <n v="1435500"/>
  </r>
  <r>
    <n v="2026"/>
    <n v="1"/>
    <d v="2026-01-12T00:00:00"/>
    <n v="201555"/>
    <x v="1"/>
    <s v="WACC"/>
    <x v="8"/>
    <s v="EARRINGS"/>
    <n v="41981976"/>
    <x v="0"/>
    <n v="1"/>
    <n v="41981976"/>
  </r>
  <r>
    <n v="2026"/>
    <n v="1"/>
    <d v="2026-01-12T00:00:00"/>
    <n v="201559"/>
    <x v="1"/>
    <s v="WACC"/>
    <x v="8"/>
    <s v="EARRINGS"/>
    <n v="3403944"/>
    <x v="0"/>
    <n v="1"/>
    <n v="3403944"/>
  </r>
  <r>
    <n v="2026"/>
    <n v="1"/>
    <d v="2026-01-12T00:00:00"/>
    <n v="201561"/>
    <x v="1"/>
    <s v="WACC"/>
    <x v="8"/>
    <s v="EARRINGS"/>
    <n v="39712680"/>
    <x v="0"/>
    <n v="1"/>
    <n v="39712680"/>
  </r>
  <r>
    <n v="2026"/>
    <n v="1"/>
    <d v="2026-01-12T00:00:00"/>
    <n v="201571"/>
    <x v="1"/>
    <s v="WACC"/>
    <x v="8"/>
    <s v="EARRINGS"/>
    <n v="6694423"/>
    <x v="0"/>
    <n v="1"/>
    <n v="6694423"/>
  </r>
  <r>
    <n v="2026"/>
    <n v="1"/>
    <d v="2026-01-12T00:00:00"/>
    <n v="201643"/>
    <x v="6"/>
    <s v="WACC"/>
    <x v="9"/>
    <s v="EARRINGS"/>
    <n v="55653750"/>
    <x v="0"/>
    <n v="1"/>
    <n v="55653750"/>
  </r>
  <r>
    <n v="2026"/>
    <n v="1"/>
    <d v="2026-01-12T00:00:00"/>
    <n v="202683"/>
    <x v="8"/>
    <s v="WACC"/>
    <x v="9"/>
    <s v="NECKLACE"/>
    <n v="111775242"/>
    <x v="1"/>
    <n v="1"/>
    <n v="111775242"/>
  </r>
  <r>
    <n v="2026"/>
    <n v="1"/>
    <d v="2026-01-12T00:00:00"/>
    <n v="202689"/>
    <x v="8"/>
    <s v="WACC"/>
    <x v="9"/>
    <s v="NECKLACE"/>
    <n v="76391978"/>
    <x v="4"/>
    <n v="1"/>
    <n v="76391978"/>
  </r>
  <r>
    <n v="2026"/>
    <n v="1"/>
    <d v="2026-01-12T00:00:00"/>
    <n v="202690"/>
    <x v="8"/>
    <s v="WACC"/>
    <x v="9"/>
    <s v="NECKLACE"/>
    <n v="11115019"/>
    <x v="4"/>
    <n v="1"/>
    <n v="11115019"/>
  </r>
  <r>
    <n v="2026"/>
    <n v="1"/>
    <d v="2026-01-12T00:00:00"/>
    <n v="202694"/>
    <x v="8"/>
    <s v="WACC"/>
    <x v="9"/>
    <s v="EARRINGS"/>
    <n v="25300936"/>
    <x v="0"/>
    <n v="1"/>
    <n v="25300936"/>
  </r>
  <r>
    <n v="2026"/>
    <n v="1"/>
    <d v="2026-01-12T00:00:00"/>
    <n v="202699"/>
    <x v="8"/>
    <s v="WACC"/>
    <x v="9"/>
    <s v="EARRINGS"/>
    <n v="9864920"/>
    <x v="1"/>
    <n v="1"/>
    <n v="9864920"/>
  </r>
  <r>
    <n v="2026"/>
    <n v="1"/>
    <d v="2026-01-12T00:00:00"/>
    <n v="202702"/>
    <x v="8"/>
    <s v="WACC"/>
    <x v="9"/>
    <s v="EARRINGS"/>
    <n v="20055952"/>
    <x v="0"/>
    <n v="1"/>
    <n v="20055952"/>
  </r>
  <r>
    <n v="2026"/>
    <n v="1"/>
    <d v="2026-01-12T00:00:00"/>
    <n v="202705"/>
    <x v="8"/>
    <s v="WACC"/>
    <x v="9"/>
    <s v="BRACELET"/>
    <n v="8506115"/>
    <x v="1"/>
    <n v="1"/>
    <n v="8506115"/>
  </r>
  <r>
    <n v="2026"/>
    <n v="1"/>
    <d v="2026-01-12T00:00:00"/>
    <n v="202754"/>
    <x v="0"/>
    <s v="WJEW"/>
    <x v="9"/>
    <s v="EARRINGS"/>
    <n v="38709942"/>
    <x v="1"/>
    <n v="2"/>
    <n v="77419884"/>
  </r>
  <r>
    <n v="2026"/>
    <n v="1"/>
    <d v="2026-01-12T00:00:00"/>
    <n v="202756"/>
    <x v="0"/>
    <s v="WJEW"/>
    <x v="9"/>
    <s v="RING"/>
    <n v="3047517"/>
    <x v="1"/>
    <n v="1"/>
    <n v="3047517"/>
  </r>
  <r>
    <n v="2026"/>
    <n v="1"/>
    <d v="2026-01-12T00:00:00"/>
    <n v="202761"/>
    <x v="0"/>
    <s v="WJEW"/>
    <x v="9"/>
    <s v="RING"/>
    <n v="5381784"/>
    <x v="1"/>
    <n v="1"/>
    <n v="5381784"/>
  </r>
  <r>
    <n v="2026"/>
    <n v="1"/>
    <d v="2026-01-12T00:00:00"/>
    <n v="202762"/>
    <x v="0"/>
    <s v="WJEW"/>
    <x v="9"/>
    <s v="RING"/>
    <n v="3501402"/>
    <x v="0"/>
    <n v="1"/>
    <n v="3501402"/>
  </r>
  <r>
    <n v="2026"/>
    <n v="1"/>
    <d v="2026-01-12T00:00:00"/>
    <n v="202763"/>
    <x v="0"/>
    <s v="WJEW"/>
    <x v="9"/>
    <s v="RING"/>
    <n v="3501402"/>
    <x v="0"/>
    <n v="1"/>
    <n v="3501402"/>
  </r>
  <r>
    <n v="2026"/>
    <n v="1"/>
    <d v="2026-01-12T00:00:00"/>
    <n v="202766"/>
    <x v="0"/>
    <s v="WJEW"/>
    <x v="9"/>
    <s v="RING"/>
    <n v="10893250"/>
    <x v="1"/>
    <n v="1"/>
    <n v="10893250"/>
  </r>
  <r>
    <n v="2026"/>
    <n v="1"/>
    <d v="2026-01-12T00:00:00"/>
    <n v="202767"/>
    <x v="0"/>
    <s v="WJEW"/>
    <x v="9"/>
    <s v="RING"/>
    <n v="3177198"/>
    <x v="1"/>
    <n v="1"/>
    <n v="3177198"/>
  </r>
  <r>
    <n v="2026"/>
    <n v="1"/>
    <d v="2026-01-12T00:00:00"/>
    <n v="202768"/>
    <x v="0"/>
    <s v="WJEW"/>
    <x v="9"/>
    <s v="RING"/>
    <n v="3177198"/>
    <x v="1"/>
    <n v="1"/>
    <n v="3177198"/>
  </r>
  <r>
    <n v="2026"/>
    <n v="1"/>
    <d v="2026-01-12T00:00:00"/>
    <n v="202769"/>
    <x v="0"/>
    <s v="WJEW"/>
    <x v="9"/>
    <s v="RING"/>
    <n v="2074905"/>
    <x v="1"/>
    <n v="1"/>
    <n v="2074905"/>
  </r>
  <r>
    <n v="2026"/>
    <n v="1"/>
    <d v="2026-01-12T00:00:00"/>
    <n v="202771"/>
    <x v="0"/>
    <s v="WJEW"/>
    <x v="9"/>
    <s v="RING"/>
    <n v="5252102"/>
    <x v="1"/>
    <n v="1"/>
    <n v="5252102"/>
  </r>
  <r>
    <n v="2026"/>
    <n v="1"/>
    <d v="2026-01-12T00:00:00"/>
    <n v="202772"/>
    <x v="0"/>
    <s v="WJEW"/>
    <x v="9"/>
    <s v="RING"/>
    <n v="4409173"/>
    <x v="1"/>
    <n v="1"/>
    <n v="4409173"/>
  </r>
  <r>
    <n v="2026"/>
    <n v="1"/>
    <d v="2026-01-12T00:00:00"/>
    <n v="202773"/>
    <x v="0"/>
    <s v="WJEW"/>
    <x v="9"/>
    <s v="RING"/>
    <n v="3047517"/>
    <x v="1"/>
    <n v="1"/>
    <n v="3047517"/>
  </r>
  <r>
    <n v="2026"/>
    <n v="1"/>
    <d v="2026-01-12T00:00:00"/>
    <n v="202777"/>
    <x v="0"/>
    <s v="WJEW"/>
    <x v="9"/>
    <s v="RING"/>
    <n v="3306879"/>
    <x v="1"/>
    <n v="1"/>
    <n v="3306879"/>
  </r>
  <r>
    <n v="2026"/>
    <n v="1"/>
    <d v="2026-01-12T00:00:00"/>
    <n v="202780"/>
    <x v="0"/>
    <s v="WJEW"/>
    <x v="9"/>
    <s v="NECKLACE"/>
    <n v="2593631"/>
    <x v="1"/>
    <n v="1"/>
    <n v="2593631"/>
  </r>
  <r>
    <n v="2026"/>
    <n v="1"/>
    <d v="2026-01-12T00:00:00"/>
    <n v="202781"/>
    <x v="0"/>
    <s v="WJEW"/>
    <x v="9"/>
    <s v="NECKLACE"/>
    <n v="1491338"/>
    <x v="1"/>
    <n v="3"/>
    <n v="4474014"/>
  </r>
  <r>
    <n v="2026"/>
    <n v="1"/>
    <d v="2026-01-12T00:00:00"/>
    <n v="202781"/>
    <x v="0"/>
    <s v="WJEW"/>
    <x v="9"/>
    <s v="NECKLACE"/>
    <n v="1491338"/>
    <x v="0"/>
    <n v="5"/>
    <n v="7456690"/>
  </r>
  <r>
    <n v="2026"/>
    <n v="1"/>
    <d v="2026-01-12T00:00:00"/>
    <n v="202781"/>
    <x v="0"/>
    <s v="WJEW"/>
    <x v="9"/>
    <s v="NECKLACE"/>
    <n v="1491338"/>
    <x v="3"/>
    <n v="1"/>
    <n v="1491338"/>
  </r>
  <r>
    <n v="2026"/>
    <n v="1"/>
    <d v="2026-01-12T00:00:00"/>
    <n v="202784"/>
    <x v="0"/>
    <s v="WJEW"/>
    <x v="9"/>
    <s v="RING"/>
    <n v="3825605"/>
    <x v="0"/>
    <n v="1"/>
    <n v="3825605"/>
  </r>
  <r>
    <n v="2026"/>
    <n v="1"/>
    <d v="2026-01-12T00:00:00"/>
    <n v="202801"/>
    <x v="0"/>
    <s v="WJEW"/>
    <x v="9"/>
    <s v="RING"/>
    <n v="6354396"/>
    <x v="0"/>
    <n v="1"/>
    <n v="6354396"/>
  </r>
  <r>
    <n v="2026"/>
    <n v="1"/>
    <d v="2026-01-12T00:00:00"/>
    <n v="202804"/>
    <x v="0"/>
    <s v="WJEW"/>
    <x v="9"/>
    <s v="RING"/>
    <n v="9077708"/>
    <x v="1"/>
    <n v="1"/>
    <n v="9077708"/>
  </r>
  <r>
    <n v="2026"/>
    <n v="1"/>
    <d v="2026-01-12T00:00:00"/>
    <n v="202805"/>
    <x v="0"/>
    <s v="WJEW"/>
    <x v="9"/>
    <s v="RING"/>
    <n v="9077708"/>
    <x v="1"/>
    <n v="1"/>
    <n v="9077708"/>
  </r>
  <r>
    <n v="2026"/>
    <n v="1"/>
    <d v="2026-01-12T00:00:00"/>
    <n v="202806"/>
    <x v="0"/>
    <s v="WJEW"/>
    <x v="9"/>
    <s v="RING"/>
    <n v="8429300"/>
    <x v="1"/>
    <n v="1"/>
    <n v="8429300"/>
  </r>
  <r>
    <n v="2026"/>
    <n v="1"/>
    <d v="2026-01-12T00:00:00"/>
    <n v="202807"/>
    <x v="0"/>
    <s v="WJEW"/>
    <x v="9"/>
    <s v="RING"/>
    <n v="8429300"/>
    <x v="1"/>
    <n v="1"/>
    <n v="8429300"/>
  </r>
  <r>
    <n v="2026"/>
    <n v="1"/>
    <d v="2026-01-12T00:00:00"/>
    <n v="202808"/>
    <x v="0"/>
    <s v="WJEW"/>
    <x v="9"/>
    <s v="RING"/>
    <n v="4863058"/>
    <x v="1"/>
    <n v="1"/>
    <n v="4863058"/>
  </r>
  <r>
    <n v="2026"/>
    <n v="1"/>
    <d v="2026-01-12T00:00:00"/>
    <n v="203149"/>
    <x v="6"/>
    <s v="WJEW"/>
    <x v="9"/>
    <s v="EARRINGS"/>
    <n v="213736578"/>
    <x v="1"/>
    <n v="1"/>
    <n v="213736578"/>
  </r>
  <r>
    <n v="2026"/>
    <n v="1"/>
    <d v="2026-01-12T00:00:00"/>
    <n v="203155"/>
    <x v="6"/>
    <s v="WJEW"/>
    <x v="9"/>
    <s v="RING"/>
    <n v="332990873"/>
    <x v="5"/>
    <n v="1"/>
    <n v="332990873"/>
  </r>
  <r>
    <n v="2026"/>
    <n v="1"/>
    <d v="2026-01-12T00:00:00"/>
    <n v="203156"/>
    <x v="6"/>
    <s v="WJEW"/>
    <x v="9"/>
    <s v="RING"/>
    <n v="125091485"/>
    <x v="1"/>
    <n v="1"/>
    <n v="125091485"/>
  </r>
  <r>
    <n v="2026"/>
    <n v="1"/>
    <d v="2026-01-12T00:00:00"/>
    <n v="204925"/>
    <x v="4"/>
    <s v="WJEW"/>
    <x v="9"/>
    <s v="EARRINGS"/>
    <n v="8250000"/>
    <x v="1"/>
    <n v="1"/>
    <n v="8250000"/>
  </r>
  <r>
    <n v="2026"/>
    <n v="1"/>
    <d v="2026-01-12T00:00:00"/>
    <n v="204928"/>
    <x v="4"/>
    <s v="WJEW"/>
    <x v="9"/>
    <s v="EARRINGS"/>
    <n v="4950000"/>
    <x v="1"/>
    <n v="1"/>
    <n v="4950000"/>
  </r>
  <r>
    <n v="2026"/>
    <n v="1"/>
    <d v="2026-01-12T00:00:00"/>
    <n v="204999"/>
    <x v="3"/>
    <s v="WJEW"/>
    <x v="10"/>
    <s v="NECKLACE"/>
    <n v="1363267"/>
    <x v="2"/>
    <n v="1"/>
    <n v="1363267"/>
  </r>
  <r>
    <n v="2026"/>
    <n v="1"/>
    <d v="2026-01-12T00:00:00"/>
    <n v="205001"/>
    <x v="3"/>
    <s v="WJEW"/>
    <x v="10"/>
    <s v="NECKLACE"/>
    <n v="1620996"/>
    <x v="2"/>
    <n v="1"/>
    <n v="1620996"/>
  </r>
  <r>
    <n v="2026"/>
    <n v="1"/>
    <d v="2026-01-12T00:00:00"/>
    <n v="205002"/>
    <x v="3"/>
    <s v="WJEW"/>
    <x v="10"/>
    <s v="NECKLACE"/>
    <n v="1599800"/>
    <x v="1"/>
    <n v="1"/>
    <n v="1599800"/>
  </r>
  <r>
    <n v="2026"/>
    <n v="1"/>
    <d v="2026-01-12T00:00:00"/>
    <n v="205019"/>
    <x v="3"/>
    <s v="WJEW"/>
    <x v="10"/>
    <s v="NECKLACE"/>
    <n v="1620996"/>
    <x v="1"/>
    <n v="1"/>
    <n v="1620996"/>
  </r>
  <r>
    <n v="2026"/>
    <n v="1"/>
    <d v="2026-01-12T00:00:00"/>
    <n v="205041"/>
    <x v="3"/>
    <s v="WJEW"/>
    <x v="10"/>
    <s v="EARRINGS"/>
    <n v="373884"/>
    <x v="2"/>
    <n v="1"/>
    <n v="373884"/>
  </r>
  <r>
    <n v="2026"/>
    <n v="1"/>
    <d v="2026-01-12T00:00:00"/>
    <n v="205043"/>
    <x v="3"/>
    <s v="WJEW"/>
    <x v="10"/>
    <s v="EARRINGS"/>
    <n v="636698"/>
    <x v="1"/>
    <n v="1"/>
    <n v="636698"/>
  </r>
  <r>
    <n v="2026"/>
    <n v="1"/>
    <d v="2026-01-12T00:00:00"/>
    <n v="205049"/>
    <x v="3"/>
    <s v="WJEW"/>
    <x v="10"/>
    <s v="EARRINGS"/>
    <n v="689261"/>
    <x v="2"/>
    <n v="1"/>
    <n v="689261"/>
  </r>
  <r>
    <n v="2026"/>
    <n v="1"/>
    <d v="2026-01-12T00:00:00"/>
    <n v="205051"/>
    <x v="3"/>
    <s v="WJEW"/>
    <x v="10"/>
    <s v="EARRINGS"/>
    <n v="610417"/>
    <x v="2"/>
    <n v="1"/>
    <n v="610417"/>
  </r>
  <r>
    <n v="2026"/>
    <n v="1"/>
    <d v="2026-01-12T00:00:00"/>
    <n v="205065"/>
    <x v="7"/>
    <s v="WJEW"/>
    <x v="10"/>
    <s v="RING"/>
    <n v="105556804"/>
    <x v="5"/>
    <n v="1"/>
    <n v="105556804"/>
  </r>
  <r>
    <n v="2026"/>
    <n v="1"/>
    <d v="2026-01-12T00:00:00"/>
    <n v="205066"/>
    <x v="7"/>
    <s v="WJEW"/>
    <x v="10"/>
    <s v="RING"/>
    <n v="94730465"/>
    <x v="0"/>
    <n v="1"/>
    <n v="94730465"/>
  </r>
  <r>
    <n v="2026"/>
    <n v="1"/>
    <d v="2026-01-12T00:00:00"/>
    <n v="205068"/>
    <x v="7"/>
    <s v="WJEW"/>
    <x v="10"/>
    <s v="RING"/>
    <n v="99647014"/>
    <x v="0"/>
    <n v="1"/>
    <n v="99647014"/>
  </r>
  <r>
    <n v="2026"/>
    <n v="1"/>
    <d v="2026-01-12T00:00:00"/>
    <n v="205071"/>
    <x v="7"/>
    <s v="WJEW"/>
    <x v="10"/>
    <s v="RING"/>
    <n v="83333012"/>
    <x v="1"/>
    <n v="1"/>
    <n v="83333012"/>
  </r>
  <r>
    <n v="2026"/>
    <n v="1"/>
    <d v="2026-01-12T00:00:00"/>
    <n v="205078"/>
    <x v="7"/>
    <s v="WJEW"/>
    <x v="10"/>
    <s v="NECKLACE"/>
    <n v="29772432"/>
    <x v="1"/>
    <n v="1"/>
    <n v="29772432"/>
  </r>
  <r>
    <n v="2026"/>
    <n v="1"/>
    <d v="2026-01-12T00:00:00"/>
    <n v="205081"/>
    <x v="10"/>
    <s v="WJEW"/>
    <x v="9"/>
    <s v="RING"/>
    <n v="53966656"/>
    <x v="1"/>
    <n v="1"/>
    <n v="53966656"/>
  </r>
  <r>
    <n v="2026"/>
    <n v="1"/>
    <d v="2026-01-12T00:00:00"/>
    <n v="205082"/>
    <x v="10"/>
    <s v="WJEW"/>
    <x v="9"/>
    <s v="RING"/>
    <n v="53738160"/>
    <x v="0"/>
    <n v="1"/>
    <n v="53738160"/>
  </r>
  <r>
    <n v="2026"/>
    <n v="1"/>
    <d v="2026-01-12T00:00:00"/>
    <n v="205083"/>
    <x v="10"/>
    <s v="WJEW"/>
    <x v="9"/>
    <s v="RING"/>
    <n v="53738160"/>
    <x v="1"/>
    <n v="1"/>
    <n v="53738160"/>
  </r>
  <r>
    <n v="2026"/>
    <n v="1"/>
    <d v="2026-01-12T00:00:00"/>
    <n v="205084"/>
    <x v="10"/>
    <s v="WJEW"/>
    <x v="9"/>
    <s v="EARRINGS"/>
    <n v="59243382"/>
    <x v="0"/>
    <n v="1"/>
    <n v="59243382"/>
  </r>
  <r>
    <n v="2026"/>
    <n v="1"/>
    <d v="2026-01-12T00:00:00"/>
    <n v="205086"/>
    <x v="10"/>
    <s v="WJEW"/>
    <x v="9"/>
    <s v="RING"/>
    <n v="62417605"/>
    <x v="0"/>
    <n v="1"/>
    <n v="62417605"/>
  </r>
  <r>
    <n v="2026"/>
    <n v="1"/>
    <d v="2026-01-12T00:00:00"/>
    <n v="205088"/>
    <x v="10"/>
    <s v="WJEW"/>
    <x v="9"/>
    <s v="RING"/>
    <n v="62417605"/>
    <x v="1"/>
    <n v="1"/>
    <n v="62417605"/>
  </r>
  <r>
    <n v="2026"/>
    <n v="1"/>
    <d v="2026-01-12T00:00:00"/>
    <n v="205089"/>
    <x v="10"/>
    <s v="WJEW"/>
    <x v="9"/>
    <s v="EARRINGS"/>
    <n v="79474542"/>
    <x v="0"/>
    <n v="1"/>
    <n v="79474542"/>
  </r>
  <r>
    <n v="2026"/>
    <n v="1"/>
    <d v="2026-01-12T00:00:00"/>
    <n v="205090"/>
    <x v="10"/>
    <s v="WJEW"/>
    <x v="9"/>
    <s v="NECKLACE"/>
    <n v="68249795"/>
    <x v="1"/>
    <n v="1"/>
    <n v="68249795"/>
  </r>
  <r>
    <n v="2026"/>
    <n v="1"/>
    <d v="2026-01-12T00:00:00"/>
    <n v="205091"/>
    <x v="10"/>
    <s v="WJEW"/>
    <x v="9"/>
    <s v="RING"/>
    <n v="54961812"/>
    <x v="0"/>
    <n v="1"/>
    <n v="54961812"/>
  </r>
  <r>
    <n v="2026"/>
    <n v="1"/>
    <d v="2026-01-12T00:00:00"/>
    <n v="205092"/>
    <x v="10"/>
    <s v="WJEW"/>
    <x v="9"/>
    <s v="RING"/>
    <n v="54961812"/>
    <x v="1"/>
    <n v="1"/>
    <n v="54961812"/>
  </r>
  <r>
    <n v="2026"/>
    <n v="1"/>
    <d v="2026-01-12T00:00:00"/>
    <n v="205093"/>
    <x v="10"/>
    <s v="WJEW"/>
    <x v="9"/>
    <s v="EARRINGS"/>
    <n v="54204628"/>
    <x v="1"/>
    <n v="1"/>
    <n v="54204628"/>
  </r>
  <r>
    <n v="2026"/>
    <n v="1"/>
    <d v="2026-01-12T00:00:00"/>
    <n v="205093"/>
    <x v="10"/>
    <s v="WJEW"/>
    <x v="9"/>
    <s v="EARRINGS"/>
    <n v="54204628"/>
    <x v="0"/>
    <n v="1"/>
    <n v="54204628"/>
  </r>
  <r>
    <n v="2026"/>
    <n v="1"/>
    <d v="2026-01-12T00:00:00"/>
    <n v="205095"/>
    <x v="10"/>
    <s v="WJEW"/>
    <x v="9"/>
    <s v="RING"/>
    <n v="39952315"/>
    <x v="1"/>
    <n v="1"/>
    <n v="39952315"/>
  </r>
  <r>
    <n v="2026"/>
    <n v="1"/>
    <d v="2026-01-12T00:00:00"/>
    <n v="205096"/>
    <x v="10"/>
    <s v="WJEW"/>
    <x v="9"/>
    <s v="RING"/>
    <n v="39952315"/>
    <x v="0"/>
    <n v="1"/>
    <n v="39952315"/>
  </r>
  <r>
    <n v="2026"/>
    <n v="1"/>
    <d v="2026-01-12T00:00:00"/>
    <n v="205097"/>
    <x v="10"/>
    <s v="WJEW"/>
    <x v="9"/>
    <s v="RING"/>
    <n v="39952315"/>
    <x v="1"/>
    <n v="1"/>
    <n v="39952315"/>
  </r>
  <r>
    <n v="2026"/>
    <n v="1"/>
    <d v="2026-01-12T00:00:00"/>
    <n v="205098"/>
    <x v="10"/>
    <s v="WJEW"/>
    <x v="9"/>
    <s v="RING"/>
    <n v="39952315"/>
    <x v="0"/>
    <n v="1"/>
    <n v="39952315"/>
  </r>
  <r>
    <n v="2026"/>
    <n v="1"/>
    <d v="2026-01-12T00:00:00"/>
    <n v="205101"/>
    <x v="10"/>
    <s v="WJEW"/>
    <x v="9"/>
    <s v="RING"/>
    <n v="97079781"/>
    <x v="0"/>
    <n v="1"/>
    <n v="97079781"/>
  </r>
  <r>
    <n v="2026"/>
    <n v="1"/>
    <d v="2026-01-12T00:00:00"/>
    <n v="205103"/>
    <x v="10"/>
    <s v="WJEW"/>
    <x v="9"/>
    <s v="EARRINGS"/>
    <n v="102028015"/>
    <x v="0"/>
    <n v="1"/>
    <n v="102028015"/>
  </r>
  <r>
    <n v="2026"/>
    <n v="1"/>
    <d v="2026-01-12T00:00:00"/>
    <n v="205106"/>
    <x v="10"/>
    <s v="WJEW"/>
    <x v="9"/>
    <s v="EARRINGS"/>
    <n v="103548888"/>
    <x v="0"/>
    <n v="1"/>
    <n v="103548888"/>
  </r>
  <r>
    <n v="2026"/>
    <n v="1"/>
    <d v="2026-01-12T00:00:00"/>
    <n v="205107"/>
    <x v="10"/>
    <s v="WJEW"/>
    <x v="9"/>
    <s v="NECKLACE"/>
    <n v="67511719"/>
    <x v="1"/>
    <n v="1"/>
    <n v="67511719"/>
  </r>
  <r>
    <n v="2026"/>
    <n v="1"/>
    <d v="2026-01-12T00:00:00"/>
    <n v="205108"/>
    <x v="10"/>
    <s v="WJEW"/>
    <x v="9"/>
    <s v="RING"/>
    <n v="78396663"/>
    <x v="1"/>
    <n v="1"/>
    <n v="78396663"/>
  </r>
  <r>
    <n v="2026"/>
    <n v="1"/>
    <d v="2026-01-12T00:00:00"/>
    <n v="205112"/>
    <x v="10"/>
    <s v="WJEW"/>
    <x v="9"/>
    <s v="RING"/>
    <n v="98976777"/>
    <x v="0"/>
    <n v="1"/>
    <n v="98976777"/>
  </r>
  <r>
    <n v="2026"/>
    <n v="1"/>
    <d v="2026-01-12T00:00:00"/>
    <n v="205113"/>
    <x v="10"/>
    <s v="WJEW"/>
    <x v="9"/>
    <s v="RING"/>
    <n v="98976777"/>
    <x v="1"/>
    <n v="1"/>
    <n v="98976777"/>
  </r>
  <r>
    <n v="2026"/>
    <n v="1"/>
    <d v="2026-01-12T00:00:00"/>
    <n v="206890"/>
    <x v="8"/>
    <s v="WACC"/>
    <x v="9"/>
    <s v="RING"/>
    <n v="22369865"/>
    <x v="0"/>
    <n v="1"/>
    <n v="22369865"/>
  </r>
  <r>
    <n v="2026"/>
    <n v="1"/>
    <d v="2026-01-12T00:00:00"/>
    <n v="206892"/>
    <x v="8"/>
    <s v="WACC"/>
    <x v="9"/>
    <s v="RING"/>
    <n v="18850411"/>
    <x v="0"/>
    <n v="1"/>
    <n v="18850411"/>
  </r>
  <r>
    <n v="2026"/>
    <n v="1"/>
    <d v="2026-01-12T00:00:00"/>
    <n v="206893"/>
    <x v="8"/>
    <s v="WACC"/>
    <x v="9"/>
    <s v="RING"/>
    <n v="18850411"/>
    <x v="1"/>
    <n v="1"/>
    <n v="18850411"/>
  </r>
  <r>
    <n v="2026"/>
    <n v="1"/>
    <d v="2026-01-12T00:00:00"/>
    <n v="206902"/>
    <x v="8"/>
    <s v="WACC"/>
    <x v="9"/>
    <s v="EARRINGS"/>
    <n v="16664083"/>
    <x v="4"/>
    <n v="1"/>
    <n v="16664083"/>
  </r>
  <r>
    <n v="2026"/>
    <n v="1"/>
    <d v="2026-01-12T00:00:00"/>
    <n v="206903"/>
    <x v="8"/>
    <s v="WACC"/>
    <x v="9"/>
    <s v="EARRINGS"/>
    <n v="8078748"/>
    <x v="4"/>
    <n v="1"/>
    <n v="8078748"/>
  </r>
  <r>
    <n v="2026"/>
    <n v="1"/>
    <d v="2026-01-12T00:00:00"/>
    <n v="206906"/>
    <x v="8"/>
    <s v="WACC"/>
    <x v="9"/>
    <s v="EARRINGS"/>
    <n v="11838165"/>
    <x v="1"/>
    <n v="1"/>
    <n v="11838165"/>
  </r>
  <r>
    <n v="2026"/>
    <n v="1"/>
    <d v="2026-01-12T00:00:00"/>
    <n v="206911"/>
    <x v="8"/>
    <s v="WACC"/>
    <x v="9"/>
    <s v="EARRINGS"/>
    <n v="9678499"/>
    <x v="1"/>
    <n v="1"/>
    <n v="9678499"/>
  </r>
  <r>
    <n v="2026"/>
    <n v="1"/>
    <d v="2026-01-12T00:00:00"/>
    <n v="208239"/>
    <x v="5"/>
    <s v="WACC"/>
    <x v="9"/>
    <s v="RING"/>
    <n v="7962040"/>
    <x v="6"/>
    <n v="1"/>
    <n v="7962040"/>
  </r>
  <r>
    <n v="2026"/>
    <n v="1"/>
    <d v="2026-01-12T00:00:00"/>
    <n v="208240"/>
    <x v="5"/>
    <s v="WACC"/>
    <x v="9"/>
    <s v="RING"/>
    <n v="2207056"/>
    <x v="1"/>
    <n v="1"/>
    <n v="2207056"/>
  </r>
  <r>
    <n v="2026"/>
    <n v="1"/>
    <d v="2026-01-12T00:00:00"/>
    <n v="208242"/>
    <x v="5"/>
    <s v="WACC"/>
    <x v="9"/>
    <s v="RING"/>
    <n v="2207056"/>
    <x v="1"/>
    <n v="1"/>
    <n v="2207056"/>
  </r>
  <r>
    <n v="2026"/>
    <n v="1"/>
    <d v="2026-01-12T00:00:00"/>
    <n v="208244"/>
    <x v="5"/>
    <s v="WACC"/>
    <x v="9"/>
    <s v="RING"/>
    <n v="3431522"/>
    <x v="2"/>
    <n v="1"/>
    <n v="3431522"/>
  </r>
  <r>
    <n v="2026"/>
    <n v="1"/>
    <d v="2026-01-12T00:00:00"/>
    <n v="208247"/>
    <x v="5"/>
    <s v="WACC"/>
    <x v="9"/>
    <s v="RING"/>
    <n v="5635557"/>
    <x v="1"/>
    <n v="1"/>
    <n v="5635557"/>
  </r>
  <r>
    <n v="2026"/>
    <n v="1"/>
    <d v="2026-01-12T00:00:00"/>
    <n v="208248"/>
    <x v="5"/>
    <s v="WACC"/>
    <x v="9"/>
    <s v="RING"/>
    <n v="5635557"/>
    <x v="1"/>
    <n v="1"/>
    <n v="5635557"/>
  </r>
  <r>
    <n v="2026"/>
    <n v="1"/>
    <d v="2026-01-12T00:00:00"/>
    <n v="208250"/>
    <x v="5"/>
    <s v="WACC"/>
    <x v="9"/>
    <s v="RING"/>
    <n v="5635557"/>
    <x v="2"/>
    <n v="1"/>
    <n v="5635557"/>
  </r>
  <r>
    <n v="2026"/>
    <n v="1"/>
    <d v="2026-01-12T00:00:00"/>
    <n v="208251"/>
    <x v="5"/>
    <s v="WACC"/>
    <x v="9"/>
    <s v="RING"/>
    <n v="5635557"/>
    <x v="0"/>
    <n v="1"/>
    <n v="5635557"/>
  </r>
  <r>
    <n v="2026"/>
    <n v="1"/>
    <d v="2026-01-12T00:00:00"/>
    <n v="208252"/>
    <x v="5"/>
    <s v="WACC"/>
    <x v="9"/>
    <s v="RING"/>
    <n v="7227361"/>
    <x v="1"/>
    <n v="1"/>
    <n v="7227361"/>
  </r>
  <r>
    <n v="2026"/>
    <n v="1"/>
    <d v="2026-01-12T00:00:00"/>
    <n v="208253"/>
    <x v="5"/>
    <s v="WACC"/>
    <x v="9"/>
    <s v="RING"/>
    <n v="4778432"/>
    <x v="0"/>
    <n v="1"/>
    <n v="4778432"/>
  </r>
  <r>
    <n v="2026"/>
    <n v="1"/>
    <d v="2026-01-12T00:00:00"/>
    <n v="208254"/>
    <x v="5"/>
    <s v="WACC"/>
    <x v="9"/>
    <s v="RING"/>
    <n v="4778432"/>
    <x v="1"/>
    <n v="1"/>
    <n v="4778432"/>
  </r>
  <r>
    <n v="2026"/>
    <n v="1"/>
    <d v="2026-01-12T00:00:00"/>
    <n v="208255"/>
    <x v="5"/>
    <s v="WACC"/>
    <x v="9"/>
    <s v="RING"/>
    <n v="3798861"/>
    <x v="2"/>
    <n v="1"/>
    <n v="3798861"/>
  </r>
  <r>
    <n v="2026"/>
    <n v="1"/>
    <d v="2026-01-12T00:00:00"/>
    <n v="208256"/>
    <x v="5"/>
    <s v="WACC"/>
    <x v="9"/>
    <s v="RING"/>
    <n v="3798861"/>
    <x v="3"/>
    <n v="1"/>
    <n v="3798861"/>
  </r>
  <r>
    <n v="2026"/>
    <n v="1"/>
    <d v="2026-01-12T00:00:00"/>
    <n v="208257"/>
    <x v="5"/>
    <s v="WACC"/>
    <x v="9"/>
    <s v="RING"/>
    <n v="3798861"/>
    <x v="0"/>
    <n v="1"/>
    <n v="3798861"/>
  </r>
  <r>
    <n v="2026"/>
    <n v="1"/>
    <d v="2026-01-12T00:00:00"/>
    <n v="208258"/>
    <x v="5"/>
    <s v="WACC"/>
    <x v="9"/>
    <s v="RING"/>
    <n v="3798861"/>
    <x v="1"/>
    <n v="1"/>
    <n v="3798861"/>
  </r>
  <r>
    <n v="2026"/>
    <n v="1"/>
    <d v="2026-01-12T00:00:00"/>
    <n v="208262"/>
    <x v="5"/>
    <s v="WACC"/>
    <x v="9"/>
    <s v="RING"/>
    <n v="2207055"/>
    <x v="1"/>
    <n v="1"/>
    <n v="2207055"/>
  </r>
  <r>
    <n v="2026"/>
    <n v="1"/>
    <d v="2026-01-12T00:00:00"/>
    <n v="208263"/>
    <x v="5"/>
    <s v="WACC"/>
    <x v="9"/>
    <s v="RING"/>
    <n v="3553967"/>
    <x v="1"/>
    <n v="1"/>
    <n v="3553967"/>
  </r>
  <r>
    <n v="2026"/>
    <n v="1"/>
    <d v="2026-01-12T00:00:00"/>
    <n v="208264"/>
    <x v="5"/>
    <s v="WACC"/>
    <x v="9"/>
    <s v="RING"/>
    <n v="4043753"/>
    <x v="0"/>
    <n v="1"/>
    <n v="4043753"/>
  </r>
  <r>
    <n v="2026"/>
    <n v="1"/>
    <d v="2026-01-12T00:00:00"/>
    <n v="208266"/>
    <x v="5"/>
    <s v="WACC"/>
    <x v="9"/>
    <s v="BRACELET"/>
    <n v="2941735"/>
    <x v="2"/>
    <n v="1"/>
    <n v="2941735"/>
  </r>
  <r>
    <n v="2026"/>
    <n v="1"/>
    <d v="2026-01-12T00:00:00"/>
    <n v="208268"/>
    <x v="5"/>
    <s v="WACC"/>
    <x v="9"/>
    <s v="BRACELET"/>
    <n v="3431521"/>
    <x v="0"/>
    <n v="1"/>
    <n v="3431521"/>
  </r>
  <r>
    <n v="2026"/>
    <n v="1"/>
    <d v="2026-01-12T00:00:00"/>
    <n v="208270"/>
    <x v="5"/>
    <s v="WACC"/>
    <x v="9"/>
    <s v="BRACELET"/>
    <n v="15308826"/>
    <x v="0"/>
    <n v="1"/>
    <n v="15308826"/>
  </r>
  <r>
    <n v="2026"/>
    <n v="1"/>
    <d v="2026-01-12T00:00:00"/>
    <n v="208271"/>
    <x v="5"/>
    <s v="WACC"/>
    <x v="9"/>
    <s v="BRACELET"/>
    <n v="17757758"/>
    <x v="1"/>
    <n v="1"/>
    <n v="17757758"/>
  </r>
  <r>
    <n v="2026"/>
    <n v="1"/>
    <d v="2026-01-12T00:00:00"/>
    <n v="208272"/>
    <x v="5"/>
    <s v="WACC"/>
    <x v="9"/>
    <s v="NECKLACE"/>
    <n v="5268217"/>
    <x v="3"/>
    <n v="1"/>
    <n v="5268217"/>
  </r>
  <r>
    <n v="2026"/>
    <n v="1"/>
    <d v="2026-01-12T00:00:00"/>
    <n v="208276"/>
    <x v="5"/>
    <s v="WACC"/>
    <x v="9"/>
    <s v="NECKLACE"/>
    <n v="6615128"/>
    <x v="3"/>
    <n v="1"/>
    <n v="6615128"/>
  </r>
  <r>
    <n v="2026"/>
    <n v="1"/>
    <d v="2026-01-12T00:00:00"/>
    <n v="208278"/>
    <x v="5"/>
    <s v="WACC"/>
    <x v="9"/>
    <s v="NECKLACE"/>
    <n v="5584464"/>
    <x v="1"/>
    <n v="1"/>
    <n v="5584464"/>
  </r>
  <r>
    <n v="2026"/>
    <n v="1"/>
    <d v="2026-01-12T00:00:00"/>
    <n v="208279"/>
    <x v="5"/>
    <s v="WACC"/>
    <x v="9"/>
    <s v="NECKLACE"/>
    <n v="2819288"/>
    <x v="2"/>
    <n v="1"/>
    <n v="2819288"/>
  </r>
  <r>
    <n v="2026"/>
    <n v="1"/>
    <d v="2026-01-12T00:00:00"/>
    <n v="208280"/>
    <x v="5"/>
    <s v="WACC"/>
    <x v="9"/>
    <s v="NECKLACE"/>
    <n v="5758003"/>
    <x v="3"/>
    <n v="1"/>
    <n v="5758003"/>
  </r>
  <r>
    <n v="2026"/>
    <n v="1"/>
    <d v="2026-01-12T00:00:00"/>
    <n v="208284"/>
    <x v="5"/>
    <s v="WACC"/>
    <x v="9"/>
    <s v="NECKLACE"/>
    <n v="8549782"/>
    <x v="3"/>
    <n v="1"/>
    <n v="8549782"/>
  </r>
  <r>
    <n v="2026"/>
    <n v="1"/>
    <d v="2026-01-12T00:00:00"/>
    <n v="208289"/>
    <x v="5"/>
    <s v="WACC"/>
    <x v="9"/>
    <s v="NECKLACE"/>
    <n v="7227360"/>
    <x v="2"/>
    <n v="1"/>
    <n v="7227360"/>
  </r>
  <r>
    <n v="2026"/>
    <n v="1"/>
    <d v="2026-01-12T00:00:00"/>
    <n v="208290"/>
    <x v="5"/>
    <s v="WACC"/>
    <x v="9"/>
    <s v="NECKLACE"/>
    <n v="4411092"/>
    <x v="0"/>
    <n v="1"/>
    <n v="4411092"/>
  </r>
  <r>
    <n v="2026"/>
    <n v="1"/>
    <d v="2026-01-12T00:00:00"/>
    <n v="208295"/>
    <x v="5"/>
    <s v="WACC"/>
    <x v="9"/>
    <s v="NECKLACE"/>
    <n v="3651924"/>
    <x v="0"/>
    <n v="1"/>
    <n v="3651924"/>
  </r>
  <r>
    <n v="2026"/>
    <n v="1"/>
    <d v="2026-01-12T00:00:00"/>
    <n v="208297"/>
    <x v="5"/>
    <s v="WACC"/>
    <x v="9"/>
    <s v="NECKLACE"/>
    <n v="4411092"/>
    <x v="2"/>
    <n v="1"/>
    <n v="4411092"/>
  </r>
  <r>
    <n v="2026"/>
    <n v="1"/>
    <d v="2026-01-12T00:00:00"/>
    <n v="208298"/>
    <x v="5"/>
    <s v="WACC"/>
    <x v="9"/>
    <s v="NECKLACE"/>
    <n v="3651924"/>
    <x v="3"/>
    <n v="1"/>
    <n v="3651924"/>
  </r>
  <r>
    <n v="2026"/>
    <n v="1"/>
    <d v="2026-01-12T00:00:00"/>
    <n v="208300"/>
    <x v="5"/>
    <s v="WACC"/>
    <x v="9"/>
    <s v="NECKLACE"/>
    <n v="5023324"/>
    <x v="1"/>
    <n v="1"/>
    <n v="5023324"/>
  </r>
  <r>
    <n v="2026"/>
    <n v="1"/>
    <d v="2026-01-12T00:00:00"/>
    <n v="208301"/>
    <x v="5"/>
    <s v="WACC"/>
    <x v="9"/>
    <s v="NECKLACE"/>
    <n v="3651924"/>
    <x v="0"/>
    <n v="1"/>
    <n v="3651924"/>
  </r>
  <r>
    <n v="2026"/>
    <n v="1"/>
    <d v="2026-01-12T00:00:00"/>
    <n v="208304"/>
    <x v="5"/>
    <s v="WACC"/>
    <x v="9"/>
    <s v="NECKLACE"/>
    <n v="8549782"/>
    <x v="1"/>
    <n v="1"/>
    <n v="8549782"/>
  </r>
  <r>
    <n v="2026"/>
    <n v="1"/>
    <d v="2026-01-12T00:00:00"/>
    <n v="208305"/>
    <x v="5"/>
    <s v="WACC"/>
    <x v="9"/>
    <s v="NECKLACE"/>
    <n v="8549782"/>
    <x v="3"/>
    <n v="1"/>
    <n v="8549782"/>
  </r>
  <r>
    <n v="2026"/>
    <n v="1"/>
    <d v="2026-01-12T00:00:00"/>
    <n v="208308"/>
    <x v="5"/>
    <s v="WACC"/>
    <x v="9"/>
    <s v="NECKLACE"/>
    <n v="3064181"/>
    <x v="2"/>
    <n v="1"/>
    <n v="3064181"/>
  </r>
  <r>
    <n v="2026"/>
    <n v="1"/>
    <d v="2026-01-12T00:00:00"/>
    <n v="208310"/>
    <x v="5"/>
    <s v="WACC"/>
    <x v="9"/>
    <s v="NECKLACE"/>
    <n v="3064181"/>
    <x v="2"/>
    <n v="1"/>
    <n v="3064181"/>
  </r>
  <r>
    <n v="2026"/>
    <n v="1"/>
    <d v="2026-01-12T00:00:00"/>
    <n v="208311"/>
    <x v="5"/>
    <s v="WACC"/>
    <x v="9"/>
    <s v="NECKLACE"/>
    <n v="3064181"/>
    <x v="0"/>
    <n v="1"/>
    <n v="3064181"/>
  </r>
  <r>
    <n v="2026"/>
    <n v="1"/>
    <d v="2026-01-12T00:00:00"/>
    <n v="208313"/>
    <x v="5"/>
    <s v="WACC"/>
    <x v="9"/>
    <s v="NECKLACE"/>
    <n v="3651924"/>
    <x v="2"/>
    <n v="1"/>
    <n v="3651924"/>
  </r>
  <r>
    <n v="2026"/>
    <n v="1"/>
    <d v="2026-01-12T00:00:00"/>
    <n v="208315"/>
    <x v="5"/>
    <s v="WACC"/>
    <x v="9"/>
    <s v="NECKLACE"/>
    <n v="3651924"/>
    <x v="1"/>
    <n v="1"/>
    <n v="3651924"/>
  </r>
  <r>
    <n v="2026"/>
    <n v="1"/>
    <d v="2026-01-12T00:00:00"/>
    <n v="208319"/>
    <x v="5"/>
    <s v="WACC"/>
    <x v="9"/>
    <s v="EARRINGS"/>
    <n v="3431521"/>
    <x v="1"/>
    <n v="1"/>
    <n v="3431521"/>
  </r>
  <r>
    <n v="2026"/>
    <n v="1"/>
    <d v="2026-01-12T00:00:00"/>
    <n v="208320"/>
    <x v="5"/>
    <s v="WACC"/>
    <x v="9"/>
    <s v="EARRINGS"/>
    <n v="6860021"/>
    <x v="1"/>
    <n v="1"/>
    <n v="6860021"/>
  </r>
  <r>
    <n v="2026"/>
    <n v="1"/>
    <d v="2026-01-12T00:00:00"/>
    <n v="208321"/>
    <x v="5"/>
    <s v="WACC"/>
    <x v="9"/>
    <s v="EARRINGS"/>
    <n v="2941735"/>
    <x v="3"/>
    <n v="1"/>
    <n v="2941735"/>
  </r>
  <r>
    <n v="2026"/>
    <n v="1"/>
    <d v="2026-01-12T00:00:00"/>
    <n v="208325"/>
    <x v="5"/>
    <s v="WACC"/>
    <x v="9"/>
    <s v="EARRINGS"/>
    <n v="3676413"/>
    <x v="3"/>
    <n v="1"/>
    <n v="3676413"/>
  </r>
  <r>
    <n v="2026"/>
    <n v="1"/>
    <d v="2026-01-12T00:00:00"/>
    <n v="208328"/>
    <x v="5"/>
    <s v="WACC"/>
    <x v="9"/>
    <s v="EARRINGS"/>
    <n v="3309074"/>
    <x v="2"/>
    <n v="1"/>
    <n v="3309074"/>
  </r>
  <r>
    <n v="2026"/>
    <n v="1"/>
    <d v="2026-01-12T00:00:00"/>
    <n v="208331"/>
    <x v="5"/>
    <s v="WACC"/>
    <x v="9"/>
    <s v="EARRINGS"/>
    <n v="5145772"/>
    <x v="1"/>
    <n v="1"/>
    <n v="5145772"/>
  </r>
  <r>
    <n v="2026"/>
    <n v="1"/>
    <d v="2026-01-12T00:00:00"/>
    <n v="209283"/>
    <x v="11"/>
    <s v="WJEW"/>
    <x v="10"/>
    <s v="EARRINGS"/>
    <n v="108935436"/>
    <x v="1"/>
    <n v="1"/>
    <n v="108935436"/>
  </r>
  <r>
    <n v="2026"/>
    <n v="1"/>
    <d v="2026-01-12T00:00:00"/>
    <n v="209284"/>
    <x v="11"/>
    <s v="WJEW"/>
    <x v="10"/>
    <s v="EARRINGS"/>
    <n v="129781105"/>
    <x v="0"/>
    <n v="1"/>
    <n v="129781105"/>
  </r>
  <r>
    <n v="2026"/>
    <n v="1"/>
    <d v="2026-01-12T00:00:00"/>
    <n v="209285"/>
    <x v="11"/>
    <s v="WJEW"/>
    <x v="10"/>
    <s v="RING"/>
    <n v="124401579"/>
    <x v="0"/>
    <n v="1"/>
    <n v="124401579"/>
  </r>
  <r>
    <n v="2026"/>
    <n v="1"/>
    <d v="2026-01-12T00:00:00"/>
    <n v="209286"/>
    <x v="11"/>
    <s v="WJEW"/>
    <x v="10"/>
    <s v="RING"/>
    <n v="32949607"/>
    <x v="0"/>
    <n v="1"/>
    <n v="32949607"/>
  </r>
  <r>
    <n v="2026"/>
    <n v="1"/>
    <d v="2026-01-12T00:00:00"/>
    <n v="209287"/>
    <x v="11"/>
    <s v="WJEW"/>
    <x v="10"/>
    <s v="RING"/>
    <n v="32949607"/>
    <x v="1"/>
    <n v="1"/>
    <n v="32949607"/>
  </r>
  <r>
    <n v="2026"/>
    <n v="1"/>
    <d v="2026-01-12T00:00:00"/>
    <n v="209288"/>
    <x v="11"/>
    <s v="WJEW"/>
    <x v="10"/>
    <s v="RING"/>
    <n v="32949607"/>
    <x v="0"/>
    <n v="1"/>
    <n v="32949607"/>
  </r>
  <r>
    <n v="2026"/>
    <n v="1"/>
    <d v="2026-01-12T00:00:00"/>
    <n v="209290"/>
    <x v="11"/>
    <s v="WJEW"/>
    <x v="10"/>
    <s v="RING"/>
    <n v="49088190"/>
    <x v="0"/>
    <n v="1"/>
    <n v="49088190"/>
  </r>
  <r>
    <n v="2026"/>
    <n v="1"/>
    <d v="2026-01-12T00:00:00"/>
    <n v="209295"/>
    <x v="11"/>
    <s v="WJEW"/>
    <x v="10"/>
    <s v="EARRINGS"/>
    <n v="100866145"/>
    <x v="0"/>
    <n v="1"/>
    <n v="100866145"/>
  </r>
  <r>
    <n v="2026"/>
    <n v="1"/>
    <d v="2026-01-12T00:00:00"/>
    <n v="209297"/>
    <x v="11"/>
    <s v="WJEW"/>
    <x v="10"/>
    <s v="RING"/>
    <n v="49088190"/>
    <x v="0"/>
    <n v="1"/>
    <n v="49088190"/>
  </r>
  <r>
    <n v="2026"/>
    <n v="1"/>
    <d v="2026-01-12T00:00:00"/>
    <n v="209298"/>
    <x v="11"/>
    <s v="WJEW"/>
    <x v="10"/>
    <s v="RING"/>
    <n v="49088190"/>
    <x v="0"/>
    <n v="1"/>
    <n v="49088190"/>
  </r>
  <r>
    <n v="2026"/>
    <n v="1"/>
    <d v="2026-01-12T00:00:00"/>
    <n v="209299"/>
    <x v="11"/>
    <s v="WJEW"/>
    <x v="10"/>
    <s v="RING"/>
    <n v="49088190"/>
    <x v="1"/>
    <n v="1"/>
    <n v="49088190"/>
  </r>
  <r>
    <n v="2026"/>
    <n v="1"/>
    <d v="2026-01-12T00:00:00"/>
    <n v="209300"/>
    <x v="11"/>
    <s v="WJEW"/>
    <x v="10"/>
    <s v="RING"/>
    <n v="57829923"/>
    <x v="1"/>
    <n v="1"/>
    <n v="57829923"/>
  </r>
  <r>
    <n v="2026"/>
    <n v="1"/>
    <d v="2026-01-12T00:00:00"/>
    <n v="209301"/>
    <x v="11"/>
    <s v="WJEW"/>
    <x v="10"/>
    <s v="RING"/>
    <n v="57829923"/>
    <x v="0"/>
    <n v="1"/>
    <n v="57829923"/>
  </r>
  <r>
    <n v="2026"/>
    <n v="1"/>
    <d v="2026-01-12T00:00:00"/>
    <n v="209309"/>
    <x v="11"/>
    <s v="WJEW"/>
    <x v="10"/>
    <s v="RING"/>
    <n v="65899215"/>
    <x v="1"/>
    <n v="1"/>
    <n v="65899215"/>
  </r>
  <r>
    <n v="2026"/>
    <n v="1"/>
    <d v="2026-01-12T00:00:00"/>
    <n v="209315"/>
    <x v="11"/>
    <s v="WJEW"/>
    <x v="10"/>
    <s v="RING"/>
    <n v="76658270"/>
    <x v="0"/>
    <n v="1"/>
    <n v="76658270"/>
  </r>
  <r>
    <n v="2026"/>
    <n v="1"/>
    <d v="2026-01-12T00:00:00"/>
    <n v="209318"/>
    <x v="11"/>
    <s v="WJEW"/>
    <x v="10"/>
    <s v="RING"/>
    <n v="60519686"/>
    <x v="1"/>
    <n v="1"/>
    <n v="60519686"/>
  </r>
  <r>
    <n v="2026"/>
    <n v="1"/>
    <d v="2026-01-12T00:00:00"/>
    <n v="209319"/>
    <x v="11"/>
    <s v="WJEW"/>
    <x v="10"/>
    <s v="RING"/>
    <n v="60519686"/>
    <x v="0"/>
    <n v="1"/>
    <n v="60519686"/>
  </r>
  <r>
    <n v="2026"/>
    <n v="1"/>
    <d v="2026-01-12T00:00:00"/>
    <n v="209325"/>
    <x v="11"/>
    <s v="WJEW"/>
    <x v="10"/>
    <s v="NECKLACE"/>
    <n v="149954336"/>
    <x v="0"/>
    <n v="1"/>
    <n v="149954336"/>
  </r>
  <r>
    <n v="2026"/>
    <n v="1"/>
    <d v="2026-01-12T00:00:00"/>
    <n v="209327"/>
    <x v="11"/>
    <s v="WJEW"/>
    <x v="10"/>
    <s v="EARRINGS"/>
    <n v="94141735"/>
    <x v="0"/>
    <n v="1"/>
    <n v="94141735"/>
  </r>
  <r>
    <n v="2026"/>
    <n v="1"/>
    <d v="2026-01-12T00:00:00"/>
    <n v="210746"/>
    <x v="11"/>
    <s v="WJEW"/>
    <x v="11"/>
    <s v="EARRINGS"/>
    <n v="64043455"/>
    <x v="0"/>
    <n v="1"/>
    <n v="64043455"/>
  </r>
  <r>
    <n v="2026"/>
    <n v="1"/>
    <d v="2026-01-12T00:00:00"/>
    <n v="210749"/>
    <x v="11"/>
    <s v="WJEW"/>
    <x v="11"/>
    <s v="RING"/>
    <n v="51485915"/>
    <x v="1"/>
    <n v="1"/>
    <n v="51485915"/>
  </r>
  <r>
    <n v="2026"/>
    <n v="1"/>
    <d v="2026-01-12T00:00:00"/>
    <n v="210751"/>
    <x v="11"/>
    <s v="WJEW"/>
    <x v="11"/>
    <s v="BRACELET"/>
    <n v="97397754"/>
    <x v="0"/>
    <n v="1"/>
    <n v="97397754"/>
  </r>
  <r>
    <n v="2026"/>
    <n v="1"/>
    <d v="2026-01-12T00:00:00"/>
    <n v="210752"/>
    <x v="11"/>
    <s v="WJEW"/>
    <x v="11"/>
    <s v="BRACELET"/>
    <n v="124947523"/>
    <x v="0"/>
    <n v="1"/>
    <n v="124947523"/>
  </r>
  <r>
    <n v="2026"/>
    <n v="1"/>
    <d v="2026-01-12T00:00:00"/>
    <n v="210754"/>
    <x v="11"/>
    <s v="WJEW"/>
    <x v="11"/>
    <s v="RING"/>
    <n v="126831154"/>
    <x v="0"/>
    <n v="1"/>
    <n v="126831154"/>
  </r>
  <r>
    <n v="2026"/>
    <n v="1"/>
    <d v="2026-01-12T00:00:00"/>
    <n v="210760"/>
    <x v="11"/>
    <s v="WJEW"/>
    <x v="11"/>
    <s v="RING"/>
    <n v="51485915"/>
    <x v="1"/>
    <n v="1"/>
    <n v="51485915"/>
  </r>
  <r>
    <n v="2026"/>
    <n v="1"/>
    <d v="2026-01-12T00:00:00"/>
    <n v="210763"/>
    <x v="11"/>
    <s v="WJEW"/>
    <x v="11"/>
    <s v="EARRINGS"/>
    <n v="85391271"/>
    <x v="0"/>
    <n v="1"/>
    <n v="85391271"/>
  </r>
  <r>
    <n v="2026"/>
    <n v="1"/>
    <d v="2026-01-12T00:00:00"/>
    <n v="210766"/>
    <x v="9"/>
    <s v="WACC"/>
    <x v="10"/>
    <s v="RING"/>
    <n v="21240375"/>
    <x v="1"/>
    <n v="1"/>
    <n v="21240375"/>
  </r>
  <r>
    <n v="2026"/>
    <n v="1"/>
    <d v="2026-01-12T00:00:00"/>
    <n v="210767"/>
    <x v="9"/>
    <s v="WACC"/>
    <x v="10"/>
    <s v="RING"/>
    <n v="21240375"/>
    <x v="0"/>
    <n v="1"/>
    <n v="21240375"/>
  </r>
  <r>
    <n v="2026"/>
    <n v="1"/>
    <d v="2026-01-12T00:00:00"/>
    <n v="210768"/>
    <x v="9"/>
    <s v="WACC"/>
    <x v="10"/>
    <s v="RING"/>
    <n v="28826223"/>
    <x v="0"/>
    <n v="1"/>
    <n v="28826223"/>
  </r>
  <r>
    <n v="2026"/>
    <n v="1"/>
    <d v="2026-01-12T00:00:00"/>
    <n v="210770"/>
    <x v="9"/>
    <s v="WACC"/>
    <x v="10"/>
    <s v="RING"/>
    <n v="304811930"/>
    <x v="0"/>
    <n v="1"/>
    <n v="304811930"/>
  </r>
  <r>
    <n v="2026"/>
    <n v="1"/>
    <d v="2026-01-12T00:00:00"/>
    <n v="210771"/>
    <x v="9"/>
    <s v="WACC"/>
    <x v="10"/>
    <s v="RING"/>
    <n v="54618107"/>
    <x v="0"/>
    <n v="1"/>
    <n v="54618107"/>
  </r>
  <r>
    <n v="2026"/>
    <n v="1"/>
    <d v="2026-01-12T00:00:00"/>
    <n v="210940"/>
    <x v="0"/>
    <s v="WJEW"/>
    <x v="10"/>
    <s v="BRACELET"/>
    <n v="4732900"/>
    <x v="0"/>
    <n v="1"/>
    <n v="4732900"/>
  </r>
  <r>
    <n v="2026"/>
    <n v="1"/>
    <d v="2026-01-12T00:00:00"/>
    <n v="210941"/>
    <x v="0"/>
    <s v="WJEW"/>
    <x v="10"/>
    <s v="NECKLACE"/>
    <n v="2467150"/>
    <x v="0"/>
    <n v="1"/>
    <n v="2467150"/>
  </r>
  <r>
    <n v="2026"/>
    <n v="1"/>
    <d v="2026-01-12T00:00:00"/>
    <n v="210943"/>
    <x v="0"/>
    <s v="WJEW"/>
    <x v="10"/>
    <s v="NECKLACE"/>
    <n v="10120350"/>
    <x v="1"/>
    <n v="1"/>
    <n v="10120350"/>
  </r>
  <r>
    <n v="2026"/>
    <n v="1"/>
    <d v="2026-01-12T00:00:00"/>
    <n v="210946"/>
    <x v="0"/>
    <s v="WJEW"/>
    <x v="10"/>
    <s v="NECKLACE"/>
    <n v="11228050"/>
    <x v="1"/>
    <n v="1"/>
    <n v="11228050"/>
  </r>
  <r>
    <n v="2026"/>
    <n v="1"/>
    <d v="2026-01-12T00:00:00"/>
    <n v="210946"/>
    <x v="0"/>
    <s v="WJEW"/>
    <x v="10"/>
    <s v="NECKLACE"/>
    <n v="11228050"/>
    <x v="0"/>
    <n v="1"/>
    <n v="11228050"/>
  </r>
  <r>
    <n v="2026"/>
    <n v="1"/>
    <d v="2026-01-12T00:00:00"/>
    <n v="210951"/>
    <x v="0"/>
    <s v="WJEW"/>
    <x v="10"/>
    <s v="RING"/>
    <n v="17924600"/>
    <x v="0"/>
    <n v="1"/>
    <n v="17924600"/>
  </r>
  <r>
    <n v="2026"/>
    <n v="1"/>
    <d v="2026-01-12T00:00:00"/>
    <n v="211112"/>
    <x v="11"/>
    <s v="WJEW"/>
    <x v="11"/>
    <s v="BRACELET"/>
    <n v="66554962"/>
    <x v="1"/>
    <n v="1"/>
    <n v="66554962"/>
  </r>
  <r>
    <n v="2026"/>
    <n v="1"/>
    <d v="2026-01-12T00:00:00"/>
    <n v="211113"/>
    <x v="11"/>
    <s v="WJEW"/>
    <x v="11"/>
    <s v="EARRINGS"/>
    <n v="48346529"/>
    <x v="0"/>
    <n v="1"/>
    <n v="48346529"/>
  </r>
  <r>
    <n v="2026"/>
    <n v="1"/>
    <d v="2026-01-12T00:00:00"/>
    <n v="211114"/>
    <x v="11"/>
    <s v="WJEW"/>
    <x v="11"/>
    <s v="BRACELET"/>
    <n v="66554962"/>
    <x v="0"/>
    <n v="1"/>
    <n v="66554962"/>
  </r>
  <r>
    <n v="2026"/>
    <n v="1"/>
    <d v="2026-01-12T00:00:00"/>
    <n v="211115"/>
    <x v="11"/>
    <s v="WJEW"/>
    <x v="11"/>
    <s v="NECKLACE"/>
    <n v="31393850"/>
    <x v="0"/>
    <n v="1"/>
    <n v="31393850"/>
  </r>
  <r>
    <n v="2026"/>
    <n v="1"/>
    <d v="2026-01-12T00:00:00"/>
    <n v="211117"/>
    <x v="11"/>
    <s v="WJEW"/>
    <x v="11"/>
    <s v="EARRINGS"/>
    <n v="96693059"/>
    <x v="1"/>
    <n v="1"/>
    <n v="96693059"/>
  </r>
  <r>
    <n v="2026"/>
    <n v="1"/>
    <d v="2026-01-12T00:00:00"/>
    <n v="211118"/>
    <x v="11"/>
    <s v="WJEW"/>
    <x v="11"/>
    <s v="BRACELET"/>
    <n v="182084331"/>
    <x v="1"/>
    <n v="1"/>
    <n v="182084331"/>
  </r>
  <r>
    <n v="2026"/>
    <n v="1"/>
    <d v="2026-01-12T00:00:00"/>
    <n v="211131"/>
    <x v="3"/>
    <s v="WJEW"/>
    <x v="11"/>
    <s v="NECKLACE"/>
    <n v="1121000"/>
    <x v="2"/>
    <n v="1"/>
    <n v="1121000"/>
  </r>
  <r>
    <n v="2026"/>
    <n v="1"/>
    <d v="2026-01-12T00:00:00"/>
    <n v="211133"/>
    <x v="3"/>
    <s v="WJEW"/>
    <x v="11"/>
    <s v="NECKLACE"/>
    <n v="2124000"/>
    <x v="2"/>
    <n v="1"/>
    <n v="2124000"/>
  </r>
  <r>
    <n v="2026"/>
    <n v="1"/>
    <d v="2026-01-12T00:00:00"/>
    <n v="211136"/>
    <x v="3"/>
    <s v="WJEW"/>
    <x v="11"/>
    <s v="NECKLACE"/>
    <n v="737500"/>
    <x v="2"/>
    <n v="2"/>
    <n v="1475000"/>
  </r>
  <r>
    <n v="2026"/>
    <n v="1"/>
    <d v="2026-01-12T00:00:00"/>
    <n v="211136"/>
    <x v="3"/>
    <s v="WJEW"/>
    <x v="11"/>
    <s v="NECKLACE"/>
    <n v="737500"/>
    <x v="3"/>
    <n v="1"/>
    <n v="737500"/>
  </r>
  <r>
    <n v="2026"/>
    <n v="1"/>
    <d v="2026-01-12T00:00:00"/>
    <n v="211137"/>
    <x v="3"/>
    <s v="WJEW"/>
    <x v="11"/>
    <s v="NECKLACE"/>
    <n v="737500"/>
    <x v="2"/>
    <n v="1"/>
    <n v="737500"/>
  </r>
  <r>
    <n v="2026"/>
    <n v="1"/>
    <d v="2026-01-12T00:00:00"/>
    <n v="211137"/>
    <x v="3"/>
    <s v="WJEW"/>
    <x v="11"/>
    <s v="NECKLACE"/>
    <n v="737500"/>
    <x v="3"/>
    <n v="1"/>
    <n v="737500"/>
  </r>
  <r>
    <n v="2026"/>
    <n v="1"/>
    <d v="2026-01-12T00:00:00"/>
    <n v="211138"/>
    <x v="3"/>
    <s v="WJEW"/>
    <x v="11"/>
    <s v="NECKLACE"/>
    <n v="737500"/>
    <x v="3"/>
    <n v="1"/>
    <n v="737500"/>
  </r>
  <r>
    <n v="2026"/>
    <n v="1"/>
    <d v="2026-01-12T00:00:00"/>
    <n v="211139"/>
    <x v="3"/>
    <s v="WJEW"/>
    <x v="11"/>
    <s v="NECKLACE"/>
    <n v="737500"/>
    <x v="2"/>
    <n v="1"/>
    <n v="737500"/>
  </r>
  <r>
    <n v="2026"/>
    <n v="1"/>
    <d v="2026-01-12T00:00:00"/>
    <n v="211140"/>
    <x v="3"/>
    <s v="WJEW"/>
    <x v="11"/>
    <s v="NECKLACE"/>
    <n v="737500"/>
    <x v="3"/>
    <n v="1"/>
    <n v="737500"/>
  </r>
  <r>
    <n v="2026"/>
    <n v="1"/>
    <d v="2026-01-12T00:00:00"/>
    <n v="211141"/>
    <x v="3"/>
    <s v="WJEW"/>
    <x v="11"/>
    <s v="NECKLACE"/>
    <n v="737500"/>
    <x v="2"/>
    <n v="1"/>
    <n v="737500"/>
  </r>
  <r>
    <n v="2026"/>
    <n v="1"/>
    <d v="2026-01-12T00:00:00"/>
    <n v="211141"/>
    <x v="3"/>
    <s v="WJEW"/>
    <x v="11"/>
    <s v="NECKLACE"/>
    <n v="737500"/>
    <x v="3"/>
    <n v="1"/>
    <n v="737500"/>
  </r>
  <r>
    <n v="2026"/>
    <n v="1"/>
    <d v="2026-01-12T00:00:00"/>
    <n v="211142"/>
    <x v="3"/>
    <s v="WJEW"/>
    <x v="11"/>
    <s v="NECKLACE"/>
    <n v="737500"/>
    <x v="2"/>
    <n v="2"/>
    <n v="1475000"/>
  </r>
  <r>
    <n v="2026"/>
    <n v="1"/>
    <d v="2026-01-12T00:00:00"/>
    <n v="211189"/>
    <x v="11"/>
    <s v="WJEW"/>
    <x v="11"/>
    <s v="RING"/>
    <n v="103978986"/>
    <x v="1"/>
    <n v="1"/>
    <n v="103978986"/>
  </r>
  <r>
    <n v="2026"/>
    <n v="1"/>
    <d v="2026-01-12T00:00:00"/>
    <n v="211192"/>
    <x v="11"/>
    <s v="WJEW"/>
    <x v="11"/>
    <s v="EARRINGS"/>
    <n v="127016245"/>
    <x v="1"/>
    <n v="1"/>
    <n v="127016245"/>
  </r>
  <r>
    <n v="2026"/>
    <n v="1"/>
    <d v="2026-01-12T00:00:00"/>
    <n v="211193"/>
    <x v="11"/>
    <s v="WJEW"/>
    <x v="11"/>
    <s v="RING"/>
    <n v="191769623"/>
    <x v="4"/>
    <n v="1"/>
    <n v="191769623"/>
  </r>
  <r>
    <n v="2026"/>
    <n v="1"/>
    <d v="2026-01-12T00:00:00"/>
    <n v="211194"/>
    <x v="11"/>
    <s v="WJEW"/>
    <x v="11"/>
    <s v="EARRINGS"/>
    <n v="261504033"/>
    <x v="4"/>
    <n v="1"/>
    <n v="261504033"/>
  </r>
  <r>
    <n v="2026"/>
    <n v="1"/>
    <d v="2026-01-12T00:00:00"/>
    <n v="211195"/>
    <x v="11"/>
    <s v="WJEW"/>
    <x v="11"/>
    <s v="RING"/>
    <n v="143204590"/>
    <x v="4"/>
    <n v="1"/>
    <n v="143204590"/>
  </r>
  <r>
    <n v="2026"/>
    <n v="1"/>
    <d v="2026-01-12T00:00:00"/>
    <n v="211196"/>
    <x v="11"/>
    <s v="WJEW"/>
    <x v="11"/>
    <s v="EARRINGS"/>
    <n v="193014882"/>
    <x v="4"/>
    <n v="1"/>
    <n v="193014882"/>
  </r>
  <r>
    <n v="2026"/>
    <n v="1"/>
    <d v="2026-01-12T00:00:00"/>
    <n v="211204"/>
    <x v="11"/>
    <s v="WJEW"/>
    <x v="11"/>
    <s v="BRACELET"/>
    <n v="72224924"/>
    <x v="1"/>
    <n v="1"/>
    <n v="72224924"/>
  </r>
  <r>
    <n v="2026"/>
    <n v="1"/>
    <d v="2026-01-12T00:00:00"/>
    <n v="211205"/>
    <x v="11"/>
    <s v="WJEW"/>
    <x v="11"/>
    <s v="BRACELET"/>
    <n v="82186983"/>
    <x v="0"/>
    <n v="1"/>
    <n v="82186983"/>
  </r>
  <r>
    <n v="2026"/>
    <n v="1"/>
    <d v="2026-01-12T00:00:00"/>
    <n v="211206"/>
    <x v="11"/>
    <s v="WJEW"/>
    <x v="11"/>
    <s v="BRACELET"/>
    <n v="88413270"/>
    <x v="0"/>
    <n v="1"/>
    <n v="88413270"/>
  </r>
  <r>
    <n v="2026"/>
    <n v="1"/>
    <d v="2026-01-12T00:00:00"/>
    <n v="211207"/>
    <x v="11"/>
    <s v="WJEW"/>
    <x v="11"/>
    <s v="EARRINGS"/>
    <n v="51055550"/>
    <x v="0"/>
    <n v="1"/>
    <n v="51055550"/>
  </r>
  <r>
    <n v="2026"/>
    <n v="1"/>
    <d v="2026-01-12T00:00:00"/>
    <n v="211208"/>
    <x v="11"/>
    <s v="WJEW"/>
    <x v="11"/>
    <s v="NECKLACE"/>
    <n v="307578554"/>
    <x v="0"/>
    <n v="1"/>
    <n v="307578554"/>
  </r>
  <r>
    <n v="2026"/>
    <n v="1"/>
    <d v="2026-01-12T00:00:00"/>
    <n v="211209"/>
    <x v="11"/>
    <s v="WJEW"/>
    <x v="11"/>
    <s v="RING"/>
    <n v="72847552"/>
    <x v="0"/>
    <n v="1"/>
    <n v="72847552"/>
  </r>
  <r>
    <n v="2026"/>
    <n v="1"/>
    <d v="2026-01-12T00:00:00"/>
    <n v="211210"/>
    <x v="11"/>
    <s v="WJEW"/>
    <x v="11"/>
    <s v="RING"/>
    <n v="72847552"/>
    <x v="0"/>
    <n v="1"/>
    <n v="72847552"/>
  </r>
  <r>
    <n v="2026"/>
    <n v="1"/>
    <d v="2026-01-12T00:00:00"/>
    <n v="211211"/>
    <x v="11"/>
    <s v="WJEW"/>
    <x v="11"/>
    <s v="RING"/>
    <n v="72847552"/>
    <x v="1"/>
    <n v="1"/>
    <n v="72847552"/>
  </r>
  <r>
    <n v="2026"/>
    <n v="1"/>
    <d v="2026-01-12T00:00:00"/>
    <n v="211213"/>
    <x v="11"/>
    <s v="WJEW"/>
    <x v="11"/>
    <s v="RING"/>
    <n v="76583325"/>
    <x v="0"/>
    <n v="1"/>
    <n v="76583325"/>
  </r>
  <r>
    <n v="2026"/>
    <n v="1"/>
    <d v="2026-01-12T00:00:00"/>
    <n v="211214"/>
    <x v="11"/>
    <s v="WJEW"/>
    <x v="11"/>
    <s v="RING"/>
    <n v="76583325"/>
    <x v="0"/>
    <n v="1"/>
    <n v="76583325"/>
  </r>
  <r>
    <n v="2026"/>
    <n v="1"/>
    <d v="2026-01-12T00:00:00"/>
    <n v="211219"/>
    <x v="11"/>
    <s v="WJEW"/>
    <x v="11"/>
    <s v="NECKLACE"/>
    <n v="98375327"/>
    <x v="0"/>
    <n v="1"/>
    <n v="98375327"/>
  </r>
  <r>
    <n v="2026"/>
    <n v="1"/>
    <d v="2026-01-12T00:00:00"/>
    <n v="211220"/>
    <x v="11"/>
    <s v="WJEW"/>
    <x v="11"/>
    <s v="NECKLACE"/>
    <n v="98375327"/>
    <x v="1"/>
    <n v="1"/>
    <n v="98375327"/>
  </r>
  <r>
    <n v="2026"/>
    <n v="1"/>
    <d v="2026-01-12T00:00:00"/>
    <n v="211660"/>
    <x v="11"/>
    <s v="WJEW"/>
    <x v="11"/>
    <s v="RING"/>
    <n v="53210735"/>
    <x v="0"/>
    <n v="1"/>
    <n v="53210735"/>
  </r>
  <r>
    <n v="2026"/>
    <n v="1"/>
    <d v="2026-01-12T00:00:00"/>
    <n v="211662"/>
    <x v="11"/>
    <s v="WJEW"/>
    <x v="11"/>
    <s v="EARRINGS"/>
    <n v="90334504"/>
    <x v="0"/>
    <n v="1"/>
    <n v="90334504"/>
  </r>
  <r>
    <n v="2026"/>
    <n v="1"/>
    <d v="2026-01-12T00:00:00"/>
    <n v="214556"/>
    <x v="1"/>
    <s v="WJEW"/>
    <x v="11"/>
    <s v="EARRINGS"/>
    <n v="45050000"/>
    <x v="1"/>
    <n v="1"/>
    <n v="45050000"/>
  </r>
  <r>
    <n v="2026"/>
    <n v="1"/>
    <d v="2026-01-12T00:00:00"/>
    <n v="214561"/>
    <x v="1"/>
    <s v="WJEW"/>
    <x v="11"/>
    <s v="EARRINGS"/>
    <n v="90100000"/>
    <x v="1"/>
    <n v="1"/>
    <n v="90100000"/>
  </r>
  <r>
    <n v="2026"/>
    <n v="1"/>
    <d v="2026-01-12T00:00:00"/>
    <n v="214562"/>
    <x v="1"/>
    <s v="WJEW"/>
    <x v="11"/>
    <s v="EARRINGS"/>
    <n v="47700000"/>
    <x v="1"/>
    <n v="1"/>
    <n v="47700000"/>
  </r>
  <r>
    <n v="2026"/>
    <n v="1"/>
    <d v="2026-01-12T00:00:00"/>
    <n v="214563"/>
    <x v="1"/>
    <s v="WJEW"/>
    <x v="11"/>
    <s v="NECKLACE"/>
    <n v="22525000"/>
    <x v="1"/>
    <n v="1"/>
    <n v="22525000"/>
  </r>
  <r>
    <n v="2026"/>
    <n v="1"/>
    <d v="2026-01-12T00:00:00"/>
    <n v="214563"/>
    <x v="1"/>
    <s v="WJEW"/>
    <x v="11"/>
    <s v="NECKLACE"/>
    <n v="22525000"/>
    <x v="0"/>
    <n v="1"/>
    <n v="22525000"/>
  </r>
  <r>
    <n v="2026"/>
    <n v="1"/>
    <d v="2026-01-12T00:00:00"/>
    <n v="214573"/>
    <x v="1"/>
    <s v="WJEW"/>
    <x v="11"/>
    <s v="NECKLACE"/>
    <n v="60950000"/>
    <x v="1"/>
    <n v="1"/>
    <n v="60950000"/>
  </r>
  <r>
    <n v="2026"/>
    <n v="1"/>
    <d v="2026-01-12T00:00:00"/>
    <n v="214592"/>
    <x v="8"/>
    <s v="WJEW"/>
    <x v="11"/>
    <s v="PENDANT"/>
    <n v="5954610"/>
    <x v="1"/>
    <n v="1"/>
    <n v="5954610"/>
  </r>
  <r>
    <n v="2026"/>
    <n v="1"/>
    <d v="2026-01-12T00:00:00"/>
    <n v="214593"/>
    <x v="8"/>
    <s v="WJEW"/>
    <x v="11"/>
    <s v="PENDANT"/>
    <n v="20494935"/>
    <x v="1"/>
    <n v="1"/>
    <n v="20494935"/>
  </r>
  <r>
    <n v="2026"/>
    <n v="1"/>
    <d v="2026-01-12T00:00:00"/>
    <n v="214596"/>
    <x v="8"/>
    <s v="WJEW"/>
    <x v="11"/>
    <s v="NECKLACE"/>
    <n v="20716502"/>
    <x v="1"/>
    <n v="1"/>
    <n v="20716502"/>
  </r>
  <r>
    <n v="2026"/>
    <n v="1"/>
    <d v="2026-01-12T00:00:00"/>
    <n v="214597"/>
    <x v="8"/>
    <s v="WJEW"/>
    <x v="11"/>
    <s v="NECKLACE"/>
    <n v="12795487"/>
    <x v="1"/>
    <n v="1"/>
    <n v="12795487"/>
  </r>
  <r>
    <n v="2026"/>
    <n v="1"/>
    <d v="2026-01-12T00:00:00"/>
    <n v="214600"/>
    <x v="8"/>
    <s v="WJEW"/>
    <x v="11"/>
    <s v="EARRINGS"/>
    <n v="78434670"/>
    <x v="0"/>
    <n v="1"/>
    <n v="78434670"/>
  </r>
  <r>
    <n v="2026"/>
    <n v="1"/>
    <d v="2026-01-12T00:00:00"/>
    <n v="214601"/>
    <x v="8"/>
    <s v="WJEW"/>
    <x v="11"/>
    <s v="EARRINGS"/>
    <n v="20162586"/>
    <x v="0"/>
    <n v="1"/>
    <n v="20162586"/>
  </r>
  <r>
    <n v="2026"/>
    <n v="1"/>
    <d v="2026-01-12T00:00:00"/>
    <n v="216109"/>
    <x v="11"/>
    <s v="WJEW"/>
    <x v="11"/>
    <s v="EARRINGS"/>
    <n v="78077718"/>
    <x v="0"/>
    <n v="1"/>
    <n v="78077718"/>
  </r>
  <r>
    <n v="2026"/>
    <n v="1"/>
    <d v="2026-01-12T00:00:00"/>
    <n v="216110"/>
    <x v="11"/>
    <s v="WJEW"/>
    <x v="11"/>
    <s v="EARRINGS"/>
    <n v="84177540"/>
    <x v="0"/>
    <n v="1"/>
    <n v="84177540"/>
  </r>
  <r>
    <n v="2026"/>
    <n v="1"/>
    <d v="2026-01-12T00:00:00"/>
    <n v="216111"/>
    <x v="11"/>
    <s v="WJEW"/>
    <x v="11"/>
    <s v="EARRINGS"/>
    <n v="347689838"/>
    <x v="0"/>
    <n v="1"/>
    <n v="347689838"/>
  </r>
  <r>
    <n v="2026"/>
    <n v="1"/>
    <d v="2026-01-12T00:00:00"/>
    <n v="216114"/>
    <x v="11"/>
    <s v="WJEW"/>
    <x v="11"/>
    <s v="EARRINGS"/>
    <n v="475786095"/>
    <x v="4"/>
    <n v="1"/>
    <n v="475786095"/>
  </r>
  <r>
    <n v="2026"/>
    <n v="1"/>
    <d v="2026-01-12T00:00:00"/>
    <n v="217091"/>
    <x v="8"/>
    <s v="WJEW"/>
    <x v="12"/>
    <s v="NECKLACE"/>
    <n v="132860916"/>
    <x v="0"/>
    <n v="1"/>
    <n v="132860916"/>
  </r>
  <r>
    <n v="2026"/>
    <n v="1"/>
    <d v="2026-01-12T00:00:00"/>
    <n v="217092"/>
    <x v="8"/>
    <s v="WJEW"/>
    <x v="12"/>
    <s v="BRACELET"/>
    <n v="71693684"/>
    <x v="0"/>
    <n v="1"/>
    <n v="71693684"/>
  </r>
  <r>
    <n v="2026"/>
    <n v="1"/>
    <d v="2026-01-12T00:00:00"/>
    <n v="217095"/>
    <x v="8"/>
    <s v="WJEW"/>
    <x v="12"/>
    <s v="EARRINGS"/>
    <n v="23328897"/>
    <x v="1"/>
    <n v="1"/>
    <n v="23328897"/>
  </r>
  <r>
    <n v="2026"/>
    <n v="1"/>
    <d v="2026-01-12T00:00:00"/>
    <n v="217096"/>
    <x v="8"/>
    <s v="WJEW"/>
    <x v="12"/>
    <s v="EARRINGS"/>
    <n v="23897895"/>
    <x v="0"/>
    <n v="1"/>
    <n v="23897895"/>
  </r>
  <r>
    <n v="2026"/>
    <n v="1"/>
    <d v="2026-01-12T00:00:00"/>
    <n v="217100"/>
    <x v="8"/>
    <s v="WJEW"/>
    <x v="12"/>
    <s v="EARRINGS"/>
    <n v="111381260"/>
    <x v="1"/>
    <n v="1"/>
    <n v="111381260"/>
  </r>
  <r>
    <n v="2026"/>
    <n v="1"/>
    <d v="2026-01-12T00:00:00"/>
    <n v="217101"/>
    <x v="8"/>
    <s v="WJEW"/>
    <x v="12"/>
    <s v="RING"/>
    <n v="100826356"/>
    <x v="0"/>
    <n v="1"/>
    <n v="100826356"/>
  </r>
  <r>
    <n v="2026"/>
    <n v="1"/>
    <d v="2026-01-12T00:00:00"/>
    <n v="217102"/>
    <x v="8"/>
    <s v="WJEW"/>
    <x v="12"/>
    <s v="NECKLACE"/>
    <n v="19516614"/>
    <x v="1"/>
    <n v="1"/>
    <n v="19516614"/>
  </r>
  <r>
    <n v="2026"/>
    <n v="1"/>
    <d v="2026-01-12T00:00:00"/>
    <n v="217277"/>
    <x v="5"/>
    <s v="WJEW"/>
    <x v="12"/>
    <s v="BRACELET"/>
    <n v="4857277"/>
    <x v="1"/>
    <n v="1"/>
    <n v="4857277"/>
  </r>
  <r>
    <n v="2026"/>
    <n v="1"/>
    <d v="2026-01-12T00:00:00"/>
    <n v="217277"/>
    <x v="5"/>
    <s v="WJEW"/>
    <x v="12"/>
    <s v="BRACELET"/>
    <n v="4857277"/>
    <x v="0"/>
    <n v="1"/>
    <n v="4857277"/>
  </r>
  <r>
    <n v="2026"/>
    <n v="1"/>
    <d v="2026-01-12T00:00:00"/>
    <n v="217278"/>
    <x v="5"/>
    <s v="WJEW"/>
    <x v="12"/>
    <s v="NECKLACE"/>
    <n v="14645054"/>
    <x v="0"/>
    <n v="1"/>
    <n v="14645054"/>
  </r>
  <r>
    <n v="2026"/>
    <n v="1"/>
    <d v="2026-01-12T00:00:00"/>
    <n v="217279"/>
    <x v="5"/>
    <s v="WJEW"/>
    <x v="12"/>
    <s v="NECKLACE"/>
    <n v="3951573"/>
    <x v="0"/>
    <n v="2"/>
    <n v="7903146"/>
  </r>
  <r>
    <n v="2026"/>
    <n v="1"/>
    <d v="2026-01-12T00:00:00"/>
    <n v="217280"/>
    <x v="5"/>
    <s v="WJEW"/>
    <x v="12"/>
    <s v="NECKLACE"/>
    <n v="10251538"/>
    <x v="0"/>
    <n v="1"/>
    <n v="10251538"/>
  </r>
  <r>
    <n v="2026"/>
    <n v="1"/>
    <d v="2026-01-12T00:00:00"/>
    <n v="217281"/>
    <x v="5"/>
    <s v="WJEW"/>
    <x v="12"/>
    <s v="NECKLACE"/>
    <n v="13424633"/>
    <x v="0"/>
    <n v="1"/>
    <n v="13424633"/>
  </r>
  <r>
    <n v="2026"/>
    <n v="1"/>
    <d v="2026-01-12T00:00:00"/>
    <n v="217282"/>
    <x v="5"/>
    <s v="WJEW"/>
    <x v="12"/>
    <s v="NECKLACE"/>
    <n v="5058014"/>
    <x v="0"/>
    <n v="1"/>
    <n v="5058014"/>
  </r>
  <r>
    <n v="2026"/>
    <n v="1"/>
    <d v="2026-01-12T00:00:00"/>
    <n v="217283"/>
    <x v="5"/>
    <s v="WJEW"/>
    <x v="12"/>
    <s v="NECKLACE"/>
    <n v="5247811"/>
    <x v="1"/>
    <n v="1"/>
    <n v="5247811"/>
  </r>
  <r>
    <n v="2026"/>
    <n v="1"/>
    <d v="2026-01-12T00:00:00"/>
    <n v="217284"/>
    <x v="5"/>
    <s v="WJEW"/>
    <x v="12"/>
    <s v="NECKLACE"/>
    <n v="3905348"/>
    <x v="0"/>
    <n v="1"/>
    <n v="3905348"/>
  </r>
  <r>
    <n v="2026"/>
    <n v="1"/>
    <d v="2026-01-12T00:00:00"/>
    <n v="217284"/>
    <x v="5"/>
    <s v="WJEW"/>
    <x v="12"/>
    <s v="NECKLACE"/>
    <n v="3905348"/>
    <x v="3"/>
    <n v="1"/>
    <n v="3905348"/>
  </r>
  <r>
    <n v="2026"/>
    <n v="1"/>
    <d v="2026-01-12T00:00:00"/>
    <n v="217286"/>
    <x v="5"/>
    <s v="WJEW"/>
    <x v="12"/>
    <s v="NECKLACE"/>
    <n v="3635447"/>
    <x v="1"/>
    <n v="1"/>
    <n v="3635447"/>
  </r>
  <r>
    <n v="2026"/>
    <n v="1"/>
    <d v="2026-01-12T00:00:00"/>
    <n v="217287"/>
    <x v="5"/>
    <s v="WJEW"/>
    <x v="12"/>
    <s v="BRACELET"/>
    <n v="5369853"/>
    <x v="0"/>
    <n v="1"/>
    <n v="5369853"/>
  </r>
  <r>
    <n v="2026"/>
    <n v="1"/>
    <d v="2026-01-12T00:00:00"/>
    <n v="217288"/>
    <x v="5"/>
    <s v="WJEW"/>
    <x v="12"/>
    <s v="EARRINGS"/>
    <n v="3129646"/>
    <x v="2"/>
    <n v="1"/>
    <n v="3129646"/>
  </r>
  <r>
    <n v="2026"/>
    <n v="1"/>
    <d v="2026-01-12T00:00:00"/>
    <n v="217290"/>
    <x v="5"/>
    <s v="WJEW"/>
    <x v="12"/>
    <s v="EARRINGS"/>
    <n v="4271474"/>
    <x v="3"/>
    <n v="1"/>
    <n v="4271474"/>
  </r>
  <r>
    <n v="2026"/>
    <n v="1"/>
    <d v="2026-01-12T00:00:00"/>
    <n v="217291"/>
    <x v="5"/>
    <s v="WJEW"/>
    <x v="12"/>
    <s v="NECKLACE"/>
    <n v="5980064"/>
    <x v="0"/>
    <n v="1"/>
    <n v="5980064"/>
  </r>
  <r>
    <n v="2026"/>
    <n v="1"/>
    <d v="2026-01-12T00:00:00"/>
    <n v="217295"/>
    <x v="11"/>
    <s v="WJEW"/>
    <x v="12"/>
    <s v="RING"/>
    <n v="132343092"/>
    <x v="0"/>
    <n v="1"/>
    <n v="132343092"/>
  </r>
  <r>
    <n v="2026"/>
    <n v="1"/>
    <d v="2026-01-12T00:00:00"/>
    <n v="217296"/>
    <x v="11"/>
    <s v="WJEW"/>
    <x v="12"/>
    <s v="RING"/>
    <n v="156584154"/>
    <x v="0"/>
    <n v="1"/>
    <n v="156584154"/>
  </r>
  <r>
    <n v="2026"/>
    <n v="1"/>
    <d v="2026-01-12T00:00:00"/>
    <n v="217297"/>
    <x v="11"/>
    <s v="WJEW"/>
    <x v="12"/>
    <s v="EARRINGS"/>
    <n v="174273577"/>
    <x v="0"/>
    <n v="1"/>
    <n v="174273577"/>
  </r>
  <r>
    <n v="2026"/>
    <n v="1"/>
    <d v="2026-01-12T00:00:00"/>
    <n v="217298"/>
    <x v="11"/>
    <s v="WJEW"/>
    <x v="12"/>
    <s v="RING"/>
    <n v="273858478"/>
    <x v="0"/>
    <n v="1"/>
    <n v="273858478"/>
  </r>
  <r>
    <n v="2026"/>
    <n v="1"/>
    <d v="2026-01-12T00:00:00"/>
    <n v="217299"/>
    <x v="11"/>
    <s v="WJEW"/>
    <x v="12"/>
    <s v="RING"/>
    <n v="55033761"/>
    <x v="0"/>
    <n v="1"/>
    <n v="55033761"/>
  </r>
  <r>
    <n v="2026"/>
    <n v="1"/>
    <d v="2026-01-12T00:00:00"/>
    <n v="217303"/>
    <x v="11"/>
    <s v="WJEW"/>
    <x v="12"/>
    <s v="EARRINGS"/>
    <n v="113998504"/>
    <x v="0"/>
    <n v="1"/>
    <n v="113998504"/>
  </r>
  <r>
    <n v="2026"/>
    <n v="1"/>
    <d v="2026-01-12T00:00:00"/>
    <n v="217304"/>
    <x v="11"/>
    <s v="WJEW"/>
    <x v="12"/>
    <s v="EARRINGS"/>
    <n v="75999003"/>
    <x v="0"/>
    <n v="1"/>
    <n v="75999003"/>
  </r>
  <r>
    <n v="2026"/>
    <n v="1"/>
    <d v="2026-01-12T00:00:00"/>
    <n v="217305"/>
    <x v="11"/>
    <s v="WJEW"/>
    <x v="12"/>
    <s v="BRACELET"/>
    <n v="172963248"/>
    <x v="1"/>
    <n v="1"/>
    <n v="172963248"/>
  </r>
  <r>
    <n v="2026"/>
    <n v="1"/>
    <d v="2026-01-12T00:00:00"/>
    <n v="217306"/>
    <x v="11"/>
    <s v="WJEW"/>
    <x v="12"/>
    <s v="NECKLACE"/>
    <n v="134963747"/>
    <x v="5"/>
    <n v="1"/>
    <n v="134963747"/>
  </r>
  <r>
    <n v="2026"/>
    <n v="1"/>
    <d v="2026-01-12T00:00:00"/>
    <n v="217308"/>
    <x v="11"/>
    <s v="WJEW"/>
    <x v="12"/>
    <s v="EARRINGS"/>
    <n v="98274573"/>
    <x v="0"/>
    <n v="1"/>
    <n v="98274573"/>
  </r>
  <r>
    <n v="2026"/>
    <n v="1"/>
    <d v="2026-01-12T00:00:00"/>
    <n v="217310"/>
    <x v="11"/>
    <s v="WJEW"/>
    <x v="12"/>
    <s v="RING"/>
    <n v="188687181"/>
    <x v="0"/>
    <n v="1"/>
    <n v="188687181"/>
  </r>
  <r>
    <n v="2026"/>
    <n v="1"/>
    <d v="2026-01-12T00:00:00"/>
    <n v="217313"/>
    <x v="11"/>
    <s v="WJEW"/>
    <x v="12"/>
    <s v="RING"/>
    <n v="76654167"/>
    <x v="0"/>
    <n v="1"/>
    <n v="76654167"/>
  </r>
  <r>
    <n v="2026"/>
    <n v="1"/>
    <d v="2026-01-12T00:00:00"/>
    <n v="217315"/>
    <x v="11"/>
    <s v="WJEW"/>
    <x v="12"/>
    <s v="OTHER"/>
    <n v="1310328"/>
    <x v="0"/>
    <n v="1"/>
    <n v="1310328"/>
  </r>
  <r>
    <n v="2026"/>
    <n v="1"/>
    <d v="2026-01-12T00:00:00"/>
    <n v="217316"/>
    <x v="11"/>
    <s v="WJEW"/>
    <x v="12"/>
    <s v="RING"/>
    <n v="77309331"/>
    <x v="1"/>
    <n v="1"/>
    <n v="77309331"/>
  </r>
  <r>
    <n v="2026"/>
    <n v="1"/>
    <d v="2026-01-12T00:00:00"/>
    <n v="217317"/>
    <x v="11"/>
    <s v="WJEW"/>
    <x v="12"/>
    <s v="RING"/>
    <n v="360340103"/>
    <x v="0"/>
    <n v="1"/>
    <n v="360340103"/>
  </r>
  <r>
    <n v="2026"/>
    <n v="1"/>
    <d v="2026-01-12T00:00:00"/>
    <n v="217457"/>
    <x v="7"/>
    <s v="WJEW"/>
    <x v="12"/>
    <s v="EARRINGS"/>
    <n v="91230646"/>
    <x v="0"/>
    <n v="1"/>
    <n v="91230646"/>
  </r>
  <r>
    <n v="2026"/>
    <n v="1"/>
    <d v="2026-01-12T00:00:00"/>
    <n v="217458"/>
    <x v="7"/>
    <s v="WJEW"/>
    <x v="12"/>
    <s v="EARRINGS"/>
    <n v="162223891"/>
    <x v="1"/>
    <n v="1"/>
    <n v="162223891"/>
  </r>
  <r>
    <n v="2026"/>
    <n v="1"/>
    <d v="2026-01-12T00:00:00"/>
    <n v="217460"/>
    <x v="7"/>
    <s v="WJEW"/>
    <x v="12"/>
    <s v="RING"/>
    <n v="98427371"/>
    <x v="0"/>
    <n v="1"/>
    <n v="98427371"/>
  </r>
  <r>
    <n v="2026"/>
    <n v="1"/>
    <d v="2026-01-12T00:00:00"/>
    <n v="217461"/>
    <x v="7"/>
    <s v="WJEW"/>
    <x v="12"/>
    <s v="RING"/>
    <n v="92258750"/>
    <x v="0"/>
    <n v="1"/>
    <n v="92258750"/>
  </r>
  <r>
    <n v="2026"/>
    <n v="1"/>
    <d v="2026-01-12T00:00:00"/>
    <n v="217462"/>
    <x v="7"/>
    <s v="WJEW"/>
    <x v="12"/>
    <s v="RING"/>
    <n v="76891310"/>
    <x v="0"/>
    <n v="1"/>
    <n v="76891310"/>
  </r>
  <r>
    <n v="2026"/>
    <n v="1"/>
    <d v="2026-01-12T00:00:00"/>
    <n v="217463"/>
    <x v="7"/>
    <s v="WJEW"/>
    <x v="12"/>
    <s v="RING"/>
    <n v="30437271"/>
    <x v="0"/>
    <n v="1"/>
    <n v="30437271"/>
  </r>
  <r>
    <n v="2026"/>
    <n v="1"/>
    <d v="2026-01-12T00:00:00"/>
    <n v="219143"/>
    <x v="12"/>
    <s v="WRTW"/>
    <x v="12"/>
    <s v="NECKLACE"/>
    <n v="15036518"/>
    <x v="1"/>
    <n v="1"/>
    <n v="15036518"/>
  </r>
  <r>
    <n v="2026"/>
    <n v="1"/>
    <d v="2026-01-12T00:00:00"/>
    <n v="219143"/>
    <x v="12"/>
    <s v="WRTW"/>
    <x v="12"/>
    <s v="NECKLACE"/>
    <n v="15036518"/>
    <x v="4"/>
    <n v="1"/>
    <n v="15036518"/>
  </r>
  <r>
    <n v="2026"/>
    <n v="1"/>
    <d v="2026-01-12T00:00:00"/>
    <n v="219145"/>
    <x v="12"/>
    <s v="WRTW"/>
    <x v="12"/>
    <s v="RING"/>
    <n v="14656807"/>
    <x v="1"/>
    <n v="1"/>
    <n v="14656807"/>
  </r>
  <r>
    <n v="2026"/>
    <n v="1"/>
    <d v="2026-01-12T00:00:00"/>
    <n v="219146"/>
    <x v="12"/>
    <s v="WRTW"/>
    <x v="12"/>
    <s v="RING"/>
    <n v="14656807"/>
    <x v="1"/>
    <n v="1"/>
    <n v="14656807"/>
  </r>
  <r>
    <n v="2026"/>
    <n v="1"/>
    <d v="2026-01-12T00:00:00"/>
    <n v="219151"/>
    <x v="12"/>
    <s v="WRTW"/>
    <x v="12"/>
    <s v="RING"/>
    <n v="7518259"/>
    <x v="1"/>
    <n v="1"/>
    <n v="7518259"/>
  </r>
  <r>
    <n v="2026"/>
    <n v="1"/>
    <d v="2026-01-12T00:00:00"/>
    <n v="219157"/>
    <x v="12"/>
    <s v="WRTW"/>
    <x v="12"/>
    <s v="NECKLACE"/>
    <n v="28098543"/>
    <x v="1"/>
    <n v="1"/>
    <n v="28098543"/>
  </r>
  <r>
    <n v="2026"/>
    <n v="1"/>
    <d v="2026-01-12T00:00:00"/>
    <n v="219158"/>
    <x v="12"/>
    <s v="WRTW"/>
    <x v="12"/>
    <s v="NECKLACE"/>
    <n v="11087533"/>
    <x v="1"/>
    <n v="1"/>
    <n v="11087533"/>
  </r>
  <r>
    <n v="2026"/>
    <n v="1"/>
    <d v="2026-01-12T00:00:00"/>
    <n v="219160"/>
    <x v="12"/>
    <s v="WRTW"/>
    <x v="12"/>
    <s v="RING"/>
    <n v="45565204"/>
    <x v="1"/>
    <n v="1"/>
    <n v="45565204"/>
  </r>
  <r>
    <n v="2026"/>
    <n v="1"/>
    <d v="2026-01-12T00:00:00"/>
    <n v="219163"/>
    <x v="12"/>
    <s v="WRTW"/>
    <x v="12"/>
    <s v="BRACELET"/>
    <n v="30376803"/>
    <x v="1"/>
    <n v="1"/>
    <n v="30376803"/>
  </r>
  <r>
    <n v="2026"/>
    <n v="1"/>
    <d v="2026-01-12T00:00:00"/>
    <n v="219166"/>
    <x v="12"/>
    <s v="WRTW"/>
    <x v="12"/>
    <s v="NECKLACE"/>
    <n v="54678245"/>
    <x v="1"/>
    <n v="1"/>
    <n v="54678245"/>
  </r>
  <r>
    <n v="2026"/>
    <n v="1"/>
    <d v="2026-01-12T00:00:00"/>
    <n v="219166"/>
    <x v="12"/>
    <s v="WRTW"/>
    <x v="12"/>
    <s v="NECKLACE"/>
    <n v="54678245"/>
    <x v="0"/>
    <n v="1"/>
    <n v="54678245"/>
  </r>
  <r>
    <n v="2026"/>
    <n v="1"/>
    <d v="2026-01-12T00:00:00"/>
    <n v="219781"/>
    <x v="8"/>
    <s v="WJEW"/>
    <x v="12"/>
    <s v="RING"/>
    <n v="32928000"/>
    <x v="1"/>
    <n v="1"/>
    <n v="32928000"/>
  </r>
  <r>
    <n v="2026"/>
    <n v="1"/>
    <d v="2026-01-12T00:00:00"/>
    <n v="221612"/>
    <x v="1"/>
    <s v="WJEW"/>
    <x v="13"/>
    <s v="EARRINGS"/>
    <n v="70200000"/>
    <x v="1"/>
    <n v="1"/>
    <n v="70200000"/>
  </r>
  <r>
    <n v="2026"/>
    <n v="1"/>
    <d v="2026-01-12T00:00:00"/>
    <n v="221613"/>
    <x v="1"/>
    <s v="WJEW"/>
    <x v="13"/>
    <s v="EARRINGS"/>
    <n v="81000000"/>
    <x v="0"/>
    <n v="1"/>
    <n v="81000000"/>
  </r>
  <r>
    <n v="2026"/>
    <n v="1"/>
    <d v="2026-01-12T00:00:00"/>
    <n v="221617"/>
    <x v="1"/>
    <s v="WJEW"/>
    <x v="13"/>
    <s v="EARRINGS"/>
    <n v="48600000"/>
    <x v="0"/>
    <n v="1"/>
    <n v="48600000"/>
  </r>
  <r>
    <n v="2026"/>
    <n v="1"/>
    <d v="2026-01-12T00:00:00"/>
    <n v="221618"/>
    <x v="1"/>
    <s v="WJEW"/>
    <x v="13"/>
    <s v="EARRINGS"/>
    <n v="29700000"/>
    <x v="1"/>
    <n v="1"/>
    <n v="29700000"/>
  </r>
  <r>
    <n v="2026"/>
    <n v="1"/>
    <d v="2026-01-12T00:00:00"/>
    <n v="221619"/>
    <x v="1"/>
    <s v="WJEW"/>
    <x v="13"/>
    <s v="EARRINGS"/>
    <n v="29700000"/>
    <x v="1"/>
    <n v="1"/>
    <n v="29700000"/>
  </r>
  <r>
    <n v="2026"/>
    <n v="1"/>
    <d v="2026-01-12T00:00:00"/>
    <n v="221620"/>
    <x v="1"/>
    <s v="WJEW"/>
    <x v="13"/>
    <s v="EARRINGS"/>
    <n v="72900000"/>
    <x v="1"/>
    <n v="1"/>
    <n v="72900000"/>
  </r>
  <r>
    <n v="2026"/>
    <n v="1"/>
    <d v="2026-01-12T00:00:00"/>
    <n v="221624"/>
    <x v="1"/>
    <s v="WJEW"/>
    <x v="13"/>
    <s v="EARRINGS"/>
    <n v="113400000"/>
    <x v="0"/>
    <n v="1"/>
    <n v="113400000"/>
  </r>
  <r>
    <n v="2026"/>
    <n v="1"/>
    <d v="2026-01-12T00:00:00"/>
    <n v="221627"/>
    <x v="1"/>
    <s v="WJEW"/>
    <x v="13"/>
    <s v="EARRINGS"/>
    <n v="64800000"/>
    <x v="1"/>
    <n v="1"/>
    <n v="64800000"/>
  </r>
  <r>
    <n v="2026"/>
    <n v="1"/>
    <d v="2026-01-12T00:00:00"/>
    <n v="221628"/>
    <x v="1"/>
    <s v="WJEW"/>
    <x v="13"/>
    <s v="EARRINGS"/>
    <n v="59400000"/>
    <x v="1"/>
    <n v="1"/>
    <n v="59400000"/>
  </r>
  <r>
    <n v="2026"/>
    <n v="1"/>
    <d v="2026-01-12T00:00:00"/>
    <n v="221630"/>
    <x v="1"/>
    <s v="WJEW"/>
    <x v="13"/>
    <s v="EARRINGS"/>
    <n v="24300000"/>
    <x v="1"/>
    <n v="1"/>
    <n v="24300000"/>
  </r>
  <r>
    <n v="2026"/>
    <n v="1"/>
    <d v="2026-01-12T00:00:00"/>
    <n v="221634"/>
    <x v="1"/>
    <s v="WJEW"/>
    <x v="13"/>
    <s v="NECKLACE"/>
    <n v="59400000"/>
    <x v="1"/>
    <n v="1"/>
    <n v="59400000"/>
  </r>
  <r>
    <n v="2026"/>
    <n v="1"/>
    <d v="2026-01-12T00:00:00"/>
    <n v="221636"/>
    <x v="1"/>
    <s v="WJEW"/>
    <x v="13"/>
    <s v="NECKLACE"/>
    <n v="81000000"/>
    <x v="1"/>
    <n v="1"/>
    <n v="81000000"/>
  </r>
  <r>
    <n v="2026"/>
    <n v="1"/>
    <d v="2026-01-12T00:00:00"/>
    <n v="221645"/>
    <x v="1"/>
    <s v="WJEW"/>
    <x v="13"/>
    <s v="EARRINGS"/>
    <n v="59400000"/>
    <x v="0"/>
    <n v="1"/>
    <n v="59400000"/>
  </r>
  <r>
    <n v="2026"/>
    <n v="1"/>
    <d v="2026-01-12T00:00:00"/>
    <n v="221652"/>
    <x v="1"/>
    <s v="WJEW"/>
    <x v="13"/>
    <s v="EARRINGS"/>
    <n v="24300000"/>
    <x v="4"/>
    <n v="1"/>
    <n v="24300000"/>
  </r>
  <r>
    <n v="2026"/>
    <n v="1"/>
    <d v="2026-01-12T00:00:00"/>
    <n v="222104"/>
    <x v="1"/>
    <s v="WJEW"/>
    <x v="13"/>
    <s v="NECKLACE"/>
    <n v="137500000"/>
    <x v="1"/>
    <n v="1"/>
    <n v="137500000"/>
  </r>
  <r>
    <n v="2026"/>
    <n v="1"/>
    <d v="2026-01-12T00:00:00"/>
    <n v="222516"/>
    <x v="11"/>
    <s v="WJEW"/>
    <x v="13"/>
    <s v="RING"/>
    <n v="57896601"/>
    <x v="0"/>
    <n v="1"/>
    <n v="57896601"/>
  </r>
  <r>
    <n v="2026"/>
    <n v="1"/>
    <d v="2026-01-12T00:00:00"/>
    <n v="222517"/>
    <x v="11"/>
    <s v="WJEW"/>
    <x v="13"/>
    <s v="RING"/>
    <n v="65975075"/>
    <x v="0"/>
    <n v="1"/>
    <n v="65975075"/>
  </r>
  <r>
    <n v="2026"/>
    <n v="1"/>
    <d v="2026-01-12T00:00:00"/>
    <n v="222518"/>
    <x v="11"/>
    <s v="WJEW"/>
    <x v="13"/>
    <s v="RING"/>
    <n v="65975075"/>
    <x v="0"/>
    <n v="1"/>
    <n v="65975075"/>
  </r>
  <r>
    <n v="2026"/>
    <n v="1"/>
    <d v="2026-01-12T00:00:00"/>
    <n v="222519"/>
    <x v="11"/>
    <s v="WJEW"/>
    <x v="13"/>
    <s v="RING"/>
    <n v="66648560"/>
    <x v="0"/>
    <n v="1"/>
    <n v="66648560"/>
  </r>
  <r>
    <n v="2026"/>
    <n v="1"/>
    <d v="2026-01-12T00:00:00"/>
    <n v="222520"/>
    <x v="11"/>
    <s v="WJEW"/>
    <x v="13"/>
    <s v="RING"/>
    <n v="321797237"/>
    <x v="1"/>
    <n v="1"/>
    <n v="321797237"/>
  </r>
  <r>
    <n v="2026"/>
    <n v="1"/>
    <d v="2026-01-12T00:00:00"/>
    <n v="222521"/>
    <x v="11"/>
    <s v="WJEW"/>
    <x v="13"/>
    <s v="BRACELET"/>
    <n v="160225469"/>
    <x v="0"/>
    <n v="1"/>
    <n v="160225469"/>
  </r>
  <r>
    <n v="2026"/>
    <n v="1"/>
    <d v="2026-01-12T00:00:00"/>
    <n v="222522"/>
    <x v="11"/>
    <s v="WJEW"/>
    <x v="13"/>
    <s v="BRACELET"/>
    <n v="179075346"/>
    <x v="0"/>
    <n v="1"/>
    <n v="179075346"/>
  </r>
  <r>
    <n v="2026"/>
    <n v="1"/>
    <d v="2026-01-12T00:00:00"/>
    <n v="222525"/>
    <x v="11"/>
    <s v="WJEW"/>
    <x v="13"/>
    <s v="EARRINGS"/>
    <n v="84152138"/>
    <x v="0"/>
    <n v="1"/>
    <n v="84152138"/>
  </r>
  <r>
    <n v="2026"/>
    <n v="1"/>
    <d v="2026-01-12T00:00:00"/>
    <n v="222526"/>
    <x v="11"/>
    <s v="WJEW"/>
    <x v="13"/>
    <s v="EARRINGS"/>
    <n v="85498437"/>
    <x v="0"/>
    <n v="1"/>
    <n v="85498437"/>
  </r>
  <r>
    <n v="2026"/>
    <n v="1"/>
    <d v="2026-01-12T00:00:00"/>
    <n v="222527"/>
    <x v="11"/>
    <s v="WJEW"/>
    <x v="13"/>
    <s v="EARRINGS"/>
    <n v="288136383"/>
    <x v="1"/>
    <n v="1"/>
    <n v="288136383"/>
  </r>
  <r>
    <n v="2026"/>
    <n v="1"/>
    <d v="2026-01-12T00:00:00"/>
    <n v="222528"/>
    <x v="11"/>
    <s v="WJEW"/>
    <x v="13"/>
    <s v="NECKLACE"/>
    <n v="2221612739"/>
    <x v="1"/>
    <n v="1"/>
    <n v="2221612739"/>
  </r>
  <r>
    <n v="2026"/>
    <n v="1"/>
    <d v="2026-01-12T00:00:00"/>
    <n v="222529"/>
    <x v="11"/>
    <s v="WJEW"/>
    <x v="13"/>
    <s v="NECKLACE"/>
    <n v="996359630"/>
    <x v="0"/>
    <n v="1"/>
    <n v="996359630"/>
  </r>
  <r>
    <n v="2026"/>
    <n v="1"/>
    <d v="2026-01-12T00:00:00"/>
    <n v="222530"/>
    <x v="11"/>
    <s v="WJEW"/>
    <x v="13"/>
    <s v="EARRINGS"/>
    <n v="257168462"/>
    <x v="1"/>
    <n v="1"/>
    <n v="257168462"/>
  </r>
  <r>
    <n v="2026"/>
    <n v="1"/>
    <d v="2026-01-12T00:00:00"/>
    <n v="222531"/>
    <x v="11"/>
    <s v="WJEW"/>
    <x v="13"/>
    <s v="BRACELET"/>
    <n v="127911250"/>
    <x v="1"/>
    <n v="1"/>
    <n v="127911250"/>
  </r>
  <r>
    <n v="2026"/>
    <n v="1"/>
    <d v="2026-01-12T00:00:00"/>
    <n v="222532"/>
    <x v="11"/>
    <s v="WJEW"/>
    <x v="13"/>
    <s v="EARRINGS"/>
    <n v="40393026"/>
    <x v="0"/>
    <n v="1"/>
    <n v="40393026"/>
  </r>
  <r>
    <n v="2026"/>
    <n v="1"/>
    <d v="2026-01-12T00:00:00"/>
    <n v="223697"/>
    <x v="12"/>
    <s v="WJEW"/>
    <x v="13"/>
    <s v="NECKLACE"/>
    <n v="12783777"/>
    <x v="1"/>
    <n v="1"/>
    <n v="12783777"/>
  </r>
  <r>
    <n v="2026"/>
    <n v="1"/>
    <d v="2026-01-12T00:00:00"/>
    <n v="223698"/>
    <x v="12"/>
    <s v="WJEW"/>
    <x v="13"/>
    <s v="NECKLACE"/>
    <n v="23103211"/>
    <x v="1"/>
    <n v="1"/>
    <n v="23103211"/>
  </r>
  <r>
    <n v="2026"/>
    <n v="1"/>
    <d v="2026-01-12T00:00:00"/>
    <n v="223699"/>
    <x v="12"/>
    <s v="WJEW"/>
    <x v="13"/>
    <s v="BRACELET"/>
    <n v="6930963.5"/>
    <x v="1"/>
    <n v="1"/>
    <n v="6930963.5"/>
  </r>
  <r>
    <n v="2026"/>
    <n v="1"/>
    <d v="2026-01-12T00:00:00"/>
    <n v="223700"/>
    <x v="12"/>
    <s v="WJEW"/>
    <x v="13"/>
    <s v="EARRINGS"/>
    <n v="8625198.333333334"/>
    <x v="1"/>
    <n v="1"/>
    <n v="8625198.333333334"/>
  </r>
  <r>
    <n v="2026"/>
    <n v="1"/>
    <d v="2026-01-12T00:00:00"/>
    <n v="223700"/>
    <x v="12"/>
    <s v="WJEW"/>
    <x v="13"/>
    <s v="EARRINGS"/>
    <n v="8625198.333333334"/>
    <x v="0"/>
    <n v="1"/>
    <n v="8625198.333333334"/>
  </r>
  <r>
    <n v="2026"/>
    <n v="1"/>
    <d v="2026-01-12T00:00:00"/>
    <n v="223701"/>
    <x v="12"/>
    <s v="WJEW"/>
    <x v="13"/>
    <s v="EARRINGS"/>
    <n v="6160855.5"/>
    <x v="1"/>
    <n v="1"/>
    <n v="6160855.5"/>
  </r>
  <r>
    <n v="2026"/>
    <n v="1"/>
    <d v="2026-01-12T00:00:00"/>
    <n v="223702"/>
    <x v="12"/>
    <s v="WJEW"/>
    <x v="13"/>
    <s v="NECKLACE"/>
    <n v="8240145"/>
    <x v="1"/>
    <n v="3"/>
    <n v="24720435"/>
  </r>
  <r>
    <n v="2026"/>
    <n v="1"/>
    <d v="2026-01-12T00:00:00"/>
    <n v="223702"/>
    <x v="12"/>
    <s v="WJEW"/>
    <x v="13"/>
    <s v="NECKLACE"/>
    <n v="8240145"/>
    <x v="0"/>
    <n v="1"/>
    <n v="8240145"/>
  </r>
  <r>
    <n v="2026"/>
    <n v="1"/>
    <d v="2026-01-12T00:00:00"/>
    <n v="223703"/>
    <x v="12"/>
    <s v="WJEW"/>
    <x v="13"/>
    <s v="NECKLACE"/>
    <n v="39275457"/>
    <x v="1"/>
    <n v="1"/>
    <n v="39275457"/>
  </r>
  <r>
    <n v="2026"/>
    <n v="1"/>
    <d v="2026-01-12T00:00:00"/>
    <n v="223704"/>
    <x v="12"/>
    <s v="WJEW"/>
    <x v="13"/>
    <s v="NECKLACE"/>
    <n v="27723851"/>
    <x v="1"/>
    <n v="1"/>
    <n v="27723851"/>
  </r>
  <r>
    <n v="2026"/>
    <n v="1"/>
    <d v="2026-01-12T00:00:00"/>
    <n v="223705"/>
    <x v="12"/>
    <s v="WJEW"/>
    <x v="13"/>
    <s v="NECKLACE"/>
    <n v="21562996"/>
    <x v="1"/>
    <n v="1"/>
    <n v="21562996"/>
  </r>
  <r>
    <n v="2026"/>
    <n v="1"/>
    <d v="2026-01-12T00:00:00"/>
    <n v="223706"/>
    <x v="12"/>
    <s v="WJEW"/>
    <x v="13"/>
    <s v="EARRINGS"/>
    <n v="24027338"/>
    <x v="1"/>
    <n v="1"/>
    <n v="24027338"/>
  </r>
  <r>
    <n v="2026"/>
    <n v="1"/>
    <d v="2026-01-12T00:00:00"/>
    <n v="223707"/>
    <x v="12"/>
    <s v="WJEW"/>
    <x v="13"/>
    <s v="EARRINGS"/>
    <n v="24027339"/>
    <x v="1"/>
    <n v="1"/>
    <n v="24027339"/>
  </r>
  <r>
    <n v="2026"/>
    <n v="1"/>
    <d v="2026-01-12T00:00:00"/>
    <n v="223707"/>
    <x v="12"/>
    <s v="WJEW"/>
    <x v="13"/>
    <s v="EARRINGS"/>
    <n v="24027339"/>
    <x v="0"/>
    <n v="1"/>
    <n v="24027339"/>
  </r>
  <r>
    <n v="2026"/>
    <n v="1"/>
    <d v="2026-01-12T00:00:00"/>
    <n v="223708"/>
    <x v="12"/>
    <s v="WJEW"/>
    <x v="13"/>
    <s v="EARRINGS"/>
    <n v="10627476.800000001"/>
    <x v="1"/>
    <n v="3"/>
    <n v="31882430.400000002"/>
  </r>
  <r>
    <n v="2026"/>
    <n v="1"/>
    <d v="2026-01-12T00:00:00"/>
    <n v="223708"/>
    <x v="12"/>
    <s v="WJEW"/>
    <x v="13"/>
    <s v="EARRINGS"/>
    <n v="10627476.800000001"/>
    <x v="0"/>
    <n v="2"/>
    <n v="21254953.600000001"/>
  </r>
  <r>
    <n v="2026"/>
    <n v="1"/>
    <d v="2026-01-12T00:00:00"/>
    <n v="223710"/>
    <x v="12"/>
    <s v="WJEW"/>
    <x v="13"/>
    <s v="BRACELET"/>
    <n v="16942354"/>
    <x v="1"/>
    <n v="1"/>
    <n v="16942354"/>
  </r>
  <r>
    <n v="2026"/>
    <n v="1"/>
    <d v="2026-01-12T00:00:00"/>
    <n v="223712"/>
    <x v="12"/>
    <s v="WJEW"/>
    <x v="13"/>
    <s v="BRACELET"/>
    <n v="9087263"/>
    <x v="1"/>
    <n v="1"/>
    <n v="9087263"/>
  </r>
  <r>
    <n v="2026"/>
    <n v="1"/>
    <d v="2026-01-12T00:00:00"/>
    <n v="223713"/>
    <x v="12"/>
    <s v="WJEW"/>
    <x v="13"/>
    <s v="NECKLACE"/>
    <n v="33884708"/>
    <x v="1"/>
    <n v="1"/>
    <n v="33884708"/>
  </r>
  <r>
    <n v="2026"/>
    <n v="1"/>
    <d v="2026-01-12T00:00:00"/>
    <n v="223714"/>
    <x v="12"/>
    <s v="WJEW"/>
    <x v="13"/>
    <s v="NECKLACE"/>
    <n v="23103210"/>
    <x v="1"/>
    <n v="1"/>
    <n v="23103210"/>
  </r>
  <r>
    <n v="2026"/>
    <n v="1"/>
    <d v="2026-01-12T00:00:00"/>
    <n v="223715"/>
    <x v="12"/>
    <s v="WJEW"/>
    <x v="13"/>
    <s v="NECKLACE"/>
    <n v="23103210"/>
    <x v="1"/>
    <n v="1"/>
    <n v="23103210"/>
  </r>
  <r>
    <n v="2026"/>
    <n v="1"/>
    <d v="2026-01-12T00:00:00"/>
    <n v="223716"/>
    <x v="12"/>
    <s v="WJEW"/>
    <x v="13"/>
    <s v="NECKLACE"/>
    <n v="23873316"/>
    <x v="1"/>
    <n v="1"/>
    <n v="23873316"/>
  </r>
  <r>
    <n v="2026"/>
    <n v="1"/>
    <d v="2026-01-12T00:00:00"/>
    <n v="223718"/>
    <x v="12"/>
    <s v="WJEW"/>
    <x v="13"/>
    <s v="NECKLACE"/>
    <n v="13399862"/>
    <x v="0"/>
    <n v="1"/>
    <n v="13399862"/>
  </r>
  <r>
    <n v="2026"/>
    <n v="1"/>
    <d v="2026-01-12T00:00:00"/>
    <n v="223719"/>
    <x v="12"/>
    <s v="WJEW"/>
    <x v="13"/>
    <s v="EARRINGS"/>
    <n v="32806558"/>
    <x v="1"/>
    <n v="1"/>
    <n v="32806558"/>
  </r>
  <r>
    <n v="2026"/>
    <n v="1"/>
    <d v="2026-01-12T00:00:00"/>
    <n v="223721"/>
    <x v="12"/>
    <s v="WJEW"/>
    <x v="13"/>
    <s v="EARRINGS"/>
    <n v="24027339"/>
    <x v="1"/>
    <n v="2"/>
    <n v="48054678"/>
  </r>
  <r>
    <n v="2026"/>
    <n v="1"/>
    <d v="2026-01-12T00:00:00"/>
    <n v="223722"/>
    <x v="12"/>
    <s v="WJEW"/>
    <x v="13"/>
    <s v="EARRINGS"/>
    <n v="24027339"/>
    <x v="1"/>
    <n v="1"/>
    <n v="24027339"/>
  </r>
  <r>
    <n v="2026"/>
    <n v="1"/>
    <d v="2026-01-12T00:00:00"/>
    <n v="223722"/>
    <x v="12"/>
    <s v="WJEW"/>
    <x v="13"/>
    <s v="EARRINGS"/>
    <n v="24027339"/>
    <x v="0"/>
    <n v="1"/>
    <n v="24027339"/>
  </r>
  <r>
    <n v="2026"/>
    <n v="1"/>
    <d v="2026-01-12T00:00:00"/>
    <n v="223723"/>
    <x v="12"/>
    <s v="WJEW"/>
    <x v="13"/>
    <s v="EARRINGS"/>
    <n v="7239006"/>
    <x v="1"/>
    <n v="2"/>
    <n v="14478012"/>
  </r>
  <r>
    <n v="2026"/>
    <n v="1"/>
    <d v="2026-01-12T00:00:00"/>
    <n v="223723"/>
    <x v="12"/>
    <s v="WJEW"/>
    <x v="13"/>
    <s v="EARRINGS"/>
    <n v="7239006"/>
    <x v="0"/>
    <n v="1"/>
    <n v="7239006"/>
  </r>
  <r>
    <n v="2026"/>
    <n v="1"/>
    <d v="2026-01-12T00:00:00"/>
    <n v="223724"/>
    <x v="12"/>
    <s v="WJEW"/>
    <x v="13"/>
    <s v="NECKLACE"/>
    <n v="85481875"/>
    <x v="1"/>
    <n v="1"/>
    <n v="85481875"/>
  </r>
  <r>
    <n v="2026"/>
    <n v="1"/>
    <d v="2026-01-12T00:00:00"/>
    <n v="223725"/>
    <x v="12"/>
    <s v="WJEW"/>
    <x v="13"/>
    <s v="NECKLACE"/>
    <n v="38505351"/>
    <x v="1"/>
    <n v="1"/>
    <n v="38505351"/>
  </r>
  <r>
    <n v="2026"/>
    <n v="1"/>
    <d v="2026-01-12T00:00:00"/>
    <n v="223726"/>
    <x v="12"/>
    <s v="WJEW"/>
    <x v="13"/>
    <s v="NECKLACE"/>
    <n v="25413531"/>
    <x v="1"/>
    <n v="1"/>
    <n v="25413531"/>
  </r>
  <r>
    <n v="2026"/>
    <n v="1"/>
    <d v="2026-01-12T00:00:00"/>
    <n v="223726"/>
    <x v="12"/>
    <s v="WJEW"/>
    <x v="13"/>
    <s v="NECKLACE"/>
    <n v="25413531"/>
    <x v="0"/>
    <n v="1"/>
    <n v="25413531"/>
  </r>
  <r>
    <n v="2026"/>
    <n v="1"/>
    <d v="2026-01-12T00:00:00"/>
    <n v="223727"/>
    <x v="12"/>
    <s v="WJEW"/>
    <x v="13"/>
    <s v="NECKLACE"/>
    <n v="25413531.333333332"/>
    <x v="1"/>
    <n v="1"/>
    <n v="25413531.333333332"/>
  </r>
  <r>
    <n v="2026"/>
    <n v="1"/>
    <d v="2026-01-12T00:00:00"/>
    <n v="223727"/>
    <x v="12"/>
    <s v="WJEW"/>
    <x v="13"/>
    <s v="NECKLACE"/>
    <n v="25413531.333333332"/>
    <x v="0"/>
    <n v="1"/>
    <n v="25413531.333333332"/>
  </r>
  <r>
    <n v="2026"/>
    <n v="1"/>
    <d v="2026-01-12T00:00:00"/>
    <n v="223728"/>
    <x v="12"/>
    <s v="WJEW"/>
    <x v="13"/>
    <s v="NECKLACE"/>
    <n v="19252675"/>
    <x v="1"/>
    <n v="1"/>
    <n v="19252675"/>
  </r>
  <r>
    <n v="2026"/>
    <n v="1"/>
    <d v="2026-01-12T00:00:00"/>
    <n v="223729"/>
    <x v="12"/>
    <s v="WJEW"/>
    <x v="13"/>
    <s v="NECKLACE"/>
    <n v="21871039"/>
    <x v="1"/>
    <n v="1"/>
    <n v="21871039"/>
  </r>
  <r>
    <n v="2026"/>
    <n v="1"/>
    <d v="2026-01-12T00:00:00"/>
    <n v="223729"/>
    <x v="12"/>
    <s v="WJEW"/>
    <x v="13"/>
    <s v="NECKLACE"/>
    <n v="21871039"/>
    <x v="0"/>
    <n v="1"/>
    <n v="21871039"/>
  </r>
  <r>
    <n v="2026"/>
    <n v="1"/>
    <d v="2026-01-12T00:00:00"/>
    <n v="223779"/>
    <x v="8"/>
    <s v="WJEW"/>
    <x v="13"/>
    <s v="NECKLACE"/>
    <n v="369398250"/>
    <x v="1"/>
    <n v="1"/>
    <n v="369398250"/>
  </r>
  <r>
    <n v="2026"/>
    <n v="1"/>
    <d v="2026-01-12T00:00:00"/>
    <n v="223780"/>
    <x v="8"/>
    <s v="WJEW"/>
    <x v="13"/>
    <s v="EARRINGS"/>
    <n v="238387500"/>
    <x v="1"/>
    <n v="1"/>
    <n v="238387500"/>
  </r>
  <r>
    <n v="2026"/>
    <n v="1"/>
    <d v="2026-01-12T00:00:00"/>
    <n v="224235"/>
    <x v="7"/>
    <s v="WJEW"/>
    <x v="13"/>
    <s v="RING"/>
    <n v="30956526"/>
    <x v="1"/>
    <n v="1"/>
    <n v="30956526"/>
  </r>
  <r>
    <n v="2026"/>
    <n v="1"/>
    <d v="2026-01-12T00:00:00"/>
    <n v="224236"/>
    <x v="7"/>
    <s v="WJEW"/>
    <x v="13"/>
    <s v="RING"/>
    <n v="29700794"/>
    <x v="1"/>
    <n v="1"/>
    <n v="29700794"/>
  </r>
  <r>
    <n v="2026"/>
    <n v="1"/>
    <d v="2026-01-12T00:00:00"/>
    <n v="224237"/>
    <x v="7"/>
    <s v="WJEW"/>
    <x v="13"/>
    <s v="RING"/>
    <n v="133204025"/>
    <x v="1"/>
    <n v="1"/>
    <n v="133204025"/>
  </r>
  <r>
    <n v="2026"/>
    <n v="1"/>
    <d v="2026-01-12T00:00:00"/>
    <n v="224238"/>
    <x v="7"/>
    <s v="WJEW"/>
    <x v="13"/>
    <s v="EARRINGS"/>
    <n v="49191940"/>
    <x v="0"/>
    <n v="1"/>
    <n v="49191940"/>
  </r>
  <r>
    <n v="2026"/>
    <n v="1"/>
    <d v="2026-01-12T00:00:00"/>
    <n v="224239"/>
    <x v="7"/>
    <s v="WJEW"/>
    <x v="13"/>
    <s v="RING"/>
    <n v="41411861"/>
    <x v="1"/>
    <n v="1"/>
    <n v="41411861"/>
  </r>
  <r>
    <n v="2026"/>
    <n v="1"/>
    <d v="2026-01-12T00:00:00"/>
    <n v="224240"/>
    <x v="7"/>
    <s v="WJEW"/>
    <x v="13"/>
    <s v="RING"/>
    <n v="163574358"/>
    <x v="0"/>
    <n v="1"/>
    <n v="163574358"/>
  </r>
  <r>
    <n v="2026"/>
    <n v="1"/>
    <d v="2026-01-12T00:00:00"/>
    <n v="224241"/>
    <x v="7"/>
    <s v="WJEW"/>
    <x v="13"/>
    <s v="EARRINGS"/>
    <n v="31475198"/>
    <x v="1"/>
    <n v="1"/>
    <n v="31475198"/>
  </r>
  <r>
    <n v="2026"/>
    <n v="1"/>
    <d v="2026-01-12T00:00:00"/>
    <n v="224242"/>
    <x v="7"/>
    <s v="WJEW"/>
    <x v="13"/>
    <s v="EARRINGS"/>
    <n v="54597048"/>
    <x v="1"/>
    <n v="1"/>
    <n v="54597048"/>
  </r>
  <r>
    <n v="2026"/>
    <n v="1"/>
    <d v="2026-01-12T00:00:00"/>
    <n v="224243"/>
    <x v="7"/>
    <s v="WJEW"/>
    <x v="13"/>
    <s v="NECKLACE"/>
    <n v="60771623"/>
    <x v="0"/>
    <n v="1"/>
    <n v="60771623"/>
  </r>
  <r>
    <n v="2026"/>
    <n v="1"/>
    <d v="2026-01-12T00:00:00"/>
    <n v="224244"/>
    <x v="7"/>
    <s v="WJEW"/>
    <x v="13"/>
    <s v="NECKLACE"/>
    <n v="66028046"/>
    <x v="1"/>
    <n v="1"/>
    <n v="66028046"/>
  </r>
  <r>
    <n v="2026"/>
    <n v="1"/>
    <d v="2026-01-12T00:00:00"/>
    <n v="224245"/>
    <x v="7"/>
    <s v="WJEW"/>
    <x v="13"/>
    <s v="NECKLACE"/>
    <n v="166304210"/>
    <x v="1"/>
    <n v="1"/>
    <n v="166304210"/>
  </r>
  <r>
    <n v="2026"/>
    <n v="1"/>
    <d v="2026-01-12T00:00:00"/>
    <n v="225128"/>
    <x v="8"/>
    <s v="WJEW"/>
    <x v="13"/>
    <s v="NECKLACE"/>
    <n v="26911874"/>
    <x v="0"/>
    <n v="1"/>
    <n v="26911874"/>
  </r>
  <r>
    <n v="2026"/>
    <n v="1"/>
    <d v="2026-01-12T00:00:00"/>
    <n v="225129"/>
    <x v="8"/>
    <s v="WJEW"/>
    <x v="13"/>
    <s v="EARRINGS"/>
    <n v="35329515"/>
    <x v="4"/>
    <n v="1"/>
    <n v="35329515"/>
  </r>
  <r>
    <n v="2026"/>
    <n v="1"/>
    <d v="2026-01-12T00:00:00"/>
    <n v="225130"/>
    <x v="8"/>
    <s v="WJEW"/>
    <x v="13"/>
    <s v="NECKLACE"/>
    <n v="32779646"/>
    <x v="1"/>
    <n v="1"/>
    <n v="32779646"/>
  </r>
  <r>
    <n v="2026"/>
    <n v="1"/>
    <d v="2026-01-12T00:00:00"/>
    <n v="225130"/>
    <x v="8"/>
    <s v="WJEW"/>
    <x v="13"/>
    <s v="NECKLACE"/>
    <n v="32779646"/>
    <x v="0"/>
    <n v="1"/>
    <n v="32779646"/>
  </r>
  <r>
    <n v="2026"/>
    <n v="1"/>
    <d v="2026-01-12T00:00:00"/>
    <n v="225131"/>
    <x v="8"/>
    <s v="WJEW"/>
    <x v="13"/>
    <s v="NECKLACE"/>
    <n v="20337513"/>
    <x v="0"/>
    <n v="1"/>
    <n v="20337513"/>
  </r>
  <r>
    <n v="2026"/>
    <n v="1"/>
    <d v="2026-01-12T00:00:00"/>
    <n v="225132"/>
    <x v="8"/>
    <s v="WJEW"/>
    <x v="13"/>
    <s v="BRACELET"/>
    <n v="14623347"/>
    <x v="0"/>
    <n v="1"/>
    <n v="14623347"/>
  </r>
  <r>
    <n v="2026"/>
    <n v="1"/>
    <d v="2026-01-12T00:00:00"/>
    <n v="225133"/>
    <x v="8"/>
    <s v="WJEW"/>
    <x v="13"/>
    <s v="NECKLACE"/>
    <n v="31858007"/>
    <x v="1"/>
    <n v="1"/>
    <n v="31858007"/>
  </r>
  <r>
    <n v="2026"/>
    <n v="1"/>
    <d v="2026-01-12T00:00:00"/>
    <n v="225134"/>
    <x v="8"/>
    <s v="WJEW"/>
    <x v="13"/>
    <s v="NECKLACE"/>
    <n v="19753808"/>
    <x v="1"/>
    <n v="1"/>
    <n v="19753808"/>
  </r>
  <r>
    <n v="2026"/>
    <n v="1"/>
    <d v="2026-01-12T00:00:00"/>
    <n v="225135"/>
    <x v="8"/>
    <s v="WJEW"/>
    <x v="13"/>
    <s v="EARRINGS"/>
    <n v="22088628"/>
    <x v="1"/>
    <n v="1"/>
    <n v="22088628"/>
  </r>
  <r>
    <n v="2026"/>
    <n v="1"/>
    <d v="2026-01-12T00:00:00"/>
    <n v="225135"/>
    <x v="8"/>
    <s v="WJEW"/>
    <x v="13"/>
    <s v="EARRINGS"/>
    <n v="22088628"/>
    <x v="0"/>
    <n v="1"/>
    <n v="22088628"/>
  </r>
  <r>
    <n v="2026"/>
    <n v="1"/>
    <d v="2026-01-12T00:00:00"/>
    <n v="225136"/>
    <x v="8"/>
    <s v="WJEW"/>
    <x v="13"/>
    <s v="RING"/>
    <n v="32472433"/>
    <x v="1"/>
    <n v="1"/>
    <n v="32472433"/>
  </r>
  <r>
    <n v="2026"/>
    <n v="1"/>
    <d v="2026-01-12T00:00:00"/>
    <n v="225137"/>
    <x v="8"/>
    <s v="WJEW"/>
    <x v="13"/>
    <s v="RING"/>
    <n v="32472433"/>
    <x v="0"/>
    <n v="1"/>
    <n v="32472433"/>
  </r>
  <r>
    <n v="2026"/>
    <n v="1"/>
    <d v="2026-01-12T00:00:00"/>
    <n v="225139"/>
    <x v="8"/>
    <s v="WJEW"/>
    <x v="13"/>
    <s v="RING"/>
    <n v="27372695"/>
    <x v="1"/>
    <n v="1"/>
    <n v="27372695"/>
  </r>
  <r>
    <n v="2026"/>
    <n v="1"/>
    <d v="2026-01-12T00:00:00"/>
    <n v="225140"/>
    <x v="8"/>
    <s v="WJEW"/>
    <x v="13"/>
    <s v="RING"/>
    <n v="41996041"/>
    <x v="0"/>
    <n v="1"/>
    <n v="41996041"/>
  </r>
  <r>
    <n v="2026"/>
    <n v="1"/>
    <d v="2026-01-12T00:00:00"/>
    <n v="225141"/>
    <x v="8"/>
    <s v="WJEW"/>
    <x v="13"/>
    <s v="RING"/>
    <n v="20829054"/>
    <x v="0"/>
    <n v="1"/>
    <n v="20829054"/>
  </r>
  <r>
    <n v="2026"/>
    <n v="1"/>
    <d v="2026-01-12T00:00:00"/>
    <n v="225142"/>
    <x v="8"/>
    <s v="WJEW"/>
    <x v="13"/>
    <s v="RING"/>
    <n v="31427909"/>
    <x v="0"/>
    <n v="1"/>
    <n v="31427909"/>
  </r>
  <r>
    <n v="2026"/>
    <n v="1"/>
    <d v="2026-01-12T00:00:00"/>
    <n v="225143"/>
    <x v="8"/>
    <s v="WJEW"/>
    <x v="13"/>
    <s v="RING"/>
    <n v="13548100"/>
    <x v="1"/>
    <n v="1"/>
    <n v="13548100"/>
  </r>
  <r>
    <n v="2026"/>
    <n v="1"/>
    <d v="2026-01-12T00:00:00"/>
    <n v="225144"/>
    <x v="8"/>
    <s v="WJEW"/>
    <x v="13"/>
    <s v="RING"/>
    <n v="33209746"/>
    <x v="1"/>
    <n v="1"/>
    <n v="33209746"/>
  </r>
  <r>
    <n v="2026"/>
    <n v="1"/>
    <d v="2026-01-12T00:00:00"/>
    <n v="225145"/>
    <x v="8"/>
    <s v="WJEW"/>
    <x v="13"/>
    <s v="EARRINGS"/>
    <n v="26666104"/>
    <x v="1"/>
    <n v="1"/>
    <n v="26666104"/>
  </r>
  <r>
    <n v="2026"/>
    <n v="1"/>
    <d v="2026-01-12T00:00:00"/>
    <n v="225145"/>
    <x v="8"/>
    <s v="WJEW"/>
    <x v="13"/>
    <s v="EARRINGS"/>
    <n v="26666104"/>
    <x v="0"/>
    <n v="1"/>
    <n v="26666104"/>
  </r>
  <r>
    <n v="2026"/>
    <n v="1"/>
    <d v="2026-01-12T00:00:00"/>
    <n v="225146"/>
    <x v="8"/>
    <s v="WJEW"/>
    <x v="13"/>
    <s v="NECKLACE"/>
    <n v="17910528"/>
    <x v="1"/>
    <n v="1"/>
    <n v="17910528"/>
  </r>
  <r>
    <n v="2026"/>
    <n v="1"/>
    <d v="2026-01-12T00:00:00"/>
    <n v="225147"/>
    <x v="8"/>
    <s v="WJEW"/>
    <x v="13"/>
    <s v="NECKLACE"/>
    <n v="29031646"/>
    <x v="1"/>
    <n v="1"/>
    <n v="29031646"/>
  </r>
  <r>
    <n v="2026"/>
    <n v="1"/>
    <d v="2026-01-12T00:00:00"/>
    <n v="225148"/>
    <x v="8"/>
    <s v="WJEW"/>
    <x v="13"/>
    <s v="PENDANT"/>
    <n v="12657184"/>
    <x v="1"/>
    <n v="1"/>
    <n v="12657184"/>
  </r>
  <r>
    <n v="2026"/>
    <n v="1"/>
    <d v="2026-01-12T00:00:00"/>
    <n v="225149"/>
    <x v="8"/>
    <s v="WJEW"/>
    <x v="13"/>
    <s v="PENDANT"/>
    <n v="20091741"/>
    <x v="1"/>
    <n v="1"/>
    <n v="20091741"/>
  </r>
  <r>
    <n v="2026"/>
    <n v="1"/>
    <d v="2026-01-12T00:00:00"/>
    <n v="225150"/>
    <x v="8"/>
    <s v="WJEW"/>
    <x v="13"/>
    <s v="EARRINGS"/>
    <n v="25898071"/>
    <x v="1"/>
    <n v="1"/>
    <n v="25898071"/>
  </r>
  <r>
    <n v="2026"/>
    <n v="1"/>
    <d v="2026-01-12T00:00:00"/>
    <n v="225151"/>
    <x v="8"/>
    <s v="WJEW"/>
    <x v="13"/>
    <s v="EARRINGS"/>
    <n v="37848664"/>
    <x v="1"/>
    <n v="1"/>
    <n v="37848664"/>
  </r>
  <r>
    <n v="2026"/>
    <n v="1"/>
    <d v="2026-01-12T00:00:00"/>
    <n v="225152"/>
    <x v="8"/>
    <s v="WJEW"/>
    <x v="13"/>
    <s v="PENDANT"/>
    <n v="20091741"/>
    <x v="1"/>
    <n v="1"/>
    <n v="20091741"/>
  </r>
  <r>
    <n v="2026"/>
    <n v="1"/>
    <d v="2026-01-12T00:00:00"/>
    <n v="225153"/>
    <x v="8"/>
    <s v="WJEW"/>
    <x v="13"/>
    <s v="PENDANT"/>
    <n v="12042757"/>
    <x v="1"/>
    <n v="1"/>
    <n v="12042757"/>
  </r>
  <r>
    <n v="2026"/>
    <n v="1"/>
    <d v="2026-01-12T00:00:00"/>
    <n v="225155"/>
    <x v="8"/>
    <s v="WJEW"/>
    <x v="13"/>
    <s v="EARRINGS"/>
    <n v="37848664"/>
    <x v="6"/>
    <n v="1"/>
    <n v="37848664"/>
  </r>
  <r>
    <n v="2026"/>
    <n v="1"/>
    <d v="2026-01-12T00:00:00"/>
    <n v="225156"/>
    <x v="8"/>
    <s v="WJEW"/>
    <x v="13"/>
    <s v="PENDANT"/>
    <n v="20091741"/>
    <x v="6"/>
    <n v="1"/>
    <n v="20091741"/>
  </r>
  <r>
    <n v="2026"/>
    <n v="1"/>
    <d v="2026-01-12T00:00:00"/>
    <n v="225157"/>
    <x v="8"/>
    <s v="WJEW"/>
    <x v="13"/>
    <s v="EARRINGS"/>
    <n v="67064638"/>
    <x v="1"/>
    <n v="1"/>
    <n v="67064638"/>
  </r>
  <r>
    <n v="2026"/>
    <n v="1"/>
    <d v="2026-01-12T00:00:00"/>
    <n v="225158"/>
    <x v="8"/>
    <s v="WJEW"/>
    <x v="13"/>
    <s v="NECKLACE"/>
    <n v="57233816"/>
    <x v="0"/>
    <n v="1"/>
    <n v="57233816"/>
  </r>
  <r>
    <n v="2026"/>
    <n v="1"/>
    <d v="2026-01-12T00:00:00"/>
    <n v="225159"/>
    <x v="8"/>
    <s v="WJEW"/>
    <x v="13"/>
    <s v="EARRINGS"/>
    <n v="23225316"/>
    <x v="0"/>
    <n v="1"/>
    <n v="23225316"/>
  </r>
  <r>
    <n v="2026"/>
    <n v="1"/>
    <d v="2026-01-12T00:00:00"/>
    <n v="225160"/>
    <x v="8"/>
    <s v="WJEW"/>
    <x v="13"/>
    <s v="EARRINGS"/>
    <n v="27925677"/>
    <x v="0"/>
    <n v="1"/>
    <n v="27925677"/>
  </r>
  <r>
    <n v="2026"/>
    <n v="1"/>
    <d v="2026-01-12T00:00:00"/>
    <n v="225161"/>
    <x v="8"/>
    <s v="WJEW"/>
    <x v="13"/>
    <s v="RING"/>
    <n v="32257383"/>
    <x v="1"/>
    <n v="1"/>
    <n v="32257383"/>
  </r>
  <r>
    <n v="2026"/>
    <n v="1"/>
    <d v="2026-01-12T00:00:00"/>
    <n v="225162"/>
    <x v="8"/>
    <s v="WJEW"/>
    <x v="13"/>
    <s v="BRACELET"/>
    <n v="32103777"/>
    <x v="0"/>
    <n v="1"/>
    <n v="32103777"/>
  </r>
  <r>
    <n v="2026"/>
    <n v="1"/>
    <d v="2026-01-12T00:00:00"/>
    <n v="225163"/>
    <x v="8"/>
    <s v="WJEW"/>
    <x v="13"/>
    <s v="RING"/>
    <n v="29000924"/>
    <x v="1"/>
    <n v="1"/>
    <n v="29000924"/>
  </r>
  <r>
    <n v="2026"/>
    <n v="1"/>
    <d v="2026-01-12T00:00:00"/>
    <n v="225164"/>
    <x v="8"/>
    <s v="WJEW"/>
    <x v="13"/>
    <s v="RING"/>
    <n v="30997810"/>
    <x v="1"/>
    <n v="1"/>
    <n v="30997810"/>
  </r>
  <r>
    <n v="2026"/>
    <n v="1"/>
    <d v="2026-01-12T00:00:00"/>
    <n v="225165"/>
    <x v="8"/>
    <s v="WJEW"/>
    <x v="13"/>
    <s v="EARRINGS"/>
    <n v="25222202"/>
    <x v="1"/>
    <n v="1"/>
    <n v="25222202"/>
  </r>
  <r>
    <n v="2026"/>
    <n v="1"/>
    <d v="2026-01-12T00:00:00"/>
    <n v="225166"/>
    <x v="8"/>
    <s v="WJEW"/>
    <x v="13"/>
    <s v="RING"/>
    <n v="30414104"/>
    <x v="1"/>
    <n v="1"/>
    <n v="30414104"/>
  </r>
  <r>
    <n v="2026"/>
    <n v="1"/>
    <d v="2026-01-12T00:00:00"/>
    <n v="225167"/>
    <x v="8"/>
    <s v="WJEW"/>
    <x v="13"/>
    <s v="EARRINGS"/>
    <n v="23931906"/>
    <x v="1"/>
    <n v="1"/>
    <n v="23931906"/>
  </r>
  <r>
    <n v="2026"/>
    <n v="1"/>
    <d v="2026-01-12T00:00:00"/>
    <n v="225170"/>
    <x v="8"/>
    <s v="WJEW"/>
    <x v="13"/>
    <s v="RING"/>
    <n v="30137613"/>
    <x v="0"/>
    <n v="1"/>
    <n v="30137613"/>
  </r>
  <r>
    <n v="2026"/>
    <n v="1"/>
    <d v="2026-01-12T00:00:00"/>
    <n v="225171"/>
    <x v="8"/>
    <s v="WJEW"/>
    <x v="13"/>
    <s v="RING"/>
    <n v="30905646"/>
    <x v="1"/>
    <n v="1"/>
    <n v="30905646"/>
  </r>
  <r>
    <n v="2026"/>
    <n v="1"/>
    <d v="2026-01-12T00:00:00"/>
    <n v="225172"/>
    <x v="8"/>
    <s v="WJEW"/>
    <x v="13"/>
    <s v="BRACELET"/>
    <n v="32103777"/>
    <x v="1"/>
    <n v="1"/>
    <n v="32103777"/>
  </r>
  <r>
    <n v="2026"/>
    <n v="1"/>
    <d v="2026-01-12T00:00:00"/>
    <n v="225173"/>
    <x v="8"/>
    <s v="WJEW"/>
    <x v="13"/>
    <s v="EARRINGS"/>
    <n v="25222202"/>
    <x v="1"/>
    <n v="1"/>
    <n v="25222202"/>
  </r>
  <r>
    <n v="2026"/>
    <n v="1"/>
    <d v="2026-01-12T00:00:00"/>
    <n v="225174"/>
    <x v="8"/>
    <s v="WJEW"/>
    <x v="13"/>
    <s v="PENDANT"/>
    <n v="19723087"/>
    <x v="1"/>
    <n v="1"/>
    <n v="19723087"/>
  </r>
  <r>
    <n v="2026"/>
    <n v="1"/>
    <d v="2026-01-12T00:00:00"/>
    <n v="225175"/>
    <x v="8"/>
    <s v="WJEW"/>
    <x v="13"/>
    <s v="NECKLACE"/>
    <n v="12042757"/>
    <x v="1"/>
    <n v="1"/>
    <n v="12042757"/>
  </r>
  <r>
    <n v="2026"/>
    <n v="1"/>
    <d v="2026-01-12T00:00:00"/>
    <n v="225176"/>
    <x v="8"/>
    <s v="WJEW"/>
    <x v="13"/>
    <s v="RING"/>
    <n v="31980891"/>
    <x v="1"/>
    <n v="1"/>
    <n v="31980891"/>
  </r>
  <r>
    <n v="2026"/>
    <n v="1"/>
    <d v="2026-01-12T00:00:00"/>
    <n v="225177"/>
    <x v="8"/>
    <s v="WJEW"/>
    <x v="13"/>
    <s v="EARRINGS"/>
    <n v="27311251"/>
    <x v="1"/>
    <n v="1"/>
    <n v="27311251"/>
  </r>
  <r>
    <n v="2026"/>
    <n v="1"/>
    <d v="2026-01-12T00:00:00"/>
    <n v="225178"/>
    <x v="8"/>
    <s v="WJEW"/>
    <x v="13"/>
    <s v="PENDANT"/>
    <n v="22088628"/>
    <x v="0"/>
    <n v="1"/>
    <n v="22088628"/>
  </r>
  <r>
    <n v="2026"/>
    <n v="1"/>
    <d v="2026-01-12T00:00:00"/>
    <n v="225179"/>
    <x v="8"/>
    <s v="WJEW"/>
    <x v="13"/>
    <s v="NECKLACE"/>
    <n v="12042757"/>
    <x v="0"/>
    <n v="1"/>
    <n v="12042757"/>
  </r>
  <r>
    <n v="2026"/>
    <n v="1"/>
    <d v="2026-01-12T00:00:00"/>
    <n v="225180"/>
    <x v="8"/>
    <s v="WJEW"/>
    <x v="13"/>
    <s v="RING"/>
    <n v="57110930"/>
    <x v="0"/>
    <n v="1"/>
    <n v="57110930"/>
  </r>
  <r>
    <n v="2026"/>
    <n v="1"/>
    <d v="2026-01-12T00:00:00"/>
    <n v="225182"/>
    <x v="8"/>
    <s v="WJEW"/>
    <x v="13"/>
    <s v="BRACELET"/>
    <n v="83899920.5"/>
    <x v="1"/>
    <n v="1"/>
    <n v="83899920.5"/>
  </r>
  <r>
    <n v="2026"/>
    <n v="1"/>
    <d v="2026-01-12T00:00:00"/>
    <n v="225182"/>
    <x v="8"/>
    <s v="WJEW"/>
    <x v="13"/>
    <s v="BRACELET"/>
    <n v="83899920.5"/>
    <x v="0"/>
    <n v="1"/>
    <n v="83899920.5"/>
  </r>
  <r>
    <n v="2026"/>
    <n v="1"/>
    <d v="2026-01-12T00:00:00"/>
    <n v="225183"/>
    <x v="8"/>
    <s v="WJEW"/>
    <x v="13"/>
    <s v="RING"/>
    <n v="31397186"/>
    <x v="0"/>
    <n v="1"/>
    <n v="31397186"/>
  </r>
  <r>
    <n v="2026"/>
    <n v="1"/>
    <d v="2026-01-12T00:00:00"/>
    <n v="225184"/>
    <x v="8"/>
    <s v="WJEW"/>
    <x v="13"/>
    <s v="RING"/>
    <n v="31858007"/>
    <x v="1"/>
    <n v="1"/>
    <n v="31858007"/>
  </r>
  <r>
    <n v="2026"/>
    <n v="1"/>
    <d v="2026-01-12T00:00:00"/>
    <n v="225185"/>
    <x v="8"/>
    <s v="WJEW"/>
    <x v="13"/>
    <s v="EARRINGS"/>
    <n v="22334399"/>
    <x v="0"/>
    <n v="1"/>
    <n v="22334399"/>
  </r>
  <r>
    <n v="2026"/>
    <n v="1"/>
    <d v="2026-01-12T00:00:00"/>
    <n v="225186"/>
    <x v="8"/>
    <s v="WJEW"/>
    <x v="13"/>
    <s v="RING"/>
    <n v="31858007"/>
    <x v="0"/>
    <n v="1"/>
    <n v="31858007"/>
  </r>
  <r>
    <n v="2026"/>
    <n v="1"/>
    <d v="2026-01-12T00:00:00"/>
    <n v="225187"/>
    <x v="8"/>
    <s v="WJEW"/>
    <x v="13"/>
    <s v="NECKLACE"/>
    <n v="25160759"/>
    <x v="1"/>
    <n v="1"/>
    <n v="25160759"/>
  </r>
  <r>
    <n v="2026"/>
    <n v="1"/>
    <d v="2026-01-12T00:00:00"/>
    <n v="225188"/>
    <x v="8"/>
    <s v="WJEW"/>
    <x v="13"/>
    <s v="EARRINGS"/>
    <n v="46942174"/>
    <x v="0"/>
    <n v="1"/>
    <n v="46942174"/>
  </r>
  <r>
    <n v="2026"/>
    <n v="1"/>
    <d v="2026-01-12T00:00:00"/>
    <n v="225189"/>
    <x v="8"/>
    <s v="WJEW"/>
    <x v="13"/>
    <s v="NECKLACE"/>
    <n v="89706250"/>
    <x v="0"/>
    <n v="1"/>
    <n v="89706250"/>
  </r>
  <r>
    <n v="2026"/>
    <n v="1"/>
    <d v="2026-01-12T00:00:00"/>
    <n v="225190"/>
    <x v="8"/>
    <s v="WJEW"/>
    <x v="13"/>
    <s v="RING"/>
    <n v="87801526"/>
    <x v="0"/>
    <n v="1"/>
    <n v="87801526"/>
  </r>
  <r>
    <n v="2026"/>
    <n v="1"/>
    <d v="2026-01-12T00:00:00"/>
    <n v="225191"/>
    <x v="8"/>
    <s v="WJEW"/>
    <x v="13"/>
    <s v="BRACELET"/>
    <n v="77079787"/>
    <x v="0"/>
    <n v="1"/>
    <n v="77079787"/>
  </r>
  <r>
    <n v="2026"/>
    <n v="1"/>
    <d v="2026-01-12T00:00:00"/>
    <n v="225192"/>
    <x v="8"/>
    <s v="WJEW"/>
    <x v="13"/>
    <s v="NECKLACE"/>
    <n v="115204944"/>
    <x v="0"/>
    <n v="1"/>
    <n v="115204944"/>
  </r>
  <r>
    <n v="2026"/>
    <n v="1"/>
    <d v="2026-01-12T00:00:00"/>
    <n v="225193"/>
    <x v="8"/>
    <s v="WJEW"/>
    <x v="13"/>
    <s v="EARRINGS"/>
    <n v="63347358"/>
    <x v="0"/>
    <n v="1"/>
    <n v="63347358"/>
  </r>
  <r>
    <n v="2026"/>
    <n v="1"/>
    <d v="2026-01-12T00:00:00"/>
    <n v="225194"/>
    <x v="8"/>
    <s v="WJEW"/>
    <x v="13"/>
    <s v="RING"/>
    <n v="34100664"/>
    <x v="0"/>
    <n v="1"/>
    <n v="34100664"/>
  </r>
  <r>
    <n v="2026"/>
    <n v="1"/>
    <d v="2026-01-12T00:00:00"/>
    <n v="225198"/>
    <x v="6"/>
    <s v="WJEW"/>
    <x v="13"/>
    <s v="RING"/>
    <n v="132721875.00000001"/>
    <x v="0"/>
    <n v="1"/>
    <n v="132721875.00000001"/>
  </r>
  <r>
    <n v="2026"/>
    <n v="1"/>
    <d v="2026-01-12T00:00:00"/>
    <n v="225199"/>
    <x v="6"/>
    <s v="WJEW"/>
    <x v="13"/>
    <s v="NECKLACE"/>
    <n v="310365000"/>
    <x v="0"/>
    <n v="1"/>
    <n v="310365000"/>
  </r>
  <r>
    <n v="2026"/>
    <n v="1"/>
    <d v="2026-01-12T00:00:00"/>
    <n v="225202"/>
    <x v="6"/>
    <s v="WJEW"/>
    <x v="13"/>
    <s v="RING"/>
    <n v="213716250.00000003"/>
    <x v="0"/>
    <n v="1"/>
    <n v="213716250.00000003"/>
  </r>
  <r>
    <n v="2026"/>
    <n v="1"/>
    <d v="2026-01-12T00:00:00"/>
    <n v="225204"/>
    <x v="6"/>
    <s v="WJEW"/>
    <x v="13"/>
    <s v="EARRINGS"/>
    <n v="128638125.00000001"/>
    <x v="0"/>
    <n v="1"/>
    <n v="128638125.00000001"/>
  </r>
  <r>
    <n v="2026"/>
    <n v="1"/>
    <d v="2026-01-12T00:00:00"/>
    <n v="225205"/>
    <x v="6"/>
    <s v="WJEW"/>
    <x v="13"/>
    <s v="RING"/>
    <n v="170156250"/>
    <x v="0"/>
    <n v="1"/>
    <n v="170156250"/>
  </r>
  <r>
    <n v="2026"/>
    <n v="1"/>
    <d v="2026-01-12T00:00:00"/>
    <n v="225206"/>
    <x v="6"/>
    <s v="WJEW"/>
    <x v="13"/>
    <s v="EARRINGS"/>
    <n v="114345000.00000001"/>
    <x v="1"/>
    <n v="1"/>
    <n v="114345000.00000001"/>
  </r>
  <r>
    <n v="2026"/>
    <n v="1"/>
    <d v="2026-01-12T00:00:00"/>
    <n v="225208"/>
    <x v="6"/>
    <s v="WJEW"/>
    <x v="13"/>
    <s v="EARRINGS"/>
    <n v="191936250.00000003"/>
    <x v="0"/>
    <n v="1"/>
    <n v="191936250.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E5C0-CBD9-4B5E-81B6-76E6AC4485CB}" name="PivotTable8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Month" colHeaderCaption="Year">
  <location ref="A23:Q38" firstHeaderRow="1" firstDataRow="3" firstDataCol="1" rowPageCount="1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</colItems>
  <pageFields count="1">
    <pageField fld="12" item="9" hier="-1"/>
  </pageFields>
  <dataFields count="2">
    <dataField name="Revenue " fld="18" baseField="0" baseItem="0" numFmtId="164"/>
    <dataField name="YoY %" fld="18" showDataAs="percentDiff" baseField="0" baseItem="1048828" numFmtId="10"/>
  </dataFields>
  <formats count="19">
    <format dxfId="720">
      <pivotArea type="all" dataOnly="0" outline="0" fieldPosition="0"/>
    </format>
    <format dxfId="719">
      <pivotArea outline="0" collapsedLevelsAreSubtotals="1" fieldPosition="0"/>
    </format>
    <format dxfId="718">
      <pivotArea type="origin" dataOnly="0" labelOnly="1" outline="0" fieldPosition="0"/>
    </format>
    <format dxfId="717">
      <pivotArea field="0" type="button" dataOnly="0" labelOnly="1" outline="0" axis="axisCol" fieldPosition="0"/>
    </format>
    <format dxfId="716">
      <pivotArea type="topRight" dataOnly="0" labelOnly="1" outline="0" fieldPosition="0"/>
    </format>
    <format dxfId="715">
      <pivotArea field="1" type="button" dataOnly="0" labelOnly="1" outline="0" axis="axisRow" fieldPosition="0"/>
    </format>
    <format dxfId="714">
      <pivotArea dataOnly="0" labelOnly="1" fieldPosition="0">
        <references count="1">
          <reference field="1" count="0"/>
        </references>
      </pivotArea>
    </format>
    <format dxfId="713">
      <pivotArea dataOnly="0" labelOnly="1" grandRow="1" outline="0" fieldPosition="0"/>
    </format>
    <format dxfId="712">
      <pivotArea dataOnly="0" labelOnly="1" fieldPosition="0">
        <references count="1">
          <reference field="0" count="0"/>
        </references>
      </pivotArea>
    </format>
    <format dxfId="711">
      <pivotArea type="all" dataOnly="0" outline="0" fieldPosition="0"/>
    </format>
    <format dxfId="710">
      <pivotArea outline="0" collapsedLevelsAreSubtotals="1" fieldPosition="0"/>
    </format>
    <format dxfId="709">
      <pivotArea type="origin" dataOnly="0" labelOnly="1" outline="0" fieldPosition="0"/>
    </format>
    <format dxfId="708">
      <pivotArea field="0" type="button" dataOnly="0" labelOnly="1" outline="0" axis="axisCol" fieldPosition="0"/>
    </format>
    <format dxfId="707">
      <pivotArea type="topRight" dataOnly="0" labelOnly="1" outline="0" fieldPosition="0"/>
    </format>
    <format dxfId="706">
      <pivotArea field="1" type="button" dataOnly="0" labelOnly="1" outline="0" axis="axisRow" fieldPosition="0"/>
    </format>
    <format dxfId="705">
      <pivotArea dataOnly="0" labelOnly="1" fieldPosition="0">
        <references count="1">
          <reference field="1" count="0"/>
        </references>
      </pivotArea>
    </format>
    <format dxfId="704">
      <pivotArea dataOnly="0" labelOnly="1" grandRow="1" outline="0" fieldPosition="0"/>
    </format>
    <format dxfId="703">
      <pivotArea dataOnly="0" labelOnly="1" fieldPosition="0">
        <references count="1">
          <reference field="0" count="0"/>
        </references>
      </pivotArea>
    </format>
    <format dxfId="70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6137E-BD35-4BE3-B7C2-0D7D04C5F7A5}" name="PivotTable2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Month" colHeaderCaption="Year">
  <location ref="A4:Q19" firstHeaderRow="1" firstDataRow="3" firstDataCol="1" rowPageCount="1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</colItems>
  <pageFields count="1">
    <pageField fld="12" hier="-1"/>
  </pageFields>
  <dataFields count="2">
    <dataField name="Revenue " fld="18" baseField="0" baseItem="0" numFmtId="164"/>
    <dataField name="YoY %" fld="18" showDataAs="percentDiff" baseField="0" baseItem="1048828" numFmtId="10"/>
  </dataFields>
  <formats count="19">
    <format dxfId="739">
      <pivotArea type="all" dataOnly="0" outline="0" fieldPosition="0"/>
    </format>
    <format dxfId="738">
      <pivotArea outline="0" collapsedLevelsAreSubtotals="1" fieldPosition="0"/>
    </format>
    <format dxfId="737">
      <pivotArea type="origin" dataOnly="0" labelOnly="1" outline="0" fieldPosition="0"/>
    </format>
    <format dxfId="736">
      <pivotArea field="0" type="button" dataOnly="0" labelOnly="1" outline="0" axis="axisCol" fieldPosition="0"/>
    </format>
    <format dxfId="735">
      <pivotArea type="topRight" dataOnly="0" labelOnly="1" outline="0" fieldPosition="0"/>
    </format>
    <format dxfId="734">
      <pivotArea field="1" type="button" dataOnly="0" labelOnly="1" outline="0" axis="axisRow" fieldPosition="0"/>
    </format>
    <format dxfId="733">
      <pivotArea dataOnly="0" labelOnly="1" fieldPosition="0">
        <references count="1">
          <reference field="1" count="0"/>
        </references>
      </pivotArea>
    </format>
    <format dxfId="732">
      <pivotArea dataOnly="0" labelOnly="1" grandRow="1" outline="0" fieldPosition="0"/>
    </format>
    <format dxfId="731">
      <pivotArea dataOnly="0" labelOnly="1" fieldPosition="0">
        <references count="1">
          <reference field="0" count="0"/>
        </references>
      </pivotArea>
    </format>
    <format dxfId="730">
      <pivotArea type="all" dataOnly="0" outline="0" fieldPosition="0"/>
    </format>
    <format dxfId="729">
      <pivotArea outline="0" collapsedLevelsAreSubtotals="1" fieldPosition="0"/>
    </format>
    <format dxfId="728">
      <pivotArea type="origin" dataOnly="0" labelOnly="1" outline="0" fieldPosition="0"/>
    </format>
    <format dxfId="727">
      <pivotArea field="0" type="button" dataOnly="0" labelOnly="1" outline="0" axis="axisCol" fieldPosition="0"/>
    </format>
    <format dxfId="726">
      <pivotArea type="topRight" dataOnly="0" labelOnly="1" outline="0" fieldPosition="0"/>
    </format>
    <format dxfId="725">
      <pivotArea field="1" type="button" dataOnly="0" labelOnly="1" outline="0" axis="axisRow" fieldPosition="0"/>
    </format>
    <format dxfId="724">
      <pivotArea dataOnly="0" labelOnly="1" fieldPosition="0">
        <references count="1">
          <reference field="1" count="0"/>
        </references>
      </pivotArea>
    </format>
    <format dxfId="723">
      <pivotArea dataOnly="0" labelOnly="1" grandRow="1" outline="0" fieldPosition="0"/>
    </format>
    <format dxfId="722">
      <pivotArea dataOnly="0" labelOnly="1" fieldPosition="0">
        <references count="1">
          <reference field="0" count="0"/>
        </references>
      </pivotArea>
    </format>
    <format dxfId="7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E3A6D-E676-44E2-A411-BFC1B1B7DA0F}" name="PivotTable12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Month" colHeaderCaption="Year">
  <location ref="A99:Q114" firstHeaderRow="1" firstDataRow="3" firstDataCol="1" rowPageCount="1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</colItems>
  <pageFields count="1">
    <pageField fld="12" item="13" hier="-1"/>
  </pageFields>
  <dataFields count="2">
    <dataField name="Revenue " fld="18" baseField="0" baseItem="0" numFmtId="164"/>
    <dataField name="YoY %" fld="18" showDataAs="percentDiff" baseField="0" baseItem="1048828" numFmtId="10"/>
  </dataFields>
  <formats count="19">
    <format dxfId="758">
      <pivotArea type="all" dataOnly="0" outline="0" fieldPosition="0"/>
    </format>
    <format dxfId="757">
      <pivotArea outline="0" collapsedLevelsAreSubtotals="1" fieldPosition="0"/>
    </format>
    <format dxfId="756">
      <pivotArea type="origin" dataOnly="0" labelOnly="1" outline="0" fieldPosition="0"/>
    </format>
    <format dxfId="755">
      <pivotArea field="0" type="button" dataOnly="0" labelOnly="1" outline="0" axis="axisCol" fieldPosition="0"/>
    </format>
    <format dxfId="754">
      <pivotArea type="topRight" dataOnly="0" labelOnly="1" outline="0" fieldPosition="0"/>
    </format>
    <format dxfId="753">
      <pivotArea field="1" type="button" dataOnly="0" labelOnly="1" outline="0" axis="axisRow" fieldPosition="0"/>
    </format>
    <format dxfId="752">
      <pivotArea dataOnly="0" labelOnly="1" fieldPosition="0">
        <references count="1">
          <reference field="1" count="0"/>
        </references>
      </pivotArea>
    </format>
    <format dxfId="751">
      <pivotArea dataOnly="0" labelOnly="1" grandRow="1" outline="0" fieldPosition="0"/>
    </format>
    <format dxfId="750">
      <pivotArea dataOnly="0" labelOnly="1" fieldPosition="0">
        <references count="1">
          <reference field="0" count="0"/>
        </references>
      </pivotArea>
    </format>
    <format dxfId="749">
      <pivotArea type="all" dataOnly="0" outline="0" fieldPosition="0"/>
    </format>
    <format dxfId="748">
      <pivotArea outline="0" collapsedLevelsAreSubtotals="1" fieldPosition="0"/>
    </format>
    <format dxfId="747">
      <pivotArea type="origin" dataOnly="0" labelOnly="1" outline="0" fieldPosition="0"/>
    </format>
    <format dxfId="746">
      <pivotArea field="0" type="button" dataOnly="0" labelOnly="1" outline="0" axis="axisCol" fieldPosition="0"/>
    </format>
    <format dxfId="745">
      <pivotArea type="topRight" dataOnly="0" labelOnly="1" outline="0" fieldPosition="0"/>
    </format>
    <format dxfId="744">
      <pivotArea field="1" type="button" dataOnly="0" labelOnly="1" outline="0" axis="axisRow" fieldPosition="0"/>
    </format>
    <format dxfId="743">
      <pivotArea dataOnly="0" labelOnly="1" fieldPosition="0">
        <references count="1">
          <reference field="1" count="0"/>
        </references>
      </pivotArea>
    </format>
    <format dxfId="742">
      <pivotArea dataOnly="0" labelOnly="1" grandRow="1" outline="0" fieldPosition="0"/>
    </format>
    <format dxfId="741">
      <pivotArea dataOnly="0" labelOnly="1" fieldPosition="0">
        <references count="1">
          <reference field="0" count="0"/>
        </references>
      </pivotArea>
    </format>
    <format dxfId="74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94FEC-6027-41F6-B370-5B03B63CBE6E}" name="PivotTable11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Month" colHeaderCaption="Year">
  <location ref="A80:G95" firstHeaderRow="1" firstDataRow="3" firstDataCol="1" rowPageCount="1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6">
    <i>
      <x v="4"/>
      <x/>
    </i>
    <i r="1" i="1">
      <x v="1"/>
    </i>
    <i>
      <x v="5"/>
      <x/>
    </i>
    <i r="1" i="1">
      <x v="1"/>
    </i>
    <i>
      <x v="6"/>
      <x/>
    </i>
    <i r="1" i="1">
      <x v="1"/>
    </i>
  </colItems>
  <pageFields count="1">
    <pageField fld="12" item="10" hier="-1"/>
  </pageFields>
  <dataFields count="2">
    <dataField name="Revenue " fld="18" baseField="0" baseItem="0" numFmtId="164"/>
    <dataField name="YoY %" fld="18" showDataAs="percentDiff" baseField="0" baseItem="1048828" numFmtId="10"/>
  </dataFields>
  <formats count="19">
    <format dxfId="777">
      <pivotArea type="all" dataOnly="0" outline="0" fieldPosition="0"/>
    </format>
    <format dxfId="776">
      <pivotArea outline="0" collapsedLevelsAreSubtotals="1" fieldPosition="0"/>
    </format>
    <format dxfId="775">
      <pivotArea type="origin" dataOnly="0" labelOnly="1" outline="0" fieldPosition="0"/>
    </format>
    <format dxfId="774">
      <pivotArea field="0" type="button" dataOnly="0" labelOnly="1" outline="0" axis="axisCol" fieldPosition="0"/>
    </format>
    <format dxfId="773">
      <pivotArea type="topRight" dataOnly="0" labelOnly="1" outline="0" fieldPosition="0"/>
    </format>
    <format dxfId="772">
      <pivotArea field="1" type="button" dataOnly="0" labelOnly="1" outline="0" axis="axisRow" fieldPosition="0"/>
    </format>
    <format dxfId="771">
      <pivotArea dataOnly="0" labelOnly="1" fieldPosition="0">
        <references count="1">
          <reference field="1" count="0"/>
        </references>
      </pivotArea>
    </format>
    <format dxfId="770">
      <pivotArea dataOnly="0" labelOnly="1" grandRow="1" outline="0" fieldPosition="0"/>
    </format>
    <format dxfId="769">
      <pivotArea dataOnly="0" labelOnly="1" fieldPosition="0">
        <references count="1">
          <reference field="0" count="0"/>
        </references>
      </pivotArea>
    </format>
    <format dxfId="768">
      <pivotArea type="all" dataOnly="0" outline="0" fieldPosition="0"/>
    </format>
    <format dxfId="767">
      <pivotArea outline="0" collapsedLevelsAreSubtotals="1" fieldPosition="0"/>
    </format>
    <format dxfId="766">
      <pivotArea type="origin" dataOnly="0" labelOnly="1" outline="0" fieldPosition="0"/>
    </format>
    <format dxfId="765">
      <pivotArea field="0" type="button" dataOnly="0" labelOnly="1" outline="0" axis="axisCol" fieldPosition="0"/>
    </format>
    <format dxfId="764">
      <pivotArea type="topRight" dataOnly="0" labelOnly="1" outline="0" fieldPosition="0"/>
    </format>
    <format dxfId="763">
      <pivotArea field="1" type="button" dataOnly="0" labelOnly="1" outline="0" axis="axisRow" fieldPosition="0"/>
    </format>
    <format dxfId="762">
      <pivotArea dataOnly="0" labelOnly="1" fieldPosition="0">
        <references count="1">
          <reference field="1" count="0"/>
        </references>
      </pivotArea>
    </format>
    <format dxfId="761">
      <pivotArea dataOnly="0" labelOnly="1" grandRow="1" outline="0" fieldPosition="0"/>
    </format>
    <format dxfId="760">
      <pivotArea dataOnly="0" labelOnly="1" fieldPosition="0">
        <references count="1">
          <reference field="0" count="0"/>
        </references>
      </pivotArea>
    </format>
    <format dxfId="75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6B39D-611C-4BAF-84DA-0EC821BA80CB}" name="PivotTable10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Month" colHeaderCaption="Year">
  <location ref="A61:K76" firstHeaderRow="1" firstDataRow="3" firstDataCol="1" rowPageCount="1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10"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</colItems>
  <pageFields count="1">
    <pageField fld="12" item="14" hier="-1"/>
  </pageFields>
  <dataFields count="2">
    <dataField name="Revenue " fld="18" baseField="0" baseItem="0" numFmtId="164"/>
    <dataField name="YoY %" fld="18" showDataAs="percentDiff" baseField="0" baseItem="1048828" numFmtId="10"/>
  </dataFields>
  <formats count="19">
    <format dxfId="796">
      <pivotArea type="all" dataOnly="0" outline="0" fieldPosition="0"/>
    </format>
    <format dxfId="795">
      <pivotArea outline="0" collapsedLevelsAreSubtotals="1" fieldPosition="0"/>
    </format>
    <format dxfId="794">
      <pivotArea type="origin" dataOnly="0" labelOnly="1" outline="0" fieldPosition="0"/>
    </format>
    <format dxfId="793">
      <pivotArea field="0" type="button" dataOnly="0" labelOnly="1" outline="0" axis="axisCol" fieldPosition="0"/>
    </format>
    <format dxfId="792">
      <pivotArea type="topRight" dataOnly="0" labelOnly="1" outline="0" fieldPosition="0"/>
    </format>
    <format dxfId="791">
      <pivotArea field="1" type="button" dataOnly="0" labelOnly="1" outline="0" axis="axisRow" fieldPosition="0"/>
    </format>
    <format dxfId="790">
      <pivotArea dataOnly="0" labelOnly="1" fieldPosition="0">
        <references count="1">
          <reference field="1" count="0"/>
        </references>
      </pivotArea>
    </format>
    <format dxfId="789">
      <pivotArea dataOnly="0" labelOnly="1" grandRow="1" outline="0" fieldPosition="0"/>
    </format>
    <format dxfId="788">
      <pivotArea dataOnly="0" labelOnly="1" fieldPosition="0">
        <references count="1">
          <reference field="0" count="0"/>
        </references>
      </pivotArea>
    </format>
    <format dxfId="787">
      <pivotArea type="all" dataOnly="0" outline="0" fieldPosition="0"/>
    </format>
    <format dxfId="786">
      <pivotArea outline="0" collapsedLevelsAreSubtotals="1" fieldPosition="0"/>
    </format>
    <format dxfId="785">
      <pivotArea type="origin" dataOnly="0" labelOnly="1" outline="0" fieldPosition="0"/>
    </format>
    <format dxfId="784">
      <pivotArea field="0" type="button" dataOnly="0" labelOnly="1" outline="0" axis="axisCol" fieldPosition="0"/>
    </format>
    <format dxfId="783">
      <pivotArea type="topRight" dataOnly="0" labelOnly="1" outline="0" fieldPosition="0"/>
    </format>
    <format dxfId="782">
      <pivotArea field="1" type="button" dataOnly="0" labelOnly="1" outline="0" axis="axisRow" fieldPosition="0"/>
    </format>
    <format dxfId="781">
      <pivotArea dataOnly="0" labelOnly="1" fieldPosition="0">
        <references count="1">
          <reference field="1" count="0"/>
        </references>
      </pivotArea>
    </format>
    <format dxfId="780">
      <pivotArea dataOnly="0" labelOnly="1" grandRow="1" outline="0" fieldPosition="0"/>
    </format>
    <format dxfId="779">
      <pivotArea dataOnly="0" labelOnly="1" fieldPosition="0">
        <references count="1">
          <reference field="0" count="0"/>
        </references>
      </pivotArea>
    </format>
    <format dxfId="77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B21B4-6B30-4008-82A2-EC88AC60E728}" name="PivotTable9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Month" colHeaderCaption="Year">
  <location ref="A42:Q57" firstHeaderRow="1" firstDataRow="3" firstDataCol="1" rowPageCount="1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</colItems>
  <pageFields count="1">
    <pageField fld="12" item="13" hier="-1"/>
  </pageFields>
  <dataFields count="2">
    <dataField name="Revenue " fld="18" baseField="0" baseItem="0" numFmtId="164"/>
    <dataField name="YoY %" fld="18" showDataAs="percentDiff" baseField="0" baseItem="1048828" numFmtId="10"/>
  </dataFields>
  <formats count="19">
    <format dxfId="815">
      <pivotArea type="all" dataOnly="0" outline="0" fieldPosition="0"/>
    </format>
    <format dxfId="814">
      <pivotArea outline="0" collapsedLevelsAreSubtotals="1" fieldPosition="0"/>
    </format>
    <format dxfId="813">
      <pivotArea type="origin" dataOnly="0" labelOnly="1" outline="0" fieldPosition="0"/>
    </format>
    <format dxfId="812">
      <pivotArea field="0" type="button" dataOnly="0" labelOnly="1" outline="0" axis="axisCol" fieldPosition="0"/>
    </format>
    <format dxfId="811">
      <pivotArea type="topRight" dataOnly="0" labelOnly="1" outline="0" fieldPosition="0"/>
    </format>
    <format dxfId="810">
      <pivotArea field="1" type="button" dataOnly="0" labelOnly="1" outline="0" axis="axisRow" fieldPosition="0"/>
    </format>
    <format dxfId="809">
      <pivotArea dataOnly="0" labelOnly="1" fieldPosition="0">
        <references count="1">
          <reference field="1" count="0"/>
        </references>
      </pivotArea>
    </format>
    <format dxfId="808">
      <pivotArea dataOnly="0" labelOnly="1" grandRow="1" outline="0" fieldPosition="0"/>
    </format>
    <format dxfId="807">
      <pivotArea dataOnly="0" labelOnly="1" fieldPosition="0">
        <references count="1">
          <reference field="0" count="0"/>
        </references>
      </pivotArea>
    </format>
    <format dxfId="806">
      <pivotArea type="all" dataOnly="0" outline="0" fieldPosition="0"/>
    </format>
    <format dxfId="805">
      <pivotArea outline="0" collapsedLevelsAreSubtotals="1" fieldPosition="0"/>
    </format>
    <format dxfId="804">
      <pivotArea type="origin" dataOnly="0" labelOnly="1" outline="0" fieldPosition="0"/>
    </format>
    <format dxfId="803">
      <pivotArea field="0" type="button" dataOnly="0" labelOnly="1" outline="0" axis="axisCol" fieldPosition="0"/>
    </format>
    <format dxfId="802">
      <pivotArea type="topRight" dataOnly="0" labelOnly="1" outline="0" fieldPosition="0"/>
    </format>
    <format dxfId="801">
      <pivotArea field="1" type="button" dataOnly="0" labelOnly="1" outline="0" axis="axisRow" fieldPosition="0"/>
    </format>
    <format dxfId="800">
      <pivotArea dataOnly="0" labelOnly="1" fieldPosition="0">
        <references count="1">
          <reference field="1" count="0"/>
        </references>
      </pivotArea>
    </format>
    <format dxfId="799">
      <pivotArea dataOnly="0" labelOnly="1" grandRow="1" outline="0" fieldPosition="0"/>
    </format>
    <format dxfId="798">
      <pivotArea dataOnly="0" labelOnly="1" fieldPosition="0">
        <references count="1">
          <reference field="0" count="0"/>
        </references>
      </pivotArea>
    </format>
    <format dxfId="797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BFABA-99F5-4222-8252-4B6CB0A453FD}" name="PivotTable2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Vendor" colHeaderCaption="Year">
  <location ref="A3:I16" firstHeaderRow="1" firstDataRow="2" firstDataCol="1" rowPageCount="1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axis="axisRow" showAll="0" sortType="ascending">
      <items count="13">
        <item m="1" x="11"/>
        <item x="5"/>
        <item x="10"/>
        <item x="4"/>
        <item x="6"/>
        <item x="7"/>
        <item x="2"/>
        <item x="8"/>
        <item x="1"/>
        <item x="0"/>
        <item x="3"/>
        <item x="9"/>
        <item t="default"/>
      </items>
    </pivotField>
    <pivotField showAll="0"/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numFmtId="164" showAll="0"/>
    <pivotField axis="axisPage" showAll="0">
      <items count="3">
        <item x="1"/>
        <item x="0"/>
        <item t="default"/>
      </items>
    </pivotField>
    <pivotField showAll="0"/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34" item="1" hier="-1"/>
  </pageFields>
  <dataFields count="1">
    <dataField name="Revenue 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998FC-7A3B-4D8D-8A3B-91F2F399D0C9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endor" colHeaderCaption="Store">
  <location ref="A3:Q19" firstHeaderRow="1" firstDataRow="3" firstDataCol="1"/>
  <pivotFields count="12">
    <pivotField showAll="0"/>
    <pivotField showAll="0"/>
    <pivotField numFmtId="14" showAll="0"/>
    <pivotField showAll="0"/>
    <pivotField axis="axisRow" showAll="0">
      <items count="15">
        <item sd="0" m="1" x="13"/>
        <item sd="0" x="7"/>
        <item sd="0" x="12"/>
        <item sd="0" x="2"/>
        <item sd="0" x="3"/>
        <item sd="0" x="10"/>
        <item sd="0" x="4"/>
        <item sd="0" x="5"/>
        <item sd="0" x="6"/>
        <item sd="0" x="8"/>
        <item sd="0" x="0"/>
        <item sd="0" x="9"/>
        <item sd="0" x="1"/>
        <item sd="0" x="11"/>
        <item t="default" sd="0"/>
      </items>
    </pivotField>
    <pivotField showAll="0"/>
    <pivotField axis="axisRow" showAll="0">
      <items count="38">
        <item m="1" x="18"/>
        <item x="0"/>
        <item m="1" x="21"/>
        <item m="1" x="23"/>
        <item m="1" x="25"/>
        <item m="1" x="27"/>
        <item x="1"/>
        <item x="2"/>
        <item m="1" x="31"/>
        <item m="1" x="32"/>
        <item m="1" x="33"/>
        <item m="1" x="35"/>
        <item x="6"/>
        <item x="8"/>
        <item x="10"/>
        <item x="12"/>
        <item m="1" x="36"/>
        <item m="1" x="15"/>
        <item m="1" x="16"/>
        <item m="1" x="17"/>
        <item m="1" x="19"/>
        <item m="1" x="20"/>
        <item m="1" x="22"/>
        <item m="1" x="24"/>
        <item m="1" x="26"/>
        <item m="1" x="28"/>
        <item m="1" x="29"/>
        <item m="1" x="30"/>
        <item x="3"/>
        <item x="4"/>
        <item m="1" x="34"/>
        <item x="5"/>
        <item x="7"/>
        <item x="9"/>
        <item x="11"/>
        <item x="13"/>
        <item m="1" x="14"/>
        <item t="default"/>
      </items>
    </pivotField>
    <pivotField showAll="0"/>
    <pivotField numFmtId="164" showAll="0"/>
    <pivotField axis="axisCol" showAll="0">
      <items count="10">
        <item x="4"/>
        <item x="6"/>
        <item x="5"/>
        <item x="1"/>
        <item x="3"/>
        <item m="1" x="7"/>
        <item m="1" x="8"/>
        <item x="0"/>
        <item x="2"/>
        <item t="default"/>
      </items>
    </pivotField>
    <pivotField dataField="1" showAll="0"/>
    <pivotField dataField="1" numFmtId="164" showAll="0"/>
  </pivotFields>
  <rowFields count="2">
    <field x="4"/>
    <field x="6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9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7"/>
      <x/>
    </i>
    <i r="1" i="1">
      <x v="1"/>
    </i>
    <i>
      <x v="8"/>
      <x/>
    </i>
    <i r="1" i="1">
      <x v="1"/>
    </i>
    <i t="grand">
      <x/>
    </i>
    <i t="grand" i="1">
      <x/>
    </i>
  </colItems>
  <dataFields count="2">
    <dataField name="Qty" fld="10" baseField="0" baseItem="0"/>
    <dataField name="Landed Cost " fld="11" baseField="0" baseItem="0" numFmtId="164"/>
  </dataFields>
  <formats count="46">
    <format dxfId="701">
      <pivotArea dataOnly="0" outline="0" fieldPosition="0">
        <references count="1">
          <reference field="9" count="1">
            <x v="0"/>
          </reference>
        </references>
      </pivotArea>
    </format>
    <format dxfId="700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0"/>
          </reference>
        </references>
      </pivotArea>
    </format>
    <format dxfId="699">
      <pivotArea dataOnly="0" outline="0" fieldPosition="0">
        <references count="1">
          <reference field="9" count="1">
            <x v="1"/>
          </reference>
        </references>
      </pivotArea>
    </format>
    <format dxfId="698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1"/>
          </reference>
        </references>
      </pivotArea>
    </format>
    <format dxfId="697">
      <pivotArea dataOnly="0" outline="0" fieldPosition="0">
        <references count="1">
          <reference field="9" count="1">
            <x v="2"/>
          </reference>
        </references>
      </pivotArea>
    </format>
    <format dxfId="696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  <format dxfId="695">
      <pivotArea dataOnly="0" outline="0" fieldPosition="0">
        <references count="2">
          <reference field="4294967294" count="0" defaultSubtotal="1" sumSubtotal="1" countASubtotal="1" avgSubtotal="1" maxSubtotal="1" minSubtotal="1" productSubtotal="1" countSubtotal="1" stdDevSubtotal="1" stdDevPSubtotal="1" varSubtotal="1" varPSubtotal="1"/>
          <reference field="9" count="1">
            <x v="3"/>
          </reference>
        </references>
      </pivotArea>
    </format>
    <format dxfId="694">
      <pivotArea dataOnly="0" outline="0" fieldPosition="0">
        <references count="1">
          <reference field="9" count="1">
            <x v="4"/>
          </reference>
        </references>
      </pivotArea>
    </format>
    <format dxfId="693">
      <pivotArea dataOnly="0" outline="0" fieldPosition="0">
        <references count="1">
          <reference field="9" count="1">
            <x v="4"/>
          </reference>
        </references>
      </pivotArea>
    </format>
    <format dxfId="692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4"/>
          </reference>
        </references>
      </pivotArea>
    </format>
    <format dxfId="691">
      <pivotArea dataOnly="0" outline="0" fieldPosition="0">
        <references count="1">
          <reference field="9" count="1">
            <x v="5"/>
          </reference>
        </references>
      </pivotArea>
    </format>
    <format dxfId="690">
      <pivotArea dataOnly="0" outline="0" fieldPosition="0">
        <references count="1">
          <reference field="9" count="1">
            <x v="5"/>
          </reference>
        </references>
      </pivotArea>
    </format>
    <format dxfId="68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5"/>
          </reference>
        </references>
      </pivotArea>
    </format>
    <format dxfId="688">
      <pivotArea dataOnly="0" outline="0" fieldPosition="0">
        <references count="1">
          <reference field="9" count="1">
            <x v="6"/>
          </reference>
        </references>
      </pivotArea>
    </format>
    <format dxfId="687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6"/>
          </reference>
        </references>
      </pivotArea>
    </format>
    <format dxfId="686">
      <pivotArea dataOnly="0" outline="0" fieldPosition="0">
        <references count="1">
          <reference field="9" count="1">
            <x v="7"/>
          </reference>
        </references>
      </pivotArea>
    </format>
    <format dxfId="685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7"/>
          </reference>
        </references>
      </pivotArea>
    </format>
    <format dxfId="684">
      <pivotArea dataOnly="0" outline="0" fieldPosition="0">
        <references count="1">
          <reference field="9" count="1">
            <x v="8"/>
          </reference>
        </references>
      </pivotArea>
    </format>
    <format dxfId="683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8"/>
          </reference>
        </references>
      </pivotArea>
    </format>
    <format dxfId="682">
      <pivotArea field="9" dataOnly="0" grandCol="1" outline="0" axis="axisCol" fieldPosition="0">
        <references count="1">
          <reference field="4294967294" count="2" selected="0">
            <x v="0"/>
            <x v="1"/>
          </reference>
        </references>
      </pivotArea>
    </format>
    <format dxfId="681">
      <pivotArea outline="0" collapsedLevelsAreSubtotals="1" fieldPosition="0"/>
    </format>
    <format dxfId="680">
      <pivotArea dataOnly="0" labelOnly="1" fieldPosition="0">
        <references count="1">
          <reference field="9" count="0"/>
        </references>
      </pivotArea>
    </format>
    <format dxfId="679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8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77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0"/>
          </reference>
        </references>
      </pivotArea>
    </format>
    <format dxfId="676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1"/>
          </reference>
        </references>
      </pivotArea>
    </format>
    <format dxfId="675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  <format dxfId="674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3"/>
          </reference>
        </references>
      </pivotArea>
    </format>
    <format dxfId="673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4"/>
          </reference>
        </references>
      </pivotArea>
    </format>
    <format dxfId="672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5"/>
          </reference>
        </references>
      </pivotArea>
    </format>
    <format dxfId="671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6"/>
          </reference>
        </references>
      </pivotArea>
    </format>
    <format dxfId="670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7"/>
          </reference>
        </references>
      </pivotArea>
    </format>
    <format dxfId="66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8"/>
          </reference>
        </references>
      </pivotArea>
    </format>
    <format dxfId="668">
      <pivotArea outline="0" collapsedLevelsAreSubtotals="1" fieldPosition="0"/>
    </format>
    <format dxfId="667">
      <pivotArea dataOnly="0" labelOnly="1" fieldPosition="0">
        <references count="1">
          <reference field="9" count="0"/>
        </references>
      </pivotArea>
    </format>
    <format dxfId="666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65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4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0"/>
          </reference>
        </references>
      </pivotArea>
    </format>
    <format dxfId="663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1"/>
          </reference>
        </references>
      </pivotArea>
    </format>
    <format dxfId="662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  <format dxfId="661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3"/>
          </reference>
        </references>
      </pivotArea>
    </format>
    <format dxfId="660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4"/>
          </reference>
        </references>
      </pivotArea>
    </format>
    <format dxfId="65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5"/>
          </reference>
        </references>
      </pivotArea>
    </format>
    <format dxfId="658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6"/>
          </reference>
        </references>
      </pivotArea>
    </format>
    <format dxfId="657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7"/>
          </reference>
        </references>
      </pivotArea>
    </format>
    <format dxfId="656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6EFEB-5AB4-4543-92E0-AE1010CC5562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ason" colHeaderCaption="Store">
  <location ref="A3:Q20" firstHeaderRow="1" firstDataRow="3" firstDataCol="1"/>
  <pivotFields count="12">
    <pivotField showAll="0"/>
    <pivotField showAll="0"/>
    <pivotField numFmtId="14" showAll="0"/>
    <pivotField showAll="0"/>
    <pivotField axis="axisRow" showAll="0">
      <items count="15">
        <item sd="0" m="1" x="13"/>
        <item sd="0" x="7"/>
        <item sd="0" x="12"/>
        <item sd="0" x="2"/>
        <item sd="0" x="3"/>
        <item sd="0" x="10"/>
        <item sd="0" x="4"/>
        <item sd="0" x="5"/>
        <item sd="0" x="6"/>
        <item sd="0" x="8"/>
        <item sd="0" x="0"/>
        <item sd="0" x="9"/>
        <item sd="0" x="1"/>
        <item sd="0" x="11"/>
        <item t="default" sd="0"/>
      </items>
    </pivotField>
    <pivotField showAll="0"/>
    <pivotField axis="axisRow" showAll="0">
      <items count="38">
        <item sd="0" m="1" x="18"/>
        <item sd="0" x="0"/>
        <item sd="0" m="1" x="21"/>
        <item sd="0" m="1" x="23"/>
        <item sd="0" m="1" x="25"/>
        <item sd="0" m="1" x="27"/>
        <item sd="0" x="1"/>
        <item sd="0" x="2"/>
        <item sd="0" m="1" x="31"/>
        <item sd="0" m="1" x="32"/>
        <item sd="0" m="1" x="33"/>
        <item sd="0" m="1" x="35"/>
        <item sd="0" x="6"/>
        <item sd="0" x="8"/>
        <item sd="0" x="10"/>
        <item sd="0" x="12"/>
        <item sd="0" m="1" x="36"/>
        <item sd="0" m="1" x="15"/>
        <item sd="0" m="1" x="16"/>
        <item sd="0" m="1" x="17"/>
        <item sd="0" m="1" x="19"/>
        <item sd="0" m="1" x="20"/>
        <item sd="0" m="1" x="22"/>
        <item sd="0" m="1" x="24"/>
        <item sd="0" m="1" x="26"/>
        <item sd="0" m="1" x="28"/>
        <item sd="0" m="1" x="29"/>
        <item sd="0" m="1" x="30"/>
        <item sd="0" x="3"/>
        <item sd="0" x="4"/>
        <item sd="0" m="1" x="34"/>
        <item sd="0" x="5"/>
        <item sd="0" x="7"/>
        <item sd="0" x="9"/>
        <item sd="0" x="11"/>
        <item sd="0" x="13"/>
        <item m="1" x="14"/>
        <item t="default" sd="0"/>
      </items>
    </pivotField>
    <pivotField showAll="0"/>
    <pivotField numFmtId="164" showAll="0"/>
    <pivotField axis="axisCol" showAll="0">
      <items count="10">
        <item x="4"/>
        <item x="6"/>
        <item x="5"/>
        <item x="1"/>
        <item x="3"/>
        <item m="1" x="7"/>
        <item m="1" x="8"/>
        <item x="0"/>
        <item x="2"/>
        <item t="default"/>
      </items>
    </pivotField>
    <pivotField dataField="1" showAll="0"/>
    <pivotField dataField="1" numFmtId="164" showAll="0"/>
  </pivotFields>
  <rowFields count="2">
    <field x="6"/>
    <field x="4"/>
  </rowFields>
  <rowItems count="15">
    <i>
      <x v="1"/>
    </i>
    <i>
      <x v="6"/>
    </i>
    <i>
      <x v="7"/>
    </i>
    <i>
      <x v="12"/>
    </i>
    <i>
      <x v="13"/>
    </i>
    <i>
      <x v="14"/>
    </i>
    <i>
      <x v="15"/>
    </i>
    <i>
      <x v="28"/>
    </i>
    <i>
      <x v="29"/>
    </i>
    <i>
      <x v="31"/>
    </i>
    <i>
      <x v="32"/>
    </i>
    <i>
      <x v="33"/>
    </i>
    <i>
      <x v="34"/>
    </i>
    <i>
      <x v="35"/>
    </i>
    <i t="grand">
      <x/>
    </i>
  </rowItems>
  <colFields count="2">
    <field x="9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7"/>
      <x/>
    </i>
    <i r="1" i="1">
      <x v="1"/>
    </i>
    <i>
      <x v="8"/>
      <x/>
    </i>
    <i r="1" i="1">
      <x v="1"/>
    </i>
    <i t="grand">
      <x/>
    </i>
    <i t="grand" i="1">
      <x/>
    </i>
  </colItems>
  <dataFields count="2">
    <dataField name="Qty" fld="10" baseField="0" baseItem="0"/>
    <dataField name="Landed Cost " fld="11" baseField="0" baseItem="0" numFmtId="164"/>
  </dataFields>
  <formats count="22">
    <format dxfId="655">
      <pivotArea dataOnly="0" outline="0" fieldPosition="0">
        <references count="1">
          <reference field="9" count="1">
            <x v="0"/>
          </reference>
        </references>
      </pivotArea>
    </format>
    <format dxfId="654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0"/>
          </reference>
        </references>
      </pivotArea>
    </format>
    <format dxfId="653">
      <pivotArea dataOnly="0" outline="0" fieldPosition="0">
        <references count="1">
          <reference field="9" count="1">
            <x v="1"/>
          </reference>
        </references>
      </pivotArea>
    </format>
    <format dxfId="652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1"/>
          </reference>
        </references>
      </pivotArea>
    </format>
    <format dxfId="651">
      <pivotArea dataOnly="0" outline="0" fieldPosition="0">
        <references count="1">
          <reference field="9" count="1">
            <x v="2"/>
          </reference>
        </references>
      </pivotArea>
    </format>
    <format dxfId="650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  <format dxfId="649">
      <pivotArea dataOnly="0" outline="0" fieldPosition="0">
        <references count="2">
          <reference field="4294967294" count="0" defaultSubtotal="1" sumSubtotal="1" countASubtotal="1" avgSubtotal="1" maxSubtotal="1" minSubtotal="1" productSubtotal="1" countSubtotal="1" stdDevSubtotal="1" stdDevPSubtotal="1" varSubtotal="1" varPSubtotal="1"/>
          <reference field="9" count="1">
            <x v="3"/>
          </reference>
        </references>
      </pivotArea>
    </format>
    <format dxfId="648">
      <pivotArea dataOnly="0" outline="0" fieldPosition="0">
        <references count="1">
          <reference field="9" count="1">
            <x v="4"/>
          </reference>
        </references>
      </pivotArea>
    </format>
    <format dxfId="647">
      <pivotArea dataOnly="0" outline="0" fieldPosition="0">
        <references count="1">
          <reference field="9" count="1">
            <x v="4"/>
          </reference>
        </references>
      </pivotArea>
    </format>
    <format dxfId="646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4"/>
          </reference>
        </references>
      </pivotArea>
    </format>
    <format dxfId="645">
      <pivotArea dataOnly="0" outline="0" fieldPosition="0">
        <references count="1">
          <reference field="9" count="1">
            <x v="5"/>
          </reference>
        </references>
      </pivotArea>
    </format>
    <format dxfId="644">
      <pivotArea dataOnly="0" outline="0" fieldPosition="0">
        <references count="1">
          <reference field="9" count="1">
            <x v="5"/>
          </reference>
        </references>
      </pivotArea>
    </format>
    <format dxfId="643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5"/>
          </reference>
        </references>
      </pivotArea>
    </format>
    <format dxfId="642">
      <pivotArea dataOnly="0" outline="0" fieldPosition="0">
        <references count="1">
          <reference field="9" count="1">
            <x v="6"/>
          </reference>
        </references>
      </pivotArea>
    </format>
    <format dxfId="641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6"/>
          </reference>
        </references>
      </pivotArea>
    </format>
    <format dxfId="640">
      <pivotArea dataOnly="0" outline="0" fieldPosition="0">
        <references count="1">
          <reference field="9" count="1">
            <x v="7"/>
          </reference>
        </references>
      </pivotArea>
    </format>
    <format dxfId="63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7"/>
          </reference>
        </references>
      </pivotArea>
    </format>
    <format dxfId="638">
      <pivotArea dataOnly="0" outline="0" fieldPosition="0">
        <references count="1">
          <reference field="9" count="1">
            <x v="8"/>
          </reference>
        </references>
      </pivotArea>
    </format>
    <format dxfId="637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8"/>
          </reference>
        </references>
      </pivotArea>
    </format>
    <format dxfId="636">
      <pivotArea field="9" dataOnly="0" grandCol="1" outline="0" axis="axisCol" fieldPosition="0">
        <references count="1">
          <reference field="4294967294" count="2" selected="0">
            <x v="0"/>
            <x v="1"/>
          </reference>
        </references>
      </pivotArea>
    </format>
    <format dxfId="635">
      <pivotArea outline="0" collapsedLevelsAreSubtotals="1" fieldPosition="0"/>
    </format>
    <format dxfId="6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CD80-5977-47D5-9F00-F5CC7F0D460B}" name="PivotTable13" cacheId="2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Associate" colHeaderCaption="Month">
  <location ref="A26:M38" firstHeaderRow="1" firstDataRow="2" firstDataCol="1" rowPageCount="3" colPageCount="1"/>
  <pivotFields count="36"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axis="axisRow" showAll="0">
      <items count="200">
        <item m="1" x="120"/>
        <item m="1" x="153"/>
        <item m="1" x="107"/>
        <item m="1" x="90"/>
        <item m="1" x="138"/>
        <item m="1" x="114"/>
        <item m="1" x="113"/>
        <item m="1" x="76"/>
        <item x="30"/>
        <item m="1" x="115"/>
        <item m="1" x="129"/>
        <item m="1" x="91"/>
        <item m="1" x="163"/>
        <item m="1" x="176"/>
        <item x="49"/>
        <item m="1" x="83"/>
        <item x="2"/>
        <item x="3"/>
        <item m="1" x="151"/>
        <item m="1" x="160"/>
        <item m="1" x="179"/>
        <item x="43"/>
        <item x="7"/>
        <item m="1" x="159"/>
        <item m="1" x="141"/>
        <item m="1" x="181"/>
        <item m="1" x="133"/>
        <item m="1" x="183"/>
        <item m="1" x="96"/>
        <item x="40"/>
        <item x="21"/>
        <item m="1" x="130"/>
        <item m="1" x="103"/>
        <item m="1" x="135"/>
        <item x="31"/>
        <item x="8"/>
        <item m="1" x="86"/>
        <item x="39"/>
        <item m="1" x="171"/>
        <item m="1" x="172"/>
        <item x="41"/>
        <item x="13"/>
        <item x="73"/>
        <item m="1" x="95"/>
        <item m="1" x="105"/>
        <item x="10"/>
        <item m="1" x="117"/>
        <item m="1" x="111"/>
        <item x="69"/>
        <item x="4"/>
        <item m="1" x="184"/>
        <item x="11"/>
        <item x="45"/>
        <item x="57"/>
        <item m="1" x="79"/>
        <item x="14"/>
        <item m="1" x="169"/>
        <item m="1" x="155"/>
        <item m="1" x="190"/>
        <item x="22"/>
        <item m="1" x="122"/>
        <item m="1" x="149"/>
        <item m="1" x="82"/>
        <item m="1" x="108"/>
        <item x="26"/>
        <item m="1" x="144"/>
        <item m="1" x="158"/>
        <item m="1" x="89"/>
        <item x="9"/>
        <item x="19"/>
        <item x="48"/>
        <item m="1" x="164"/>
        <item m="1" x="139"/>
        <item m="1" x="140"/>
        <item m="1" x="85"/>
        <item x="71"/>
        <item m="1" x="177"/>
        <item m="1" x="97"/>
        <item x="50"/>
        <item x="51"/>
        <item m="1" x="157"/>
        <item m="1" x="165"/>
        <item x="15"/>
        <item m="1" x="156"/>
        <item x="42"/>
        <item x="5"/>
        <item m="1" x="186"/>
        <item m="1" x="150"/>
        <item x="20"/>
        <item x="60"/>
        <item x="37"/>
        <item m="1" x="161"/>
        <item x="55"/>
        <item m="1" x="175"/>
        <item m="1" x="174"/>
        <item m="1" x="170"/>
        <item m="1" x="168"/>
        <item m="1" x="180"/>
        <item x="6"/>
        <item x="61"/>
        <item x="18"/>
        <item x="59"/>
        <item x="74"/>
        <item m="1" x="78"/>
        <item x="62"/>
        <item m="1" x="93"/>
        <item x="34"/>
        <item x="67"/>
        <item m="1" x="81"/>
        <item m="1" x="116"/>
        <item m="1" x="127"/>
        <item m="1" x="119"/>
        <item x="47"/>
        <item x="65"/>
        <item x="44"/>
        <item m="1" x="131"/>
        <item x="27"/>
        <item m="1" x="162"/>
        <item x="38"/>
        <item m="1" x="146"/>
        <item m="1" x="106"/>
        <item m="1" x="132"/>
        <item x="72"/>
        <item x="24"/>
        <item m="1" x="92"/>
        <item m="1" x="147"/>
        <item x="28"/>
        <item m="1" x="173"/>
        <item m="1" x="187"/>
        <item m="1" x="94"/>
        <item m="1" x="191"/>
        <item m="1" x="125"/>
        <item m="1" x="178"/>
        <item m="1" x="166"/>
        <item x="35"/>
        <item m="1" x="112"/>
        <item x="46"/>
        <item m="1" x="110"/>
        <item m="1" x="198"/>
        <item m="1" x="104"/>
        <item x="68"/>
        <item x="12"/>
        <item x="58"/>
        <item m="1" x="80"/>
        <item x="1"/>
        <item x="0"/>
        <item x="29"/>
        <item x="25"/>
        <item m="1" x="152"/>
        <item m="1" x="109"/>
        <item m="1" x="167"/>
        <item m="1" x="102"/>
        <item m="1" x="118"/>
        <item x="54"/>
        <item m="1" x="154"/>
        <item m="1" x="101"/>
        <item x="16"/>
        <item x="53"/>
        <item x="52"/>
        <item x="64"/>
        <item x="32"/>
        <item m="1" x="142"/>
        <item m="1" x="143"/>
        <item m="1" x="88"/>
        <item x="36"/>
        <item m="1" x="137"/>
        <item m="1" x="182"/>
        <item m="1" x="99"/>
        <item x="66"/>
        <item m="1" x="185"/>
        <item m="1" x="189"/>
        <item x="17"/>
        <item m="1" x="124"/>
        <item m="1" x="121"/>
        <item m="1" x="136"/>
        <item m="1" x="77"/>
        <item m="1" x="128"/>
        <item x="56"/>
        <item m="1" x="126"/>
        <item x="33"/>
        <item x="70"/>
        <item m="1" x="123"/>
        <item m="1" x="98"/>
        <item x="63"/>
        <item m="1" x="148"/>
        <item m="1" x="87"/>
        <item m="1" x="84"/>
        <item m="1" x="100"/>
        <item m="1" x="134"/>
        <item m="1" x="188"/>
        <item x="23"/>
        <item m="1" x="75"/>
        <item m="1" x="145"/>
        <item m="1" x="192"/>
        <item m="1" x="193"/>
        <item m="1" x="194"/>
        <item m="1" x="195"/>
        <item m="1" x="196"/>
        <item m="1" x="197"/>
        <item t="default"/>
      </items>
    </pivotField>
    <pivotField showAll="0"/>
    <pivotField numFmtId="164" showAll="0"/>
    <pivotField showAll="0"/>
    <pivotField axis="axisPage" showAll="0">
      <items count="5">
        <item x="1"/>
        <item x="2"/>
        <item m="1" x="3"/>
        <item x="0"/>
        <item t="default"/>
      </items>
    </pivotField>
  </pivotFields>
  <rowFields count="1">
    <field x="31"/>
  </rowFields>
  <rowItems count="11">
    <i>
      <x v="17"/>
    </i>
    <i>
      <x v="45"/>
    </i>
    <i>
      <x v="55"/>
    </i>
    <i>
      <x v="92"/>
    </i>
    <i>
      <x v="99"/>
    </i>
    <i>
      <x v="102"/>
    </i>
    <i>
      <x v="104"/>
    </i>
    <i>
      <x v="122"/>
    </i>
    <i>
      <x v="140"/>
    </i>
    <i>
      <x v="159"/>
    </i>
    <i>
      <x v="177"/>
    </i>
  </rowItems>
  <colFields count="1">
    <field x="1"/>
  </colFields>
  <col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35" item="0" hier="-1"/>
    <pageField fld="12" item="9" hier="-1"/>
    <pageField fld="0" item="6" hier="-1"/>
  </pageFields>
  <dataFields count="1">
    <dataField name="Revenue " fld="18" baseField="0" baseItem="0" numFmtId="164"/>
  </dataFields>
  <formats count="19">
    <format dxfId="610">
      <pivotArea type="all" dataOnly="0" outline="0" fieldPosition="0"/>
    </format>
    <format dxfId="609">
      <pivotArea outline="0" collapsedLevelsAreSubtotals="1" fieldPosition="0"/>
    </format>
    <format dxfId="608">
      <pivotArea type="origin" dataOnly="0" labelOnly="1" outline="0" fieldPosition="0"/>
    </format>
    <format dxfId="607">
      <pivotArea field="0" type="button" dataOnly="0" labelOnly="1" outline="0" axis="axisPage" fieldPosition="2"/>
    </format>
    <format dxfId="606">
      <pivotArea type="topRight" dataOnly="0" labelOnly="1" outline="0" fieldPosition="0"/>
    </format>
    <format dxfId="605">
      <pivotArea field="1" type="button" dataOnly="0" labelOnly="1" outline="0" axis="axisCol" fieldPosition="0"/>
    </format>
    <format dxfId="604">
      <pivotArea dataOnly="0" labelOnly="1" grandRow="1" outline="0" fieldPosition="0"/>
    </format>
    <format dxfId="603">
      <pivotArea type="all" dataOnly="0" outline="0" fieldPosition="0"/>
    </format>
    <format dxfId="602">
      <pivotArea outline="0" collapsedLevelsAreSubtotals="1" fieldPosition="0"/>
    </format>
    <format dxfId="601">
      <pivotArea field="0" type="button" dataOnly="0" labelOnly="1" outline="0" axis="axisPage" fieldPosition="2"/>
    </format>
    <format dxfId="600">
      <pivotArea type="topRight" dataOnly="0" labelOnly="1" outline="0" fieldPosition="0"/>
    </format>
    <format dxfId="599">
      <pivotArea field="1" type="button" dataOnly="0" labelOnly="1" outline="0" axis="axisCol" fieldPosition="0"/>
    </format>
    <format dxfId="598">
      <pivotArea dataOnly="0" labelOnly="1" fieldPosition="0">
        <references count="1">
          <reference field="31" count="39">
            <x v="8"/>
            <x v="17"/>
            <x v="22"/>
            <x v="25"/>
            <x v="34"/>
            <x v="41"/>
            <x v="43"/>
            <x v="45"/>
            <x v="48"/>
            <x v="55"/>
            <x v="68"/>
            <x v="69"/>
            <x v="77"/>
            <x v="78"/>
            <x v="81"/>
            <x v="85"/>
            <x v="86"/>
            <x v="89"/>
            <x v="92"/>
            <x v="98"/>
            <x v="99"/>
            <x v="100"/>
            <x v="101"/>
            <x v="102"/>
            <x v="104"/>
            <x v="105"/>
            <x v="112"/>
            <x v="122"/>
            <x v="129"/>
            <x v="138"/>
            <x v="139"/>
            <x v="140"/>
            <x v="141"/>
            <x v="144"/>
            <x v="159"/>
            <x v="166"/>
            <x v="177"/>
            <x v="181"/>
            <x v="192"/>
          </reference>
        </references>
      </pivotArea>
    </format>
    <format dxfId="597">
      <pivotArea field="12" type="button" dataOnly="0" labelOnly="1" outline="0" axis="axisPage" fieldPosition="1"/>
    </format>
    <format dxfId="596">
      <pivotArea dataOnly="0" labelOnly="1" fieldPosition="0">
        <references count="1">
          <reference field="31" count="31">
            <x v="17"/>
            <x v="25"/>
            <x v="34"/>
            <x v="41"/>
            <x v="43"/>
            <x v="45"/>
            <x v="48"/>
            <x v="55"/>
            <x v="69"/>
            <x v="77"/>
            <x v="78"/>
            <x v="81"/>
            <x v="85"/>
            <x v="86"/>
            <x v="89"/>
            <x v="92"/>
            <x v="99"/>
            <x v="102"/>
            <x v="104"/>
            <x v="105"/>
            <x v="112"/>
            <x v="122"/>
            <x v="129"/>
            <x v="139"/>
            <x v="140"/>
            <x v="144"/>
            <x v="159"/>
            <x v="166"/>
            <x v="177"/>
            <x v="181"/>
            <x v="192"/>
          </reference>
        </references>
      </pivotArea>
    </format>
    <format dxfId="595">
      <pivotArea type="origin" dataOnly="0" labelOnly="1" outline="0" fieldPosition="0"/>
    </format>
    <format dxfId="594">
      <pivotArea field="31" type="button" dataOnly="0" labelOnly="1" outline="0" axis="axisRow" fieldPosition="0"/>
    </format>
    <format dxfId="593">
      <pivotArea dataOnly="0" labelOnly="1" fieldPosition="0">
        <references count="1">
          <reference field="31" count="13">
            <x v="17"/>
            <x v="45"/>
            <x v="55"/>
            <x v="86"/>
            <x v="92"/>
            <x v="99"/>
            <x v="102"/>
            <x v="104"/>
            <x v="122"/>
            <x v="140"/>
            <x v="144"/>
            <x v="159"/>
            <x v="177"/>
          </reference>
        </references>
      </pivotArea>
    </format>
    <format dxfId="592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F3A73-F0E1-4DDD-BFB6-798C9A439FD0}" name="PivotTable8" cacheId="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ssociate" colHeaderCaption="Year">
  <location ref="A5:Q19" firstHeaderRow="1" firstDataRow="3" firstDataCol="1" rowPageCount="2" colPageCount="1"/>
  <pivotFields count="3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3">
        <item x="0"/>
        <item x="9"/>
        <item x="1"/>
        <item x="2"/>
        <item x="3"/>
        <item x="4"/>
        <item x="10"/>
        <item x="5"/>
        <item x="6"/>
        <item x="7"/>
        <item x="11"/>
        <item x="8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4" showAll="0"/>
    <pivotField showAll="0"/>
    <pivotField showAll="0"/>
    <pivotField showAll="0"/>
    <pivotField axis="axisPage" showAll="0">
      <items count="17">
        <item x="8"/>
        <item m="1" x="12"/>
        <item m="1" x="9"/>
        <item m="1" x="13"/>
        <item m="1" x="11"/>
        <item x="2"/>
        <item x="5"/>
        <item x="3"/>
        <item x="7"/>
        <item x="1"/>
        <item x="6"/>
        <item m="1" x="14"/>
        <item m="1" x="15"/>
        <item x="0"/>
        <item x="4"/>
        <item m="1" x="10"/>
        <item t="default"/>
      </items>
    </pivotField>
    <pivotField showAll="0"/>
    <pivotField numFmtId="49" showAll="0"/>
    <pivotField showAll="0"/>
    <pivotField showAll="0"/>
    <pivotField showAll="0"/>
    <pivotField dataField="1" numFmtId="164" showAll="0"/>
    <pivotField showAll="0"/>
    <pivotField numFmtId="37" showAll="0"/>
    <pivotField numFmtId="37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axis="axisRow" showAll="0">
      <items count="200">
        <item m="1" x="120"/>
        <item m="1" x="153"/>
        <item m="1" x="107"/>
        <item m="1" x="90"/>
        <item m="1" x="138"/>
        <item m="1" x="114"/>
        <item m="1" x="113"/>
        <item m="1" x="76"/>
        <item x="30"/>
        <item m="1" x="115"/>
        <item m="1" x="129"/>
        <item m="1" x="91"/>
        <item m="1" x="163"/>
        <item m="1" x="176"/>
        <item x="49"/>
        <item m="1" x="83"/>
        <item x="2"/>
        <item x="3"/>
        <item m="1" x="151"/>
        <item m="1" x="160"/>
        <item m="1" x="179"/>
        <item x="43"/>
        <item x="7"/>
        <item m="1" x="159"/>
        <item m="1" x="141"/>
        <item m="1" x="181"/>
        <item m="1" x="133"/>
        <item m="1" x="183"/>
        <item m="1" x="96"/>
        <item x="40"/>
        <item x="21"/>
        <item m="1" x="130"/>
        <item m="1" x="103"/>
        <item m="1" x="135"/>
        <item x="31"/>
        <item x="8"/>
        <item m="1" x="86"/>
        <item x="39"/>
        <item m="1" x="171"/>
        <item m="1" x="172"/>
        <item x="41"/>
        <item x="13"/>
        <item x="73"/>
        <item m="1" x="95"/>
        <item m="1" x="105"/>
        <item x="10"/>
        <item m="1" x="117"/>
        <item m="1" x="111"/>
        <item x="69"/>
        <item x="4"/>
        <item m="1" x="184"/>
        <item x="11"/>
        <item x="45"/>
        <item x="57"/>
        <item m="1" x="79"/>
        <item x="14"/>
        <item m="1" x="169"/>
        <item m="1" x="155"/>
        <item m="1" x="190"/>
        <item x="22"/>
        <item m="1" x="122"/>
        <item m="1" x="149"/>
        <item m="1" x="82"/>
        <item m="1" x="108"/>
        <item x="26"/>
        <item m="1" x="144"/>
        <item m="1" x="158"/>
        <item m="1" x="89"/>
        <item x="9"/>
        <item x="19"/>
        <item x="48"/>
        <item m="1" x="164"/>
        <item m="1" x="139"/>
        <item m="1" x="140"/>
        <item m="1" x="85"/>
        <item x="71"/>
        <item m="1" x="177"/>
        <item m="1" x="97"/>
        <item x="50"/>
        <item x="51"/>
        <item m="1" x="157"/>
        <item m="1" x="165"/>
        <item x="15"/>
        <item m="1" x="156"/>
        <item x="42"/>
        <item x="5"/>
        <item m="1" x="186"/>
        <item m="1" x="150"/>
        <item x="20"/>
        <item x="60"/>
        <item x="37"/>
        <item m="1" x="161"/>
        <item x="55"/>
        <item m="1" x="175"/>
        <item m="1" x="174"/>
        <item m="1" x="170"/>
        <item m="1" x="168"/>
        <item m="1" x="180"/>
        <item x="6"/>
        <item x="61"/>
        <item x="18"/>
        <item x="59"/>
        <item x="74"/>
        <item m="1" x="78"/>
        <item x="62"/>
        <item m="1" x="93"/>
        <item x="34"/>
        <item x="67"/>
        <item m="1" x="81"/>
        <item m="1" x="116"/>
        <item m="1" x="127"/>
        <item m="1" x="119"/>
        <item x="47"/>
        <item x="65"/>
        <item x="44"/>
        <item m="1" x="131"/>
        <item x="27"/>
        <item m="1" x="162"/>
        <item x="38"/>
        <item m="1" x="146"/>
        <item m="1" x="106"/>
        <item m="1" x="132"/>
        <item x="72"/>
        <item x="24"/>
        <item m="1" x="92"/>
        <item m="1" x="147"/>
        <item x="28"/>
        <item m="1" x="173"/>
        <item m="1" x="187"/>
        <item m="1" x="94"/>
        <item m="1" x="191"/>
        <item m="1" x="125"/>
        <item m="1" x="178"/>
        <item m="1" x="166"/>
        <item x="35"/>
        <item m="1" x="112"/>
        <item x="46"/>
        <item m="1" x="110"/>
        <item m="1" x="198"/>
        <item m="1" x="104"/>
        <item x="68"/>
        <item x="12"/>
        <item x="58"/>
        <item m="1" x="80"/>
        <item x="1"/>
        <item x="0"/>
        <item x="29"/>
        <item x="25"/>
        <item m="1" x="152"/>
        <item m="1" x="109"/>
        <item m="1" x="167"/>
        <item m="1" x="102"/>
        <item m="1" x="118"/>
        <item x="54"/>
        <item m="1" x="154"/>
        <item m="1" x="101"/>
        <item x="16"/>
        <item x="53"/>
        <item x="52"/>
        <item x="64"/>
        <item x="32"/>
        <item m="1" x="142"/>
        <item m="1" x="143"/>
        <item m="1" x="88"/>
        <item x="36"/>
        <item m="1" x="137"/>
        <item m="1" x="182"/>
        <item m="1" x="99"/>
        <item x="66"/>
        <item m="1" x="185"/>
        <item m="1" x="189"/>
        <item x="17"/>
        <item m="1" x="124"/>
        <item m="1" x="121"/>
        <item m="1" x="136"/>
        <item m="1" x="77"/>
        <item m="1" x="128"/>
        <item x="56"/>
        <item m="1" x="126"/>
        <item x="33"/>
        <item x="70"/>
        <item m="1" x="123"/>
        <item m="1" x="98"/>
        <item x="63"/>
        <item m="1" x="148"/>
        <item m="1" x="87"/>
        <item m="1" x="84"/>
        <item m="1" x="100"/>
        <item m="1" x="134"/>
        <item m="1" x="188"/>
        <item x="23"/>
        <item m="1" x="75"/>
        <item m="1" x="145"/>
        <item m="1" x="192"/>
        <item m="1" x="193"/>
        <item m="1" x="194"/>
        <item m="1" x="195"/>
        <item m="1" x="196"/>
        <item m="1" x="197"/>
        <item t="default"/>
      </items>
    </pivotField>
    <pivotField showAll="0"/>
    <pivotField numFmtId="164" showAll="0"/>
    <pivotField showAll="0"/>
    <pivotField axis="axisPage" showAll="0">
      <items count="5">
        <item x="1"/>
        <item x="2"/>
        <item m="1" x="3"/>
        <item x="0"/>
        <item t="default"/>
      </items>
    </pivotField>
  </pivotFields>
  <rowFields count="1">
    <field x="31"/>
  </rowFields>
  <rowItems count="12">
    <i>
      <x v="17"/>
    </i>
    <i>
      <x v="45"/>
    </i>
    <i>
      <x v="55"/>
    </i>
    <i>
      <x v="92"/>
    </i>
    <i>
      <x v="98"/>
    </i>
    <i>
      <x v="99"/>
    </i>
    <i>
      <x v="102"/>
    </i>
    <i>
      <x v="104"/>
    </i>
    <i>
      <x v="122"/>
    </i>
    <i>
      <x v="140"/>
    </i>
    <i>
      <x v="159"/>
    </i>
    <i>
      <x v="177"/>
    </i>
  </rowItems>
  <colFields count="2">
    <field x="0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</colItems>
  <pageFields count="2">
    <pageField fld="35" item="0" hier="-1"/>
    <pageField fld="12" item="9" hier="-1"/>
  </pageFields>
  <dataFields count="2">
    <dataField name="Revenue " fld="18" baseField="0" baseItem="0" numFmtId="164"/>
    <dataField name="YoY %" fld="18" showDataAs="percentDiff" baseField="0" baseItem="1048828" numFmtId="10"/>
  </dataFields>
  <formats count="23">
    <format dxfId="633">
      <pivotArea type="all" dataOnly="0" outline="0" fieldPosition="0"/>
    </format>
    <format dxfId="632">
      <pivotArea outline="0" collapsedLevelsAreSubtotals="1" fieldPosition="0"/>
    </format>
    <format dxfId="631">
      <pivotArea type="origin" dataOnly="0" labelOnly="1" outline="0" fieldPosition="0"/>
    </format>
    <format dxfId="630">
      <pivotArea field="0" type="button" dataOnly="0" labelOnly="1" outline="0" axis="axisCol" fieldPosition="0"/>
    </format>
    <format dxfId="629">
      <pivotArea type="topRight" dataOnly="0" labelOnly="1" outline="0" fieldPosition="0"/>
    </format>
    <format dxfId="628">
      <pivotArea field="1" type="button" dataOnly="0" labelOnly="1" outline="0"/>
    </format>
    <format dxfId="627">
      <pivotArea dataOnly="0" labelOnly="1" grandRow="1" outline="0" fieldPosition="0"/>
    </format>
    <format dxfId="626">
      <pivotArea dataOnly="0" labelOnly="1" fieldPosition="0">
        <references count="1">
          <reference field="0" count="0"/>
        </references>
      </pivotArea>
    </format>
    <format dxfId="625">
      <pivotArea type="all" dataOnly="0" outline="0" fieldPosition="0"/>
    </format>
    <format dxfId="624">
      <pivotArea outline="0" collapsedLevelsAreSubtotals="1" fieldPosition="0"/>
    </format>
    <format dxfId="623">
      <pivotArea field="0" type="button" dataOnly="0" labelOnly="1" outline="0" axis="axisCol" fieldPosition="0"/>
    </format>
    <format dxfId="622">
      <pivotArea type="topRight" dataOnly="0" labelOnly="1" outline="0" fieldPosition="0"/>
    </format>
    <format dxfId="621">
      <pivotArea field="1" type="button" dataOnly="0" labelOnly="1" outline="0"/>
    </format>
    <format dxfId="620">
      <pivotArea dataOnly="0" labelOnly="1" fieldPosition="0">
        <references count="1">
          <reference field="0" count="0"/>
        </references>
      </pivotArea>
    </format>
    <format dxfId="619">
      <pivotArea outline="0" fieldPosition="0">
        <references count="1">
          <reference field="4294967294" count="1">
            <x v="1"/>
          </reference>
        </references>
      </pivotArea>
    </format>
    <format dxfId="618">
      <pivotArea dataOnly="0" labelOnly="1" fieldPosition="0">
        <references count="1">
          <reference field="31" count="39">
            <x v="8"/>
            <x v="17"/>
            <x v="22"/>
            <x v="25"/>
            <x v="34"/>
            <x v="41"/>
            <x v="43"/>
            <x v="45"/>
            <x v="48"/>
            <x v="55"/>
            <x v="68"/>
            <x v="69"/>
            <x v="77"/>
            <x v="78"/>
            <x v="81"/>
            <x v="85"/>
            <x v="86"/>
            <x v="89"/>
            <x v="92"/>
            <x v="98"/>
            <x v="99"/>
            <x v="100"/>
            <x v="101"/>
            <x v="102"/>
            <x v="104"/>
            <x v="105"/>
            <x v="112"/>
            <x v="122"/>
            <x v="129"/>
            <x v="138"/>
            <x v="139"/>
            <x v="140"/>
            <x v="141"/>
            <x v="144"/>
            <x v="159"/>
            <x v="166"/>
            <x v="177"/>
            <x v="181"/>
            <x v="192"/>
          </reference>
        </references>
      </pivotArea>
    </format>
    <format dxfId="617">
      <pivotArea field="12" type="button" dataOnly="0" labelOnly="1" outline="0" axis="axisPage" fieldPosition="1"/>
    </format>
    <format dxfId="616">
      <pivotArea dataOnly="0" labelOnly="1" fieldPosition="0">
        <references count="1">
          <reference field="31" count="31">
            <x v="17"/>
            <x v="25"/>
            <x v="34"/>
            <x v="41"/>
            <x v="43"/>
            <x v="45"/>
            <x v="48"/>
            <x v="55"/>
            <x v="69"/>
            <x v="77"/>
            <x v="78"/>
            <x v="81"/>
            <x v="85"/>
            <x v="86"/>
            <x v="89"/>
            <x v="92"/>
            <x v="99"/>
            <x v="102"/>
            <x v="104"/>
            <x v="105"/>
            <x v="112"/>
            <x v="122"/>
            <x v="129"/>
            <x v="139"/>
            <x v="140"/>
            <x v="144"/>
            <x v="159"/>
            <x v="166"/>
            <x v="177"/>
            <x v="181"/>
            <x v="192"/>
          </reference>
        </references>
      </pivotArea>
    </format>
    <format dxfId="615">
      <pivotArea type="origin" dataOnly="0" labelOnly="1" outline="0" fieldPosition="0"/>
    </format>
    <format dxfId="614">
      <pivotArea field="31" type="button" dataOnly="0" labelOnly="1" outline="0" axis="axisRow" fieldPosition="0"/>
    </format>
    <format dxfId="613">
      <pivotArea dataOnly="0" labelOnly="1" fieldPosition="0">
        <references count="1">
          <reference field="31" count="13">
            <x v="17"/>
            <x v="45"/>
            <x v="55"/>
            <x v="86"/>
            <x v="92"/>
            <x v="99"/>
            <x v="102"/>
            <x v="104"/>
            <x v="122"/>
            <x v="140"/>
            <x v="144"/>
            <x v="159"/>
            <x v="177"/>
          </reference>
        </references>
      </pivotArea>
    </format>
    <format dxfId="612">
      <pivotArea dataOnly="0" labelOnly="1" grandRow="1" outline="0" fieldPosition="0"/>
    </format>
    <format dxfId="611">
      <pivotArea field="35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C5B8CA-B743-4DA2-B073-24DD297B8F92}" name="Sales" displayName="Sales" ref="A1:AJ892" totalsRowShown="0" headerRowDxfId="591" dataDxfId="589" headerRowBorderDxfId="590">
  <autoFilter ref="A1:AJ892" xr:uid="{6EC5B8CA-B743-4DA2-B073-24DD297B8F92}"/>
  <tableColumns count="36">
    <tableColumn id="1" xr3:uid="{2C0E11A8-281A-4D26-957F-045E6B133CB5}" name="Year" dataDxfId="588"/>
    <tableColumn id="2" xr3:uid="{AA810E6B-36DF-4D97-85A7-1B5F89030191}" name="Month" dataDxfId="587"/>
    <tableColumn id="3" xr3:uid="{E5DC907F-C963-4DA6-A8E0-BD41D71A972C}" name="Week" dataDxfId="586"/>
    <tableColumn id="4" xr3:uid="{3D276B88-673C-4E88-B7B3-F7E441D7A88E}" name="Seaseon1" dataDxfId="585"/>
    <tableColumn id="5" xr3:uid="{9FF88125-AB55-4CBD-B232-4D1FE545965B}" name="Cate" dataDxfId="584"/>
    <tableColumn id="6" xr3:uid="{DCE9824B-074B-41AF-8003-4F3598F72529}" name="Season" dataDxfId="583"/>
    <tableColumn id="7" xr3:uid="{BB73D005-69B2-439D-9852-E810DFCD8CA0}" name="Landed cost" dataDxfId="582" dataCellStyle="Comma"/>
    <tableColumn id="8" xr3:uid="{D1814CBC-CE90-4D6A-8F2B-D3A2CBF2748A}" name="Base cost" dataDxfId="581" dataCellStyle="Comma"/>
    <tableColumn id="9" xr3:uid="{289B4D17-93E3-42A3-AE31-4A0AA8044B06}" name="Date" dataDxfId="580"/>
    <tableColumn id="10" xr3:uid="{17C39D7C-FE93-4F40-92AE-DFB4D91FC307}" name="Item" dataDxfId="579"/>
    <tableColumn id="11" xr3:uid="{CF78A656-4BF9-4387-8961-29C0617401AE}" name="Store&amp;Bill" dataDxfId="578"/>
    <tableColumn id="12" xr3:uid="{77BA8A15-031D-4C78-9C5E-DF2E1B841E75}" name="Vendor" dataDxfId="577"/>
    <tableColumn id="13" xr3:uid="{1135FF5A-BC86-4610-B743-49DAFA3DD915}" name="Store" dataDxfId="576"/>
    <tableColumn id="14" xr3:uid="{6FF94C5A-FB76-45EF-B486-2E00B43A75CF}" name="Dept" dataDxfId="575"/>
    <tableColumn id="15" xr3:uid="{6B1C19FE-4A44-46D7-972A-28EB1E1441BF}" name="Bill" dataDxfId="574"/>
    <tableColumn id="16" xr3:uid="{77F25179-EA36-406F-BA2B-3336CD6BF17A}" name="Qty Sold" dataDxfId="573"/>
    <tableColumn id="17" xr3:uid="{D41F80ED-9AF2-47AF-BEC4-CE5072F11EAC}" name="Payment form" dataDxfId="572"/>
    <tableColumn id="18" xr3:uid="{067D1E70-B507-421A-8FC3-B5DCFD2DEF39}" name="Payment" dataDxfId="571"/>
    <tableColumn id="19" xr3:uid="{389D84CB-9299-40C3-88F0-5391DA3F76B9}" name="Revenue" dataDxfId="570" dataCellStyle="Comma"/>
    <tableColumn id="20" xr3:uid="{9A8906B5-4911-45D1-BF2E-BDC684D847BA}" name="Discount %" dataDxfId="569"/>
    <tableColumn id="21" xr3:uid="{32559C3B-E377-47AE-9F65-EAAD90181548}" name="Discount (Ex VAT)" dataDxfId="568" dataCellStyle="Comma"/>
    <tableColumn id="22" xr3:uid="{930C3569-AD81-4DFC-98A1-94EA472112D6}" name="Discount" dataDxfId="567"/>
    <tableColumn id="23" xr3:uid="{81C71FE7-BD66-4D7A-8626-B4F02D642FEA}" name="Cashier" dataDxfId="566"/>
    <tableColumn id="24" xr3:uid="{A0006937-EA44-45BD-B052-E1EA2F6F4D7B}" name="Description" dataDxfId="565"/>
    <tableColumn id="25" xr3:uid="{3E003B0D-8B35-4842-B433-F3E727193169}" name="Full Name" dataDxfId="564"/>
    <tableColumn id="26" xr3:uid="{1A7BC212-5BAD-4750-93BD-42A894C30EB1}" name="Item Name" dataDxfId="563"/>
    <tableColumn id="27" xr3:uid="{7434C0F8-7556-4BD8-ABA5-FF15EDF17461}" name="Hour" dataDxfId="562" dataCellStyle="Comma"/>
    <tableColumn id="28" xr3:uid="{FEDABC34-F091-435D-8989-40FEE0FCA8C2}" name="Attribute" dataDxfId="561"/>
    <tableColumn id="29" xr3:uid="{4735CFFC-5077-4A74-A8D8-25A07AA06B11}" name="Full Price" dataDxfId="560" dataCellStyle="Comma"/>
    <tableColumn id="30" xr3:uid="{E7CB8AEF-2AC6-425F-8F58-5B405E867D0E}" name="Size" dataDxfId="559"/>
    <tableColumn id="31" xr3:uid="{39165E30-4DD5-4F00-8FCB-47A4E3C0E32D}" name="Full Price(Ex VAT)" dataDxfId="558" dataCellStyle="Comma"/>
    <tableColumn id="32" xr3:uid="{05744A4C-46A7-4653-9B6F-42A9E92015C9}" name="Associate" dataDxfId="557"/>
    <tableColumn id="34" xr3:uid="{CCDCE088-F376-4DEC-A76C-70CB32AEF612}" name="Phone Number" dataDxfId="556"/>
    <tableColumn id="33" xr3:uid="{96523C48-25EE-47AD-BF14-DB5DE523D33A}" name="Lợi nhuận gộp" dataDxfId="555" dataCellStyle="Comma"/>
    <tableColumn id="35" xr3:uid="{FCC1B669-5B1F-40C9-9255-BED1C5D435D1}" name="Phân loại" dataDxfId="554">
      <calculatedColumnFormula>VLOOKUP(Sales[[#This Row],[Store]],'Store lay bao  cao'!A:B,2,0)</calculatedColumnFormula>
    </tableColumn>
    <tableColumn id="36" xr3:uid="{AAB01C71-0002-49DA-A0F5-3170F264599B}" name="Status Associate" dataDxfId="553">
      <calculatedColumnFormula>VLOOKUP(Sales[[#This Row],[Associate]],'Associate Status'!B:C,2,0)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6FDFBF-DF2F-4894-A5E4-3AC6BFDB6F0B}" name="InventoryTY" displayName="InventoryTY" ref="A1:L565" totalsRowShown="0" dataDxfId="552">
  <autoFilter ref="A1:L565" xr:uid="{036FDFBF-DF2F-4894-A5E4-3AC6BFDB6F0B}"/>
  <tableColumns count="12">
    <tableColumn id="1" xr3:uid="{AE7F8BA7-4112-4C64-853C-FEA7D582B503}" name="Year" dataDxfId="551"/>
    <tableColumn id="2" xr3:uid="{80C99F57-13ED-4E10-B7F8-808D6C955424}" name="Month" dataDxfId="550"/>
    <tableColumn id="3" xr3:uid="{73158062-9808-456E-8464-238E8FC43A2E}" name="Date" dataDxfId="549"/>
    <tableColumn id="4" xr3:uid="{930189F3-780C-43B7-9456-8BE00FF794C7}" name="Item #" dataDxfId="548"/>
    <tableColumn id="5" xr3:uid="{0E804D93-DF67-4625-A297-D050F7CE17D6}" name="Vendor Name" dataDxfId="547"/>
    <tableColumn id="6" xr3:uid="{11054797-EE81-4D2F-B8B5-99E547FA3BEB}" name="Dept Name" dataDxfId="546"/>
    <tableColumn id="7" xr3:uid="{8E0651CF-C13D-4A6E-A925-F3D0728B7C0F}" name="Season" dataDxfId="545"/>
    <tableColumn id="8" xr3:uid="{91DA5728-1C83-4F56-BDA2-EAF7F61A49C0}" name="Categories" dataDxfId="544"/>
    <tableColumn id="9" xr3:uid="{A012AEBC-C19B-4EB3-A5C1-BAFCF094265A}" name="Landed Cost" dataDxfId="543" dataCellStyle="Comma"/>
    <tableColumn id="10" xr3:uid="{9B9DEE82-694F-463D-AA33-771A460D926F}" name="Store" dataDxfId="542"/>
    <tableColumn id="11" xr3:uid="{10A776AB-FC64-48E6-B36F-AF3040192CF5}" name="Inventory Qty" dataDxfId="541"/>
    <tableColumn id="12" xr3:uid="{3B0A0E19-06C0-4E7B-9F4B-5A2EC841342D}" name="TT Landed Cost" dataDxfId="540">
      <calculatedColumnFormula>InventoryTY[[#This Row],[Landed Cost]]*InventoryTY[[#This Row],[Inventory Qty]]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5F9694-CF83-4708-A972-F81314FBA448}" name="Associate_Status" displayName="Associate_Status" ref="A1:C87" totalsRowShown="0">
  <autoFilter ref="A1:C87" xr:uid="{985F9694-CF83-4708-A972-F81314FBA448}"/>
  <tableColumns count="3">
    <tableColumn id="1" xr3:uid="{E49E1700-57E5-4668-9C7D-717CD762F805}" name="Store"/>
    <tableColumn id="2" xr3:uid="{6CBE0271-4E10-4FC9-B155-1B19E6F4908E}" name="Associate"/>
    <tableColumn id="3" xr3:uid="{6A7A5B08-1069-4A12-A124-0643644A20F4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A5EA-8AC7-410C-B842-AD09932554A0}">
  <dimension ref="A1:Q114"/>
  <sheetViews>
    <sheetView workbookViewId="0">
      <selection activeCell="F1" sqref="F1"/>
    </sheetView>
  </sheetViews>
  <sheetFormatPr defaultColWidth="9" defaultRowHeight="15" x14ac:dyDescent="0.25"/>
  <cols>
    <col min="1" max="1" width="11.28515625" style="67" bestFit="1" customWidth="1"/>
    <col min="2" max="2" width="12.5703125" style="67" bestFit="1" customWidth="1"/>
    <col min="3" max="3" width="6.42578125" style="67" bestFit="1" customWidth="1"/>
    <col min="4" max="4" width="9.42578125" style="67" bestFit="1" customWidth="1"/>
    <col min="5" max="5" width="8.85546875" style="67" bestFit="1" customWidth="1"/>
    <col min="6" max="6" width="11.5703125" style="67" bestFit="1" customWidth="1"/>
    <col min="7" max="7" width="7.5703125" style="67" bestFit="1" customWidth="1"/>
    <col min="8" max="8" width="12.5703125" style="67" bestFit="1" customWidth="1"/>
    <col min="9" max="9" width="8.140625" style="67" bestFit="1" customWidth="1"/>
    <col min="10" max="10" width="14.28515625" style="67" bestFit="1" customWidth="1"/>
    <col min="11" max="11" width="9.140625" style="67" bestFit="1" customWidth="1"/>
    <col min="12" max="12" width="14.28515625" style="67" bestFit="1" customWidth="1"/>
    <col min="13" max="13" width="10.140625" style="67" bestFit="1" customWidth="1"/>
    <col min="14" max="14" width="14.28515625" style="67" bestFit="1" customWidth="1"/>
    <col min="15" max="15" width="9.140625" style="67" bestFit="1" customWidth="1"/>
    <col min="16" max="16" width="12.5703125" style="67" bestFit="1" customWidth="1"/>
    <col min="17" max="17" width="7.85546875" style="67" bestFit="1" customWidth="1"/>
    <col min="18" max="18" width="12" style="67" customWidth="1"/>
    <col min="19" max="19" width="12" style="67" bestFit="1" customWidth="1"/>
    <col min="20" max="22" width="14.5703125" style="67" bestFit="1" customWidth="1"/>
    <col min="23" max="23" width="13.5703125" style="67" bestFit="1" customWidth="1"/>
    <col min="24" max="24" width="15.5703125" style="67" bestFit="1" customWidth="1"/>
    <col min="25" max="25" width="13.5703125" style="67" bestFit="1" customWidth="1"/>
    <col min="26" max="26" width="4.5703125" style="67" bestFit="1" customWidth="1"/>
    <col min="27" max="27" width="4.5703125" style="67" customWidth="1"/>
    <col min="28" max="28" width="12" style="67" bestFit="1" customWidth="1"/>
    <col min="29" max="29" width="12.5703125" style="67" bestFit="1" customWidth="1"/>
    <col min="30" max="32" width="14.5703125" style="67" bestFit="1" customWidth="1"/>
    <col min="33" max="33" width="13.5703125" style="67" bestFit="1" customWidth="1"/>
    <col min="34" max="34" width="15.5703125" style="67" bestFit="1" customWidth="1"/>
    <col min="35" max="35" width="13.5703125" style="67" bestFit="1" customWidth="1"/>
    <col min="36" max="36" width="12" style="67" customWidth="1"/>
    <col min="37" max="37" width="4.5703125" style="67" bestFit="1" customWidth="1"/>
    <col min="38" max="38" width="11" style="67" bestFit="1" customWidth="1"/>
    <col min="39" max="39" width="4.5703125" style="67" bestFit="1" customWidth="1"/>
    <col min="40" max="40" width="14.5703125" style="67" bestFit="1" customWidth="1"/>
    <col min="41" max="41" width="14.5703125" style="67" customWidth="1"/>
    <col min="42" max="42" width="14.5703125" style="67" bestFit="1" customWidth="1"/>
    <col min="43" max="43" width="13.5703125" style="67" bestFit="1" customWidth="1"/>
    <col min="44" max="44" width="15.5703125" style="67" bestFit="1" customWidth="1"/>
    <col min="45" max="46" width="12" style="67" bestFit="1" customWidth="1"/>
    <col min="47" max="47" width="4.5703125" style="67" bestFit="1" customWidth="1"/>
    <col min="48" max="48" width="12" style="67" bestFit="1" customWidth="1"/>
    <col min="49" max="50" width="14.5703125" style="67" bestFit="1" customWidth="1"/>
    <col min="51" max="51" width="11" style="67" bestFit="1" customWidth="1"/>
    <col min="52" max="53" width="14.5703125" style="67" bestFit="1" customWidth="1"/>
    <col min="54" max="54" width="15.5703125" style="67" bestFit="1" customWidth="1"/>
    <col min="55" max="55" width="12" style="67" bestFit="1" customWidth="1"/>
    <col min="56" max="56" width="13.5703125" style="67" bestFit="1" customWidth="1"/>
    <col min="57" max="57" width="4.5703125" style="67" bestFit="1" customWidth="1"/>
    <col min="58" max="58" width="13.5703125" style="67" bestFit="1" customWidth="1"/>
    <col min="59" max="60" width="14.5703125" style="67" bestFit="1" customWidth="1"/>
    <col min="61" max="61" width="13.5703125" style="67" bestFit="1" customWidth="1"/>
    <col min="62" max="63" width="14.5703125" style="67" bestFit="1" customWidth="1"/>
    <col min="64" max="64" width="15.5703125" style="67" bestFit="1" customWidth="1"/>
    <col min="65" max="65" width="13.5703125" style="67" bestFit="1" customWidth="1"/>
    <col min="66" max="66" width="12" style="67" bestFit="1" customWidth="1"/>
    <col min="67" max="68" width="14.5703125" style="67" bestFit="1" customWidth="1"/>
    <col min="69" max="69" width="13.5703125" style="67" bestFit="1" customWidth="1"/>
    <col min="70" max="71" width="14.5703125" style="67" bestFit="1" customWidth="1"/>
    <col min="72" max="72" width="15.5703125" style="67" bestFit="1" customWidth="1"/>
    <col min="73" max="73" width="17.140625" style="67" bestFit="1" customWidth="1"/>
    <col min="74" max="75" width="14.5703125" style="67" bestFit="1" customWidth="1"/>
    <col min="76" max="76" width="15.5703125" style="67" bestFit="1" customWidth="1"/>
    <col min="77" max="80" width="13.5703125" style="67" bestFit="1" customWidth="1"/>
    <col min="81" max="81" width="14.5703125" style="67" bestFit="1" customWidth="1"/>
    <col min="82" max="82" width="17.140625" style="67" bestFit="1" customWidth="1"/>
    <col min="83" max="16384" width="9" style="67"/>
  </cols>
  <sheetData>
    <row r="1" spans="1:17" ht="18.75" x14ac:dyDescent="0.25">
      <c r="B1" s="71" t="s">
        <v>2552</v>
      </c>
      <c r="D1" s="71" t="str">
        <f>'Report date'!A1</f>
        <v>Date: 12/01/2026</v>
      </c>
      <c r="E1" s="64"/>
    </row>
    <row r="2" spans="1:17" x14ac:dyDescent="0.25">
      <c r="A2" s="68" t="s">
        <v>9</v>
      </c>
      <c r="B2" s="67" t="s">
        <v>2548</v>
      </c>
    </row>
    <row r="4" spans="1:17" x14ac:dyDescent="0.25">
      <c r="B4" s="68" t="s">
        <v>0</v>
      </c>
    </row>
    <row r="5" spans="1:17" x14ac:dyDescent="0.25">
      <c r="B5" s="67">
        <v>2019</v>
      </c>
      <c r="D5" s="67">
        <v>2020</v>
      </c>
      <c r="F5" s="67">
        <v>2021</v>
      </c>
      <c r="H5" s="67">
        <v>2022</v>
      </c>
      <c r="J5" s="67">
        <v>2023</v>
      </c>
      <c r="L5" s="67">
        <v>2024</v>
      </c>
      <c r="N5" s="67">
        <v>2025</v>
      </c>
      <c r="P5" s="67">
        <v>2026</v>
      </c>
    </row>
    <row r="6" spans="1:17" x14ac:dyDescent="0.25">
      <c r="A6" s="68" t="s">
        <v>1</v>
      </c>
      <c r="B6" s="67" t="s">
        <v>2554</v>
      </c>
      <c r="C6" s="67" t="s">
        <v>2555</v>
      </c>
      <c r="D6" s="67" t="s">
        <v>2554</v>
      </c>
      <c r="E6" s="67" t="s">
        <v>2555</v>
      </c>
      <c r="F6" s="67" t="s">
        <v>2554</v>
      </c>
      <c r="G6" s="67" t="s">
        <v>2555</v>
      </c>
      <c r="H6" s="67" t="s">
        <v>2554</v>
      </c>
      <c r="I6" s="67" t="s">
        <v>2555</v>
      </c>
      <c r="J6" s="67" t="s">
        <v>2554</v>
      </c>
      <c r="K6" s="67" t="s">
        <v>2555</v>
      </c>
      <c r="L6" s="67" t="s">
        <v>2554</v>
      </c>
      <c r="M6" s="67" t="s">
        <v>2555</v>
      </c>
      <c r="N6" s="67" t="s">
        <v>2554</v>
      </c>
      <c r="O6" s="67" t="s">
        <v>2555</v>
      </c>
      <c r="P6" s="67" t="s">
        <v>2554</v>
      </c>
      <c r="Q6" s="67" t="s">
        <v>2555</v>
      </c>
    </row>
    <row r="7" spans="1:17" x14ac:dyDescent="0.25">
      <c r="A7" s="67">
        <v>1</v>
      </c>
      <c r="B7" s="69">
        <v>76719682</v>
      </c>
      <c r="C7" s="70"/>
      <c r="D7" s="69"/>
      <c r="E7" s="70" t="e">
        <v>#NULL!</v>
      </c>
      <c r="F7" s="69">
        <v>42168182</v>
      </c>
      <c r="G7" s="70"/>
      <c r="H7" s="69">
        <v>24034545</v>
      </c>
      <c r="I7" s="70">
        <v>-0.4300312733425406</v>
      </c>
      <c r="J7" s="69">
        <v>178571682</v>
      </c>
      <c r="K7" s="70">
        <v>6.4297924924312069</v>
      </c>
      <c r="L7" s="69">
        <v>319354676</v>
      </c>
      <c r="M7" s="70">
        <v>0.78838364752592738</v>
      </c>
      <c r="N7" s="69">
        <v>1598650371</v>
      </c>
      <c r="O7" s="70">
        <v>4.0058774495601872</v>
      </c>
      <c r="P7" s="69">
        <v>2245706114</v>
      </c>
      <c r="Q7" s="70">
        <v>0.40475125439419801</v>
      </c>
    </row>
    <row r="8" spans="1:17" x14ac:dyDescent="0.25">
      <c r="A8" s="67">
        <v>2</v>
      </c>
      <c r="B8" s="69"/>
      <c r="C8" s="70"/>
      <c r="D8" s="69">
        <v>150208045</v>
      </c>
      <c r="E8" s="70"/>
      <c r="F8" s="69">
        <v>42925454</v>
      </c>
      <c r="G8" s="70">
        <v>-0.71422666475687102</v>
      </c>
      <c r="H8" s="69">
        <v>54000000</v>
      </c>
      <c r="I8" s="70">
        <v>0.25799484846450316</v>
      </c>
      <c r="J8" s="69">
        <v>301744182</v>
      </c>
      <c r="K8" s="70">
        <v>4.5878552222222222</v>
      </c>
      <c r="L8" s="69">
        <v>388104091</v>
      </c>
      <c r="M8" s="70">
        <v>0.28620239975331158</v>
      </c>
      <c r="N8" s="69">
        <v>1210626251</v>
      </c>
      <c r="O8" s="70">
        <v>2.1193339082838989</v>
      </c>
      <c r="P8" s="69"/>
      <c r="Q8" s="70" t="e">
        <v>#NULL!</v>
      </c>
    </row>
    <row r="9" spans="1:17" x14ac:dyDescent="0.25">
      <c r="A9" s="67">
        <v>3</v>
      </c>
      <c r="B9" s="69">
        <v>25389818</v>
      </c>
      <c r="C9" s="70"/>
      <c r="D9" s="69">
        <v>0</v>
      </c>
      <c r="E9" s="70">
        <v>-1</v>
      </c>
      <c r="F9" s="69">
        <v>42807273</v>
      </c>
      <c r="G9" s="70" t="e">
        <v>#DIV/0!</v>
      </c>
      <c r="H9" s="69"/>
      <c r="I9" s="70" t="e">
        <v>#NULL!</v>
      </c>
      <c r="J9" s="69">
        <v>533360046</v>
      </c>
      <c r="K9" s="70"/>
      <c r="L9" s="69">
        <v>735902871</v>
      </c>
      <c r="M9" s="70">
        <v>0.37974877668283386</v>
      </c>
      <c r="N9" s="69">
        <v>2311571297</v>
      </c>
      <c r="O9" s="70">
        <v>2.141136402768566</v>
      </c>
      <c r="P9" s="69"/>
      <c r="Q9" s="70" t="e">
        <v>#NULL!</v>
      </c>
    </row>
    <row r="10" spans="1:17" x14ac:dyDescent="0.25">
      <c r="A10" s="67">
        <v>4</v>
      </c>
      <c r="B10" s="69">
        <v>36936000</v>
      </c>
      <c r="C10" s="70"/>
      <c r="D10" s="69"/>
      <c r="E10" s="70" t="e">
        <v>#NULL!</v>
      </c>
      <c r="F10" s="69"/>
      <c r="G10" s="70" t="e">
        <v>#NULL!</v>
      </c>
      <c r="H10" s="69">
        <v>21393519</v>
      </c>
      <c r="I10" s="70"/>
      <c r="J10" s="69">
        <v>190421182</v>
      </c>
      <c r="K10" s="70">
        <v>7.9008817109518077</v>
      </c>
      <c r="L10" s="69">
        <v>942539999</v>
      </c>
      <c r="M10" s="70">
        <v>3.9497644595021999</v>
      </c>
      <c r="N10" s="69">
        <v>610269166</v>
      </c>
      <c r="O10" s="70">
        <v>-0.35252703689236214</v>
      </c>
      <c r="P10" s="69"/>
      <c r="Q10" s="70" t="e">
        <v>#NULL!</v>
      </c>
    </row>
    <row r="11" spans="1:17" x14ac:dyDescent="0.25">
      <c r="A11" s="67">
        <v>5</v>
      </c>
      <c r="B11" s="69">
        <v>22621818</v>
      </c>
      <c r="C11" s="70"/>
      <c r="D11" s="69"/>
      <c r="E11" s="70" t="e">
        <v>#NULL!</v>
      </c>
      <c r="F11" s="69">
        <v>37387272</v>
      </c>
      <c r="G11" s="70"/>
      <c r="H11" s="69">
        <v>0</v>
      </c>
      <c r="I11" s="70">
        <v>-1</v>
      </c>
      <c r="J11" s="69">
        <v>619795091</v>
      </c>
      <c r="K11" s="70" t="e">
        <v>#DIV/0!</v>
      </c>
      <c r="L11" s="69">
        <v>925603781</v>
      </c>
      <c r="M11" s="70">
        <v>0.49340289144045513</v>
      </c>
      <c r="N11" s="69">
        <v>4766652824</v>
      </c>
      <c r="O11" s="70">
        <v>4.1497767423229659</v>
      </c>
      <c r="P11" s="69"/>
      <c r="Q11" s="70" t="e">
        <v>#NULL!</v>
      </c>
    </row>
    <row r="12" spans="1:17" x14ac:dyDescent="0.25">
      <c r="A12" s="67">
        <v>6</v>
      </c>
      <c r="B12" s="69">
        <v>343331091</v>
      </c>
      <c r="C12" s="70"/>
      <c r="D12" s="69"/>
      <c r="E12" s="70" t="e">
        <v>#NULL!</v>
      </c>
      <c r="F12" s="69">
        <v>17048182</v>
      </c>
      <c r="G12" s="70"/>
      <c r="H12" s="69"/>
      <c r="I12" s="70" t="e">
        <v>#NULL!</v>
      </c>
      <c r="J12" s="69">
        <v>55300910</v>
      </c>
      <c r="K12" s="70"/>
      <c r="L12" s="69">
        <v>4149523395</v>
      </c>
      <c r="M12" s="70">
        <v>74.035354662337383</v>
      </c>
      <c r="N12" s="69">
        <v>3712396249</v>
      </c>
      <c r="O12" s="70">
        <v>-0.10534394059007347</v>
      </c>
      <c r="P12" s="69"/>
      <c r="Q12" s="70" t="e">
        <v>#NULL!</v>
      </c>
    </row>
    <row r="13" spans="1:17" x14ac:dyDescent="0.25">
      <c r="A13" s="67">
        <v>7</v>
      </c>
      <c r="B13" s="69"/>
      <c r="C13" s="70"/>
      <c r="D13" s="69"/>
      <c r="E13" s="70" t="e">
        <v>#NULL!</v>
      </c>
      <c r="F13" s="69"/>
      <c r="G13" s="70" t="e">
        <v>#NULL!</v>
      </c>
      <c r="H13" s="69">
        <v>100218056</v>
      </c>
      <c r="I13" s="70"/>
      <c r="J13" s="69">
        <v>237744445</v>
      </c>
      <c r="K13" s="70">
        <v>1.3722715695063972</v>
      </c>
      <c r="L13" s="69">
        <v>824277917</v>
      </c>
      <c r="M13" s="70">
        <v>2.4670754010677305</v>
      </c>
      <c r="N13" s="69">
        <v>4258808381</v>
      </c>
      <c r="O13" s="70">
        <v>4.1667141544931141</v>
      </c>
      <c r="P13" s="69"/>
      <c r="Q13" s="70" t="e">
        <v>#NULL!</v>
      </c>
    </row>
    <row r="14" spans="1:17" x14ac:dyDescent="0.25">
      <c r="A14" s="67">
        <v>8</v>
      </c>
      <c r="B14" s="69">
        <v>10369091</v>
      </c>
      <c r="C14" s="70"/>
      <c r="D14" s="69"/>
      <c r="E14" s="70" t="e">
        <v>#NULL!</v>
      </c>
      <c r="F14" s="69"/>
      <c r="G14" s="70" t="e">
        <v>#NULL!</v>
      </c>
      <c r="H14" s="69">
        <v>112107037</v>
      </c>
      <c r="I14" s="70"/>
      <c r="J14" s="69">
        <v>339686389</v>
      </c>
      <c r="K14" s="70">
        <v>2.0300184367552236</v>
      </c>
      <c r="L14" s="69">
        <v>2559864824</v>
      </c>
      <c r="M14" s="70">
        <v>6.5359652517604996</v>
      </c>
      <c r="N14" s="69">
        <v>2162270418</v>
      </c>
      <c r="O14" s="70">
        <v>-0.15531851614677292</v>
      </c>
      <c r="P14" s="69"/>
      <c r="Q14" s="70" t="e">
        <v>#NULL!</v>
      </c>
    </row>
    <row r="15" spans="1:17" x14ac:dyDescent="0.25">
      <c r="A15" s="67">
        <v>9</v>
      </c>
      <c r="B15" s="69">
        <v>5890909</v>
      </c>
      <c r="C15" s="70"/>
      <c r="D15" s="69"/>
      <c r="E15" s="70" t="e">
        <v>#NULL!</v>
      </c>
      <c r="F15" s="69"/>
      <c r="G15" s="70" t="e">
        <v>#NULL!</v>
      </c>
      <c r="H15" s="69">
        <v>47254629</v>
      </c>
      <c r="I15" s="70"/>
      <c r="J15" s="69">
        <v>213412222</v>
      </c>
      <c r="K15" s="70">
        <v>3.5162183370437634</v>
      </c>
      <c r="L15" s="69">
        <v>1488737404</v>
      </c>
      <c r="M15" s="70">
        <v>5.9758769673463217</v>
      </c>
      <c r="N15" s="69">
        <v>2854688742</v>
      </c>
      <c r="O15" s="70">
        <v>0.91752335524714201</v>
      </c>
      <c r="P15" s="69"/>
      <c r="Q15" s="70" t="e">
        <v>#NULL!</v>
      </c>
    </row>
    <row r="16" spans="1:17" x14ac:dyDescent="0.25">
      <c r="A16" s="67">
        <v>10</v>
      </c>
      <c r="B16" s="69">
        <v>54352728</v>
      </c>
      <c r="C16" s="70"/>
      <c r="D16" s="69">
        <v>90669191</v>
      </c>
      <c r="E16" s="70">
        <v>0.66816265413577769</v>
      </c>
      <c r="F16" s="69"/>
      <c r="G16" s="70" t="e">
        <v>#NULL!</v>
      </c>
      <c r="H16" s="69">
        <v>7921296</v>
      </c>
      <c r="I16" s="70"/>
      <c r="J16" s="69">
        <v>592350912</v>
      </c>
      <c r="K16" s="70">
        <v>73.779545165336586</v>
      </c>
      <c r="L16" s="69">
        <v>1152640624</v>
      </c>
      <c r="M16" s="70">
        <v>0.94587465073405674</v>
      </c>
      <c r="N16" s="69">
        <v>3639300556</v>
      </c>
      <c r="O16" s="70">
        <v>2.1573592672541446</v>
      </c>
      <c r="P16" s="69"/>
      <c r="Q16" s="70" t="e">
        <v>#NULL!</v>
      </c>
    </row>
    <row r="17" spans="1:17" x14ac:dyDescent="0.25">
      <c r="A17" s="67">
        <v>11</v>
      </c>
      <c r="B17" s="69"/>
      <c r="C17" s="70"/>
      <c r="D17" s="69"/>
      <c r="E17" s="70" t="e">
        <v>#NULL!</v>
      </c>
      <c r="F17" s="69"/>
      <c r="G17" s="70" t="e">
        <v>#NULL!</v>
      </c>
      <c r="H17" s="69">
        <v>49240509</v>
      </c>
      <c r="I17" s="70"/>
      <c r="J17" s="69">
        <v>506547954</v>
      </c>
      <c r="K17" s="70">
        <v>9.2872201016443601</v>
      </c>
      <c r="L17" s="69">
        <v>4973764234</v>
      </c>
      <c r="M17" s="70">
        <v>8.8189405262112661</v>
      </c>
      <c r="N17" s="69">
        <v>2962751583</v>
      </c>
      <c r="O17" s="70">
        <v>-0.40432408059332231</v>
      </c>
      <c r="P17" s="69"/>
      <c r="Q17" s="70" t="e">
        <v>#NULL!</v>
      </c>
    </row>
    <row r="18" spans="1:17" x14ac:dyDescent="0.25">
      <c r="A18" s="67">
        <v>12</v>
      </c>
      <c r="B18" s="69">
        <v>84050910</v>
      </c>
      <c r="C18" s="70"/>
      <c r="D18" s="69"/>
      <c r="E18" s="70" t="e">
        <v>#NULL!</v>
      </c>
      <c r="F18" s="69">
        <v>0</v>
      </c>
      <c r="G18" s="70"/>
      <c r="H18" s="69">
        <v>1087499630</v>
      </c>
      <c r="I18" s="70" t="e">
        <v>#DIV/0!</v>
      </c>
      <c r="J18" s="69">
        <v>614834535</v>
      </c>
      <c r="K18" s="70">
        <v>-0.43463471799066267</v>
      </c>
      <c r="L18" s="69">
        <v>1539075325</v>
      </c>
      <c r="M18" s="70">
        <v>1.5032349963880933</v>
      </c>
      <c r="N18" s="69">
        <v>3172471909</v>
      </c>
      <c r="O18" s="70">
        <v>1.0612843682618327</v>
      </c>
      <c r="P18" s="69"/>
      <c r="Q18" s="70" t="e">
        <v>#NULL!</v>
      </c>
    </row>
    <row r="19" spans="1:17" x14ac:dyDescent="0.25">
      <c r="A19" s="67" t="s">
        <v>2542</v>
      </c>
      <c r="B19" s="69">
        <v>659662047</v>
      </c>
      <c r="C19" s="70"/>
      <c r="D19" s="69">
        <v>240877236</v>
      </c>
      <c r="E19" s="70">
        <v>-0.63484751457893107</v>
      </c>
      <c r="F19" s="69">
        <v>182336363</v>
      </c>
      <c r="G19" s="70">
        <v>-0.24303198580375607</v>
      </c>
      <c r="H19" s="69">
        <v>1503669221</v>
      </c>
      <c r="I19" s="70">
        <v>7.2466777128816595</v>
      </c>
      <c r="J19" s="69">
        <v>4383769550</v>
      </c>
      <c r="K19" s="70">
        <v>1.915381580454655</v>
      </c>
      <c r="L19" s="69">
        <v>19999389141</v>
      </c>
      <c r="M19" s="70">
        <v>3.5621442717033336</v>
      </c>
      <c r="N19" s="69">
        <v>33260457747</v>
      </c>
      <c r="O19" s="70">
        <v>0.6630736825263317</v>
      </c>
      <c r="P19" s="69">
        <v>2245706114</v>
      </c>
      <c r="Q19" s="70">
        <v>-0.93248120242113752</v>
      </c>
    </row>
    <row r="21" spans="1:17" x14ac:dyDescent="0.25">
      <c r="A21" s="68" t="s">
        <v>9</v>
      </c>
      <c r="B21" s="67" t="s">
        <v>15</v>
      </c>
    </row>
    <row r="23" spans="1:17" x14ac:dyDescent="0.25">
      <c r="B23" s="68" t="s">
        <v>0</v>
      </c>
    </row>
    <row r="24" spans="1:17" x14ac:dyDescent="0.25">
      <c r="B24" s="67">
        <v>2019</v>
      </c>
      <c r="D24" s="67">
        <v>2020</v>
      </c>
      <c r="F24" s="67">
        <v>2021</v>
      </c>
      <c r="H24" s="67">
        <v>2022</v>
      </c>
      <c r="J24" s="67">
        <v>2023</v>
      </c>
      <c r="L24" s="67">
        <v>2024</v>
      </c>
      <c r="N24" s="67">
        <v>2025</v>
      </c>
      <c r="P24" s="67">
        <v>2026</v>
      </c>
    </row>
    <row r="25" spans="1:17" x14ac:dyDescent="0.25">
      <c r="A25" s="68" t="s">
        <v>1</v>
      </c>
      <c r="B25" s="67" t="s">
        <v>2554</v>
      </c>
      <c r="C25" s="67" t="s">
        <v>2555</v>
      </c>
      <c r="D25" s="67" t="s">
        <v>2554</v>
      </c>
      <c r="E25" s="67" t="s">
        <v>2555</v>
      </c>
      <c r="F25" s="67" t="s">
        <v>2554</v>
      </c>
      <c r="G25" s="67" t="s">
        <v>2555</v>
      </c>
      <c r="H25" s="67" t="s">
        <v>2554</v>
      </c>
      <c r="I25" s="67" t="s">
        <v>2555</v>
      </c>
      <c r="J25" s="67" t="s">
        <v>2554</v>
      </c>
      <c r="K25" s="67" t="s">
        <v>2555</v>
      </c>
      <c r="L25" s="67" t="s">
        <v>2554</v>
      </c>
      <c r="M25" s="67" t="s">
        <v>2555</v>
      </c>
      <c r="N25" s="67" t="s">
        <v>2554</v>
      </c>
      <c r="O25" s="67" t="s">
        <v>2555</v>
      </c>
      <c r="P25" s="67" t="s">
        <v>2554</v>
      </c>
      <c r="Q25" s="67" t="s">
        <v>2555</v>
      </c>
    </row>
    <row r="26" spans="1:17" x14ac:dyDescent="0.25">
      <c r="A26" s="67">
        <v>1</v>
      </c>
      <c r="B26" s="69">
        <v>23752727</v>
      </c>
      <c r="C26" s="70"/>
      <c r="D26" s="69"/>
      <c r="E26" s="70" t="e">
        <v>#NULL!</v>
      </c>
      <c r="F26" s="69">
        <v>33007273</v>
      </c>
      <c r="G26" s="70"/>
      <c r="H26" s="69"/>
      <c r="I26" s="70" t="e">
        <v>#NULL!</v>
      </c>
      <c r="J26" s="69"/>
      <c r="K26" s="70" t="e">
        <v>#NULL!</v>
      </c>
      <c r="L26" s="69"/>
      <c r="M26" s="70" t="e">
        <v>#NULL!</v>
      </c>
      <c r="N26" s="69">
        <v>872008241</v>
      </c>
      <c r="O26" s="70"/>
      <c r="P26" s="69">
        <v>1974673521</v>
      </c>
      <c r="Q26" s="70">
        <v>1.2645124531569651</v>
      </c>
    </row>
    <row r="27" spans="1:17" x14ac:dyDescent="0.25">
      <c r="A27" s="67">
        <v>2</v>
      </c>
      <c r="B27" s="69"/>
      <c r="C27" s="70"/>
      <c r="D27" s="69">
        <v>150208045</v>
      </c>
      <c r="E27" s="70"/>
      <c r="F27" s="69">
        <v>42925454</v>
      </c>
      <c r="G27" s="70">
        <v>-0.71422666475687102</v>
      </c>
      <c r="H27" s="69">
        <v>39420000</v>
      </c>
      <c r="I27" s="70">
        <v>-8.1663760620912712E-2</v>
      </c>
      <c r="J27" s="69">
        <v>31694545</v>
      </c>
      <c r="K27" s="70">
        <v>-0.19597805682394723</v>
      </c>
      <c r="L27" s="69"/>
      <c r="M27" s="70" t="e">
        <v>#NULL!</v>
      </c>
      <c r="N27" s="69"/>
      <c r="O27" s="70" t="e">
        <v>#NULL!</v>
      </c>
      <c r="P27" s="69"/>
      <c r="Q27" s="70" t="e">
        <v>#NULL!</v>
      </c>
    </row>
    <row r="28" spans="1:17" x14ac:dyDescent="0.25">
      <c r="A28" s="67">
        <v>3</v>
      </c>
      <c r="B28" s="69">
        <v>25389818</v>
      </c>
      <c r="C28" s="70"/>
      <c r="D28" s="69"/>
      <c r="E28" s="70" t="e">
        <v>#NULL!</v>
      </c>
      <c r="F28" s="69"/>
      <c r="G28" s="70" t="e">
        <v>#NULL!</v>
      </c>
      <c r="H28" s="69"/>
      <c r="I28" s="70" t="e">
        <v>#NULL!</v>
      </c>
      <c r="J28" s="69">
        <v>12872727</v>
      </c>
      <c r="K28" s="70"/>
      <c r="L28" s="69">
        <v>97898193</v>
      </c>
      <c r="M28" s="70">
        <v>6.605085775531478</v>
      </c>
      <c r="N28" s="69">
        <v>381069444</v>
      </c>
      <c r="O28" s="70">
        <v>2.8925074337173924</v>
      </c>
      <c r="P28" s="69"/>
      <c r="Q28" s="70" t="e">
        <v>#NULL!</v>
      </c>
    </row>
    <row r="29" spans="1:17" x14ac:dyDescent="0.25">
      <c r="A29" s="67">
        <v>4</v>
      </c>
      <c r="B29" s="69">
        <v>36936000</v>
      </c>
      <c r="C29" s="70"/>
      <c r="D29" s="69"/>
      <c r="E29" s="70" t="e">
        <v>#NULL!</v>
      </c>
      <c r="F29" s="69"/>
      <c r="G29" s="70" t="e">
        <v>#NULL!</v>
      </c>
      <c r="H29" s="69">
        <v>21393519</v>
      </c>
      <c r="I29" s="70"/>
      <c r="J29" s="69">
        <v>45096364</v>
      </c>
      <c r="K29" s="70">
        <v>1.10794512113692</v>
      </c>
      <c r="L29" s="69">
        <v>270427685</v>
      </c>
      <c r="M29" s="70">
        <v>4.9966627242941364</v>
      </c>
      <c r="N29" s="69">
        <v>303890231</v>
      </c>
      <c r="O29" s="70">
        <v>0.12373935013347469</v>
      </c>
      <c r="P29" s="69"/>
      <c r="Q29" s="70" t="e">
        <v>#NULL!</v>
      </c>
    </row>
    <row r="30" spans="1:17" x14ac:dyDescent="0.25">
      <c r="A30" s="67">
        <v>5</v>
      </c>
      <c r="B30" s="69"/>
      <c r="C30" s="70"/>
      <c r="D30" s="69"/>
      <c r="E30" s="70" t="e">
        <v>#NULL!</v>
      </c>
      <c r="F30" s="69"/>
      <c r="G30" s="70" t="e">
        <v>#NULL!</v>
      </c>
      <c r="H30" s="69"/>
      <c r="I30" s="70" t="e">
        <v>#NULL!</v>
      </c>
      <c r="J30" s="69">
        <v>19135455</v>
      </c>
      <c r="K30" s="70"/>
      <c r="L30" s="69">
        <v>796691853</v>
      </c>
      <c r="M30" s="70">
        <v>40.634330252403196</v>
      </c>
      <c r="N30" s="69">
        <v>4143968889</v>
      </c>
      <c r="O30" s="70">
        <v>4.2014701460741559</v>
      </c>
      <c r="P30" s="69"/>
      <c r="Q30" s="70" t="e">
        <v>#NULL!</v>
      </c>
    </row>
    <row r="31" spans="1:17" x14ac:dyDescent="0.25">
      <c r="A31" s="67">
        <v>6</v>
      </c>
      <c r="B31" s="69">
        <v>305163546</v>
      </c>
      <c r="C31" s="70"/>
      <c r="D31" s="69"/>
      <c r="E31" s="70" t="e">
        <v>#NULL!</v>
      </c>
      <c r="F31" s="69">
        <v>17048182</v>
      </c>
      <c r="G31" s="70"/>
      <c r="H31" s="69"/>
      <c r="I31" s="70" t="e">
        <v>#NULL!</v>
      </c>
      <c r="J31" s="69">
        <v>5498182</v>
      </c>
      <c r="K31" s="70"/>
      <c r="L31" s="69">
        <v>3329951589</v>
      </c>
      <c r="M31" s="70">
        <v>604.64593696607346</v>
      </c>
      <c r="N31" s="69">
        <v>1671288379</v>
      </c>
      <c r="O31" s="70">
        <v>-0.49810430141962042</v>
      </c>
      <c r="P31" s="69"/>
      <c r="Q31" s="70" t="e">
        <v>#NULL!</v>
      </c>
    </row>
    <row r="32" spans="1:17" x14ac:dyDescent="0.25">
      <c r="A32" s="67">
        <v>7</v>
      </c>
      <c r="B32" s="69"/>
      <c r="C32" s="70"/>
      <c r="D32" s="69"/>
      <c r="E32" s="70" t="e">
        <v>#NULL!</v>
      </c>
      <c r="F32" s="69"/>
      <c r="G32" s="70" t="e">
        <v>#NULL!</v>
      </c>
      <c r="H32" s="69">
        <v>93580556</v>
      </c>
      <c r="I32" s="70"/>
      <c r="J32" s="69"/>
      <c r="K32" s="70" t="e">
        <v>#NULL!</v>
      </c>
      <c r="L32" s="69">
        <v>31668473</v>
      </c>
      <c r="M32" s="70"/>
      <c r="N32" s="69">
        <v>2986425000</v>
      </c>
      <c r="O32" s="70">
        <v>93.302778665709582</v>
      </c>
      <c r="P32" s="69"/>
      <c r="Q32" s="70" t="e">
        <v>#NULL!</v>
      </c>
    </row>
    <row r="33" spans="1:17" x14ac:dyDescent="0.25">
      <c r="A33" s="67">
        <v>8</v>
      </c>
      <c r="B33" s="69">
        <v>8130000</v>
      </c>
      <c r="C33" s="70"/>
      <c r="D33" s="69"/>
      <c r="E33" s="70" t="e">
        <v>#NULL!</v>
      </c>
      <c r="F33" s="69"/>
      <c r="G33" s="70" t="e">
        <v>#NULL!</v>
      </c>
      <c r="H33" s="69">
        <v>23845833</v>
      </c>
      <c r="I33" s="70"/>
      <c r="J33" s="69">
        <v>7280556</v>
      </c>
      <c r="K33" s="70">
        <v>-0.69468225328928535</v>
      </c>
      <c r="L33" s="69">
        <v>2545599083</v>
      </c>
      <c r="M33" s="70">
        <v>348.64350016674553</v>
      </c>
      <c r="N33" s="69">
        <v>1382540001</v>
      </c>
      <c r="O33" s="70">
        <v>-0.4568901245161236</v>
      </c>
      <c r="P33" s="69"/>
      <c r="Q33" s="70" t="e">
        <v>#NULL!</v>
      </c>
    </row>
    <row r="34" spans="1:17" x14ac:dyDescent="0.25">
      <c r="A34" s="67">
        <v>9</v>
      </c>
      <c r="B34" s="69">
        <v>5890909</v>
      </c>
      <c r="C34" s="70"/>
      <c r="D34" s="69"/>
      <c r="E34" s="70" t="e">
        <v>#NULL!</v>
      </c>
      <c r="F34" s="69"/>
      <c r="G34" s="70" t="e">
        <v>#NULL!</v>
      </c>
      <c r="H34" s="69"/>
      <c r="I34" s="70" t="e">
        <v>#NULL!</v>
      </c>
      <c r="J34" s="69"/>
      <c r="K34" s="70" t="e">
        <v>#NULL!</v>
      </c>
      <c r="L34" s="69">
        <v>1412596478</v>
      </c>
      <c r="M34" s="70"/>
      <c r="N34" s="69">
        <v>2762150593</v>
      </c>
      <c r="O34" s="70">
        <v>0.95537128685945938</v>
      </c>
      <c r="P34" s="69"/>
      <c r="Q34" s="70" t="e">
        <v>#NULL!</v>
      </c>
    </row>
    <row r="35" spans="1:17" x14ac:dyDescent="0.25">
      <c r="A35" s="67">
        <v>10</v>
      </c>
      <c r="B35" s="69">
        <v>16966364</v>
      </c>
      <c r="C35" s="70"/>
      <c r="D35" s="69">
        <v>53124545</v>
      </c>
      <c r="E35" s="70">
        <v>2.1311685285073456</v>
      </c>
      <c r="F35" s="69"/>
      <c r="G35" s="70" t="e">
        <v>#NULL!</v>
      </c>
      <c r="H35" s="69">
        <v>7921296</v>
      </c>
      <c r="I35" s="70"/>
      <c r="J35" s="69">
        <v>32600926</v>
      </c>
      <c r="K35" s="70">
        <v>3.1156050727052746</v>
      </c>
      <c r="L35" s="69">
        <v>878561920</v>
      </c>
      <c r="M35" s="70">
        <v>25.948986663753047</v>
      </c>
      <c r="N35" s="69">
        <v>3632080556</v>
      </c>
      <c r="O35" s="70">
        <v>3.1341201722014085</v>
      </c>
      <c r="P35" s="69"/>
      <c r="Q35" s="70" t="e">
        <v>#NULL!</v>
      </c>
    </row>
    <row r="36" spans="1:17" x14ac:dyDescent="0.25">
      <c r="A36" s="67">
        <v>11</v>
      </c>
      <c r="B36" s="69"/>
      <c r="C36" s="70"/>
      <c r="D36" s="69"/>
      <c r="E36" s="70" t="e">
        <v>#NULL!</v>
      </c>
      <c r="F36" s="69"/>
      <c r="G36" s="70" t="e">
        <v>#NULL!</v>
      </c>
      <c r="H36" s="69">
        <v>41319213</v>
      </c>
      <c r="I36" s="70"/>
      <c r="J36" s="69">
        <v>170666666</v>
      </c>
      <c r="K36" s="70">
        <v>3.1304432879687227</v>
      </c>
      <c r="L36" s="69">
        <v>3484943029</v>
      </c>
      <c r="M36" s="70">
        <v>19.419588140310893</v>
      </c>
      <c r="N36" s="69">
        <v>2867827833</v>
      </c>
      <c r="O36" s="70">
        <v>-0.17708042595378681</v>
      </c>
      <c r="P36" s="69"/>
      <c r="Q36" s="70" t="e">
        <v>#NULL!</v>
      </c>
    </row>
    <row r="37" spans="1:17" x14ac:dyDescent="0.25">
      <c r="A37" s="67">
        <v>12</v>
      </c>
      <c r="B37" s="69">
        <v>54615455</v>
      </c>
      <c r="C37" s="70"/>
      <c r="D37" s="69"/>
      <c r="E37" s="70" t="e">
        <v>#NULL!</v>
      </c>
      <c r="F37" s="69"/>
      <c r="G37" s="70" t="e">
        <v>#NULL!</v>
      </c>
      <c r="H37" s="69">
        <v>296296296</v>
      </c>
      <c r="I37" s="70"/>
      <c r="J37" s="69"/>
      <c r="K37" s="70" t="e">
        <v>#NULL!</v>
      </c>
      <c r="L37" s="69">
        <v>1186570232</v>
      </c>
      <c r="M37" s="70"/>
      <c r="N37" s="69">
        <v>1841254028</v>
      </c>
      <c r="O37" s="70">
        <v>0.55174466571313752</v>
      </c>
      <c r="P37" s="69"/>
      <c r="Q37" s="70" t="e">
        <v>#NULL!</v>
      </c>
    </row>
    <row r="38" spans="1:17" x14ac:dyDescent="0.25">
      <c r="A38" s="67" t="s">
        <v>2542</v>
      </c>
      <c r="B38" s="69">
        <v>476844819</v>
      </c>
      <c r="C38" s="70"/>
      <c r="D38" s="69">
        <v>203332590</v>
      </c>
      <c r="E38" s="70">
        <v>-0.57358750289787674</v>
      </c>
      <c r="F38" s="69">
        <v>92980909</v>
      </c>
      <c r="G38" s="70">
        <v>-0.54271516927020902</v>
      </c>
      <c r="H38" s="69">
        <v>523776713</v>
      </c>
      <c r="I38" s="70">
        <v>4.6331640401579639</v>
      </c>
      <c r="J38" s="69">
        <v>324845421</v>
      </c>
      <c r="K38" s="70">
        <v>-0.37980171142125596</v>
      </c>
      <c r="L38" s="69">
        <v>14034908535</v>
      </c>
      <c r="M38" s="70">
        <v>42.204883392830709</v>
      </c>
      <c r="N38" s="69">
        <v>22844503195</v>
      </c>
      <c r="O38" s="70">
        <v>0.62769163318954257</v>
      </c>
      <c r="P38" s="69">
        <v>1974673521</v>
      </c>
      <c r="Q38" s="70">
        <v>-0.91356023354308713</v>
      </c>
    </row>
    <row r="40" spans="1:17" x14ac:dyDescent="0.25">
      <c r="A40" s="68" t="s">
        <v>9</v>
      </c>
      <c r="B40" s="67" t="s">
        <v>17</v>
      </c>
    </row>
    <row r="42" spans="1:17" x14ac:dyDescent="0.25">
      <c r="B42" s="68" t="s">
        <v>0</v>
      </c>
    </row>
    <row r="43" spans="1:17" x14ac:dyDescent="0.25">
      <c r="B43" s="67">
        <v>2019</v>
      </c>
      <c r="D43" s="67">
        <v>2020</v>
      </c>
      <c r="F43" s="67">
        <v>2021</v>
      </c>
      <c r="H43" s="67">
        <v>2022</v>
      </c>
      <c r="J43" s="67">
        <v>2023</v>
      </c>
      <c r="L43" s="67">
        <v>2024</v>
      </c>
      <c r="N43" s="67">
        <v>2025</v>
      </c>
      <c r="P43" s="67">
        <v>2026</v>
      </c>
    </row>
    <row r="44" spans="1:17" x14ac:dyDescent="0.25">
      <c r="A44" s="68" t="s">
        <v>1</v>
      </c>
      <c r="B44" s="67" t="s">
        <v>2554</v>
      </c>
      <c r="C44" s="67" t="s">
        <v>2555</v>
      </c>
      <c r="D44" s="67" t="s">
        <v>2554</v>
      </c>
      <c r="E44" s="67" t="s">
        <v>2555</v>
      </c>
      <c r="F44" s="67" t="s">
        <v>2554</v>
      </c>
      <c r="G44" s="67" t="s">
        <v>2555</v>
      </c>
      <c r="H44" s="67" t="s">
        <v>2554</v>
      </c>
      <c r="I44" s="67" t="s">
        <v>2555</v>
      </c>
      <c r="J44" s="67" t="s">
        <v>2554</v>
      </c>
      <c r="K44" s="67" t="s">
        <v>2555</v>
      </c>
      <c r="L44" s="67" t="s">
        <v>2554</v>
      </c>
      <c r="M44" s="67" t="s">
        <v>2555</v>
      </c>
      <c r="N44" s="67" t="s">
        <v>2554</v>
      </c>
      <c r="O44" s="67" t="s">
        <v>2555</v>
      </c>
      <c r="P44" s="67" t="s">
        <v>2554</v>
      </c>
      <c r="Q44" s="67" t="s">
        <v>2555</v>
      </c>
    </row>
    <row r="45" spans="1:17" x14ac:dyDescent="0.25">
      <c r="A45" s="67">
        <v>1</v>
      </c>
      <c r="B45" s="69">
        <v>52966955</v>
      </c>
      <c r="C45" s="70"/>
      <c r="D45" s="69"/>
      <c r="E45" s="70" t="e">
        <v>#NULL!</v>
      </c>
      <c r="F45" s="69">
        <v>9160909</v>
      </c>
      <c r="G45" s="70"/>
      <c r="H45" s="69">
        <v>24034545</v>
      </c>
      <c r="I45" s="70">
        <v>1.6235982695603679</v>
      </c>
      <c r="J45" s="69">
        <v>170794409</v>
      </c>
      <c r="K45" s="70">
        <v>6.1062052142031398</v>
      </c>
      <c r="L45" s="69">
        <v>43450926</v>
      </c>
      <c r="M45" s="70">
        <v>-0.7455951500145418</v>
      </c>
      <c r="N45" s="69">
        <v>699045186</v>
      </c>
      <c r="O45" s="70">
        <v>15.088153932553704</v>
      </c>
      <c r="P45" s="69">
        <v>185056667</v>
      </c>
      <c r="Q45" s="70">
        <v>-0.73527223889644233</v>
      </c>
    </row>
    <row r="46" spans="1:17" x14ac:dyDescent="0.25">
      <c r="A46" s="67">
        <v>2</v>
      </c>
      <c r="B46" s="69"/>
      <c r="C46" s="70"/>
      <c r="D46" s="69"/>
      <c r="E46" s="70" t="e">
        <v>#NULL!</v>
      </c>
      <c r="F46" s="69"/>
      <c r="G46" s="70" t="e">
        <v>#NULL!</v>
      </c>
      <c r="H46" s="69">
        <v>14580000</v>
      </c>
      <c r="I46" s="70"/>
      <c r="J46" s="69">
        <v>253316001</v>
      </c>
      <c r="K46" s="70">
        <v>16.374211316872429</v>
      </c>
      <c r="L46" s="69">
        <v>252951036</v>
      </c>
      <c r="M46" s="70">
        <v>-1.4407498877262001E-3</v>
      </c>
      <c r="N46" s="69">
        <v>1183360325</v>
      </c>
      <c r="O46" s="70">
        <v>3.678218930085742</v>
      </c>
      <c r="P46" s="69"/>
      <c r="Q46" s="70" t="e">
        <v>#NULL!</v>
      </c>
    </row>
    <row r="47" spans="1:17" x14ac:dyDescent="0.25">
      <c r="A47" s="67">
        <v>3</v>
      </c>
      <c r="B47" s="69"/>
      <c r="C47" s="70"/>
      <c r="D47" s="69">
        <v>0</v>
      </c>
      <c r="E47" s="70"/>
      <c r="F47" s="69">
        <v>42807273</v>
      </c>
      <c r="G47" s="70" t="e">
        <v>#DIV/0!</v>
      </c>
      <c r="H47" s="69"/>
      <c r="I47" s="70" t="e">
        <v>#NULL!</v>
      </c>
      <c r="J47" s="69">
        <v>407474410</v>
      </c>
      <c r="K47" s="70"/>
      <c r="L47" s="69">
        <v>27500001</v>
      </c>
      <c r="M47" s="70">
        <v>-0.93251109683182309</v>
      </c>
      <c r="N47" s="69">
        <v>1878796713</v>
      </c>
      <c r="O47" s="70">
        <v>67.319877988368077</v>
      </c>
      <c r="P47" s="69"/>
      <c r="Q47" s="70" t="e">
        <v>#NULL!</v>
      </c>
    </row>
    <row r="48" spans="1:17" x14ac:dyDescent="0.25">
      <c r="A48" s="67">
        <v>4</v>
      </c>
      <c r="B48" s="69"/>
      <c r="C48" s="70"/>
      <c r="D48" s="69"/>
      <c r="E48" s="70" t="e">
        <v>#NULL!</v>
      </c>
      <c r="F48" s="69"/>
      <c r="G48" s="70" t="e">
        <v>#NULL!</v>
      </c>
      <c r="H48" s="69"/>
      <c r="I48" s="70" t="e">
        <v>#NULL!</v>
      </c>
      <c r="J48" s="69">
        <v>145324818</v>
      </c>
      <c r="K48" s="70"/>
      <c r="L48" s="69">
        <v>103323981</v>
      </c>
      <c r="M48" s="70">
        <v>-0.28901351866822911</v>
      </c>
      <c r="N48" s="69">
        <v>289953935</v>
      </c>
      <c r="O48" s="70">
        <v>1.8062598071980986</v>
      </c>
      <c r="P48" s="69"/>
      <c r="Q48" s="70" t="e">
        <v>#NULL!</v>
      </c>
    </row>
    <row r="49" spans="1:17" x14ac:dyDescent="0.25">
      <c r="A49" s="67">
        <v>5</v>
      </c>
      <c r="B49" s="69">
        <v>22621818</v>
      </c>
      <c r="C49" s="70"/>
      <c r="D49" s="69"/>
      <c r="E49" s="70" t="e">
        <v>#NULL!</v>
      </c>
      <c r="F49" s="69">
        <v>37387272</v>
      </c>
      <c r="G49" s="70"/>
      <c r="H49" s="69"/>
      <c r="I49" s="70" t="e">
        <v>#NULL!</v>
      </c>
      <c r="J49" s="69">
        <v>589663272</v>
      </c>
      <c r="K49" s="70"/>
      <c r="L49" s="69">
        <v>84249260</v>
      </c>
      <c r="M49" s="70">
        <v>-0.85712310058883912</v>
      </c>
      <c r="N49" s="69">
        <v>580108009</v>
      </c>
      <c r="O49" s="70">
        <v>5.8856154819638773</v>
      </c>
      <c r="P49" s="69"/>
      <c r="Q49" s="70" t="e">
        <v>#NULL!</v>
      </c>
    </row>
    <row r="50" spans="1:17" x14ac:dyDescent="0.25">
      <c r="A50" s="67">
        <v>6</v>
      </c>
      <c r="B50" s="69">
        <v>38167545</v>
      </c>
      <c r="C50" s="70"/>
      <c r="D50" s="69"/>
      <c r="E50" s="70" t="e">
        <v>#NULL!</v>
      </c>
      <c r="F50" s="69"/>
      <c r="G50" s="70" t="e">
        <v>#NULL!</v>
      </c>
      <c r="H50" s="69"/>
      <c r="I50" s="70" t="e">
        <v>#NULL!</v>
      </c>
      <c r="J50" s="69">
        <v>27240000</v>
      </c>
      <c r="K50" s="70"/>
      <c r="L50" s="69">
        <v>790075695</v>
      </c>
      <c r="M50" s="70">
        <v>28.004247246696035</v>
      </c>
      <c r="N50" s="69">
        <v>2034707870</v>
      </c>
      <c r="O50" s="70">
        <v>1.5753328230151415</v>
      </c>
      <c r="P50" s="69"/>
      <c r="Q50" s="70" t="e">
        <v>#NULL!</v>
      </c>
    </row>
    <row r="51" spans="1:17" x14ac:dyDescent="0.25">
      <c r="A51" s="67">
        <v>7</v>
      </c>
      <c r="B51" s="69"/>
      <c r="C51" s="70"/>
      <c r="D51" s="69"/>
      <c r="E51" s="70" t="e">
        <v>#NULL!</v>
      </c>
      <c r="F51" s="69"/>
      <c r="G51" s="70" t="e">
        <v>#NULL!</v>
      </c>
      <c r="H51" s="69">
        <v>6637500</v>
      </c>
      <c r="I51" s="70"/>
      <c r="J51" s="69">
        <v>5189815</v>
      </c>
      <c r="K51" s="70">
        <v>-0.21810696798493409</v>
      </c>
      <c r="L51" s="69">
        <v>596261111</v>
      </c>
      <c r="M51" s="70">
        <v>113.89062924208281</v>
      </c>
      <c r="N51" s="69">
        <v>1121479677</v>
      </c>
      <c r="O51" s="70">
        <v>0.88085329784319943</v>
      </c>
      <c r="P51" s="69"/>
      <c r="Q51" s="70" t="e">
        <v>#NULL!</v>
      </c>
    </row>
    <row r="52" spans="1:17" x14ac:dyDescent="0.25">
      <c r="A52" s="67">
        <v>8</v>
      </c>
      <c r="B52" s="69">
        <v>2239091</v>
      </c>
      <c r="C52" s="70"/>
      <c r="D52" s="69"/>
      <c r="E52" s="70" t="e">
        <v>#NULL!</v>
      </c>
      <c r="F52" s="69"/>
      <c r="G52" s="70" t="e">
        <v>#NULL!</v>
      </c>
      <c r="H52" s="69">
        <v>88261204</v>
      </c>
      <c r="I52" s="70"/>
      <c r="J52" s="69"/>
      <c r="K52" s="70" t="e">
        <v>#NULL!</v>
      </c>
      <c r="L52" s="69"/>
      <c r="M52" s="70" t="e">
        <v>#NULL!</v>
      </c>
      <c r="N52" s="69">
        <v>592060046</v>
      </c>
      <c r="O52" s="70"/>
      <c r="P52" s="69"/>
      <c r="Q52" s="70" t="e">
        <v>#NULL!</v>
      </c>
    </row>
    <row r="53" spans="1:17" x14ac:dyDescent="0.25">
      <c r="A53" s="67">
        <v>9</v>
      </c>
      <c r="B53" s="69"/>
      <c r="C53" s="70"/>
      <c r="D53" s="69"/>
      <c r="E53" s="70" t="e">
        <v>#NULL!</v>
      </c>
      <c r="F53" s="69"/>
      <c r="G53" s="70" t="e">
        <v>#NULL!</v>
      </c>
      <c r="H53" s="69">
        <v>47254629</v>
      </c>
      <c r="I53" s="70"/>
      <c r="J53" s="69"/>
      <c r="K53" s="70" t="e">
        <v>#NULL!</v>
      </c>
      <c r="L53" s="69">
        <v>61415926</v>
      </c>
      <c r="M53" s="70"/>
      <c r="N53" s="69">
        <v>53105000</v>
      </c>
      <c r="O53" s="70">
        <v>-0.13532200100670957</v>
      </c>
      <c r="P53" s="69"/>
      <c r="Q53" s="70" t="e">
        <v>#NULL!</v>
      </c>
    </row>
    <row r="54" spans="1:17" x14ac:dyDescent="0.25">
      <c r="A54" s="67">
        <v>10</v>
      </c>
      <c r="B54" s="69">
        <v>37386364</v>
      </c>
      <c r="C54" s="70"/>
      <c r="D54" s="69"/>
      <c r="E54" s="70" t="e">
        <v>#NULL!</v>
      </c>
      <c r="F54" s="69"/>
      <c r="G54" s="70" t="e">
        <v>#NULL!</v>
      </c>
      <c r="H54" s="69"/>
      <c r="I54" s="70" t="e">
        <v>#NULL!</v>
      </c>
      <c r="J54" s="69">
        <v>17576852</v>
      </c>
      <c r="K54" s="70"/>
      <c r="L54" s="69">
        <v>262185185</v>
      </c>
      <c r="M54" s="70">
        <v>13.916504104375459</v>
      </c>
      <c r="N54" s="69"/>
      <c r="O54" s="70" t="e">
        <v>#NULL!</v>
      </c>
      <c r="P54" s="69"/>
      <c r="Q54" s="70" t="e">
        <v>#NULL!</v>
      </c>
    </row>
    <row r="55" spans="1:17" x14ac:dyDescent="0.25">
      <c r="A55" s="67">
        <v>11</v>
      </c>
      <c r="B55" s="69"/>
      <c r="C55" s="70"/>
      <c r="D55" s="69"/>
      <c r="E55" s="70" t="e">
        <v>#NULL!</v>
      </c>
      <c r="F55" s="69"/>
      <c r="G55" s="70" t="e">
        <v>#NULL!</v>
      </c>
      <c r="H55" s="69">
        <v>7921296</v>
      </c>
      <c r="I55" s="70"/>
      <c r="J55" s="69">
        <v>111058890</v>
      </c>
      <c r="K55" s="70">
        <v>13.020292891466244</v>
      </c>
      <c r="L55" s="69">
        <v>1343332454</v>
      </c>
      <c r="M55" s="70">
        <v>11.095676933201835</v>
      </c>
      <c r="N55" s="69">
        <v>67456157</v>
      </c>
      <c r="O55" s="70">
        <v>-0.94978446564055097</v>
      </c>
      <c r="P55" s="69"/>
      <c r="Q55" s="70" t="e">
        <v>#NULL!</v>
      </c>
    </row>
    <row r="56" spans="1:17" x14ac:dyDescent="0.25">
      <c r="A56" s="67">
        <v>12</v>
      </c>
      <c r="B56" s="69">
        <v>29435455</v>
      </c>
      <c r="C56" s="70"/>
      <c r="D56" s="69"/>
      <c r="E56" s="70" t="e">
        <v>#NULL!</v>
      </c>
      <c r="F56" s="69"/>
      <c r="G56" s="70" t="e">
        <v>#NULL!</v>
      </c>
      <c r="H56" s="69">
        <v>774541297</v>
      </c>
      <c r="I56" s="70"/>
      <c r="J56" s="69">
        <v>621780000</v>
      </c>
      <c r="K56" s="70">
        <v>-0.19722808530892316</v>
      </c>
      <c r="L56" s="69">
        <v>352505093</v>
      </c>
      <c r="M56" s="70">
        <v>-0.433071033162855</v>
      </c>
      <c r="N56" s="69">
        <v>1309413251</v>
      </c>
      <c r="O56" s="70">
        <v>2.7145938512723844</v>
      </c>
      <c r="P56" s="69"/>
      <c r="Q56" s="70" t="e">
        <v>#NULL!</v>
      </c>
    </row>
    <row r="57" spans="1:17" x14ac:dyDescent="0.25">
      <c r="A57" s="67" t="s">
        <v>2542</v>
      </c>
      <c r="B57" s="69">
        <v>182817228</v>
      </c>
      <c r="C57" s="70"/>
      <c r="D57" s="69">
        <v>0</v>
      </c>
      <c r="E57" s="70">
        <v>-1</v>
      </c>
      <c r="F57" s="69">
        <v>89355454</v>
      </c>
      <c r="G57" s="70" t="e">
        <v>#DIV/0!</v>
      </c>
      <c r="H57" s="69">
        <v>963230471</v>
      </c>
      <c r="I57" s="70">
        <v>9.7797613674482591</v>
      </c>
      <c r="J57" s="69">
        <v>2349418467</v>
      </c>
      <c r="K57" s="70">
        <v>1.4391031406646604</v>
      </c>
      <c r="L57" s="69">
        <v>3917250668</v>
      </c>
      <c r="M57" s="70">
        <v>0.66732777622284689</v>
      </c>
      <c r="N57" s="69">
        <v>9809486169</v>
      </c>
      <c r="O57" s="70">
        <v>1.5041762706516693</v>
      </c>
      <c r="P57" s="69">
        <v>185056667</v>
      </c>
      <c r="Q57" s="70">
        <v>-0.98113492757808074</v>
      </c>
    </row>
    <row r="59" spans="1:17" x14ac:dyDescent="0.25">
      <c r="A59" s="68" t="s">
        <v>9</v>
      </c>
      <c r="B59" s="67" t="s">
        <v>21</v>
      </c>
    </row>
    <row r="61" spans="1:17" x14ac:dyDescent="0.25">
      <c r="B61" s="68" t="s">
        <v>0</v>
      </c>
      <c r="L61"/>
      <c r="M61"/>
      <c r="N61"/>
      <c r="O61"/>
    </row>
    <row r="62" spans="1:17" x14ac:dyDescent="0.25">
      <c r="B62" s="67">
        <v>2022</v>
      </c>
      <c r="D62" s="67">
        <v>2023</v>
      </c>
      <c r="F62" s="67">
        <v>2024</v>
      </c>
      <c r="H62" s="67">
        <v>2025</v>
      </c>
      <c r="J62" s="67">
        <v>2026</v>
      </c>
      <c r="L62"/>
      <c r="M62"/>
      <c r="N62"/>
      <c r="O62"/>
    </row>
    <row r="63" spans="1:17" x14ac:dyDescent="0.25">
      <c r="A63" s="68" t="s">
        <v>1</v>
      </c>
      <c r="B63" s="67" t="s">
        <v>2554</v>
      </c>
      <c r="C63" s="67" t="s">
        <v>2555</v>
      </c>
      <c r="D63" s="67" t="s">
        <v>2554</v>
      </c>
      <c r="E63" s="67" t="s">
        <v>2555</v>
      </c>
      <c r="F63" s="67" t="s">
        <v>2554</v>
      </c>
      <c r="G63" s="67" t="s">
        <v>2555</v>
      </c>
      <c r="H63" s="67" t="s">
        <v>2554</v>
      </c>
      <c r="I63" s="67" t="s">
        <v>2555</v>
      </c>
      <c r="J63" s="67" t="s">
        <v>2554</v>
      </c>
      <c r="K63" s="67" t="s">
        <v>2555</v>
      </c>
      <c r="L63"/>
      <c r="M63"/>
      <c r="N63"/>
      <c r="O63"/>
    </row>
    <row r="64" spans="1:17" x14ac:dyDescent="0.25">
      <c r="A64" s="67">
        <v>1</v>
      </c>
      <c r="B64" s="69"/>
      <c r="C64" s="70"/>
      <c r="D64" s="69">
        <v>7777273</v>
      </c>
      <c r="E64" s="70"/>
      <c r="F64" s="69"/>
      <c r="G64" s="70" t="e">
        <v>#NULL!</v>
      </c>
      <c r="H64" s="69">
        <v>12176852</v>
      </c>
      <c r="I64" s="70"/>
      <c r="J64" s="69">
        <v>85975926</v>
      </c>
      <c r="K64" s="70">
        <v>6.0606036765495714</v>
      </c>
      <c r="L64"/>
      <c r="M64"/>
      <c r="N64"/>
      <c r="O64"/>
    </row>
    <row r="65" spans="1:15" x14ac:dyDescent="0.25">
      <c r="A65" s="67">
        <v>2</v>
      </c>
      <c r="B65" s="69"/>
      <c r="C65" s="70"/>
      <c r="D65" s="69">
        <v>16733636</v>
      </c>
      <c r="E65" s="70"/>
      <c r="F65" s="69"/>
      <c r="G65" s="70" t="e">
        <v>#NULL!</v>
      </c>
      <c r="H65" s="69">
        <v>18625926</v>
      </c>
      <c r="I65" s="70"/>
      <c r="J65" s="69"/>
      <c r="K65" s="70" t="e">
        <v>#NULL!</v>
      </c>
      <c r="L65"/>
      <c r="M65"/>
      <c r="N65"/>
      <c r="O65"/>
    </row>
    <row r="66" spans="1:15" x14ac:dyDescent="0.25">
      <c r="A66" s="67">
        <v>3</v>
      </c>
      <c r="B66" s="69"/>
      <c r="C66" s="70"/>
      <c r="D66" s="69">
        <v>37201818</v>
      </c>
      <c r="E66" s="70"/>
      <c r="F66" s="69">
        <v>13662964</v>
      </c>
      <c r="G66" s="70">
        <v>-0.63273397015167376</v>
      </c>
      <c r="H66" s="69">
        <v>44501853</v>
      </c>
      <c r="I66" s="70">
        <v>2.2571155863398307</v>
      </c>
      <c r="J66" s="69"/>
      <c r="K66" s="70" t="e">
        <v>#NULL!</v>
      </c>
      <c r="L66"/>
      <c r="M66"/>
      <c r="N66"/>
      <c r="O66"/>
    </row>
    <row r="67" spans="1:15" x14ac:dyDescent="0.25">
      <c r="A67" s="67">
        <v>4</v>
      </c>
      <c r="B67" s="69"/>
      <c r="C67" s="70"/>
      <c r="D67" s="69"/>
      <c r="E67" s="70" t="e">
        <v>#NULL!</v>
      </c>
      <c r="F67" s="69">
        <v>56441667</v>
      </c>
      <c r="G67" s="70"/>
      <c r="H67" s="69">
        <v>16425000</v>
      </c>
      <c r="I67" s="70">
        <v>-0.70899158595014566</v>
      </c>
      <c r="J67" s="69"/>
      <c r="K67" s="70" t="e">
        <v>#NULL!</v>
      </c>
      <c r="L67"/>
      <c r="M67"/>
      <c r="N67"/>
      <c r="O67"/>
    </row>
    <row r="68" spans="1:15" x14ac:dyDescent="0.25">
      <c r="A68" s="67">
        <v>5</v>
      </c>
      <c r="B68" s="69"/>
      <c r="C68" s="70"/>
      <c r="D68" s="69">
        <v>10996364</v>
      </c>
      <c r="E68" s="70"/>
      <c r="F68" s="69">
        <v>31715741</v>
      </c>
      <c r="G68" s="70">
        <v>1.8842025418583817</v>
      </c>
      <c r="H68" s="69">
        <v>42575926</v>
      </c>
      <c r="I68" s="70">
        <v>0.34242255288943113</v>
      </c>
      <c r="J68" s="69"/>
      <c r="K68" s="70" t="e">
        <v>#NULL!</v>
      </c>
      <c r="L68"/>
      <c r="M68"/>
      <c r="N68"/>
      <c r="O68"/>
    </row>
    <row r="69" spans="1:15" x14ac:dyDescent="0.25">
      <c r="A69" s="67">
        <v>6</v>
      </c>
      <c r="B69" s="69"/>
      <c r="C69" s="70"/>
      <c r="D69" s="69">
        <v>22562728</v>
      </c>
      <c r="E69" s="70"/>
      <c r="F69" s="69">
        <v>12836111</v>
      </c>
      <c r="G69" s="70">
        <v>-0.43109224203739904</v>
      </c>
      <c r="H69" s="69">
        <v>6400000</v>
      </c>
      <c r="I69" s="70">
        <v>-0.50140661762741068</v>
      </c>
      <c r="J69" s="69"/>
      <c r="K69" s="70" t="e">
        <v>#NULL!</v>
      </c>
      <c r="L69"/>
      <c r="M69"/>
      <c r="N69"/>
      <c r="O69"/>
    </row>
    <row r="70" spans="1:15" x14ac:dyDescent="0.25">
      <c r="A70" s="67">
        <v>7</v>
      </c>
      <c r="B70" s="69"/>
      <c r="C70" s="70"/>
      <c r="D70" s="69">
        <v>15600000</v>
      </c>
      <c r="E70" s="70"/>
      <c r="F70" s="69">
        <v>61579629</v>
      </c>
      <c r="G70" s="70">
        <v>2.9474121153846156</v>
      </c>
      <c r="H70" s="69">
        <v>79868519</v>
      </c>
      <c r="I70" s="70">
        <v>0.29699578086123252</v>
      </c>
      <c r="J70" s="69"/>
      <c r="K70" s="70" t="e">
        <v>#NULL!</v>
      </c>
      <c r="L70"/>
      <c r="M70"/>
      <c r="N70"/>
      <c r="O70"/>
    </row>
    <row r="71" spans="1:15" x14ac:dyDescent="0.25">
      <c r="A71" s="67">
        <v>8</v>
      </c>
      <c r="B71" s="69"/>
      <c r="C71" s="70"/>
      <c r="D71" s="69">
        <v>6009259</v>
      </c>
      <c r="E71" s="70"/>
      <c r="F71" s="69">
        <v>7065741</v>
      </c>
      <c r="G71" s="70">
        <v>0.17580903069746204</v>
      </c>
      <c r="H71" s="69">
        <v>4248148</v>
      </c>
      <c r="I71" s="70">
        <v>-0.39876822544160617</v>
      </c>
      <c r="J71" s="69"/>
      <c r="K71" s="70" t="e">
        <v>#NULL!</v>
      </c>
      <c r="L71"/>
      <c r="M71"/>
      <c r="N71"/>
      <c r="O71"/>
    </row>
    <row r="72" spans="1:15" x14ac:dyDescent="0.25">
      <c r="A72" s="67">
        <v>9</v>
      </c>
      <c r="B72" s="69"/>
      <c r="C72" s="70"/>
      <c r="D72" s="69"/>
      <c r="E72" s="70" t="e">
        <v>#NULL!</v>
      </c>
      <c r="F72" s="69">
        <v>14725000</v>
      </c>
      <c r="G72" s="70"/>
      <c r="H72" s="69">
        <v>33352593</v>
      </c>
      <c r="I72" s="70">
        <v>1.2650317826825128</v>
      </c>
      <c r="J72" s="69"/>
      <c r="K72" s="70" t="e">
        <v>#NULL!</v>
      </c>
      <c r="L72"/>
      <c r="M72"/>
      <c r="N72"/>
      <c r="O72"/>
    </row>
    <row r="73" spans="1:15" x14ac:dyDescent="0.25">
      <c r="A73" s="67">
        <v>10</v>
      </c>
      <c r="B73" s="69"/>
      <c r="C73" s="70"/>
      <c r="D73" s="69">
        <v>5189815</v>
      </c>
      <c r="E73" s="70"/>
      <c r="F73" s="69">
        <v>11893519</v>
      </c>
      <c r="G73" s="70">
        <v>1.2917038468615933</v>
      </c>
      <c r="H73" s="69">
        <v>7220000</v>
      </c>
      <c r="I73" s="70">
        <v>-0.39294669643189706</v>
      </c>
      <c r="J73" s="69"/>
      <c r="K73" s="70" t="e">
        <v>#NULL!</v>
      </c>
      <c r="L73"/>
      <c r="M73"/>
      <c r="N73"/>
      <c r="O73"/>
    </row>
    <row r="74" spans="1:15" x14ac:dyDescent="0.25">
      <c r="A74" s="67">
        <v>11</v>
      </c>
      <c r="B74" s="69"/>
      <c r="C74" s="70"/>
      <c r="D74" s="69"/>
      <c r="E74" s="70" t="e">
        <v>#NULL!</v>
      </c>
      <c r="F74" s="69">
        <v>61233427</v>
      </c>
      <c r="G74" s="70"/>
      <c r="H74" s="69">
        <v>27467593</v>
      </c>
      <c r="I74" s="70">
        <v>-0.55142812764668547</v>
      </c>
      <c r="J74" s="69"/>
      <c r="K74" s="70" t="e">
        <v>#NULL!</v>
      </c>
      <c r="L74"/>
      <c r="M74"/>
      <c r="N74"/>
      <c r="O74"/>
    </row>
    <row r="75" spans="1:15" x14ac:dyDescent="0.25">
      <c r="A75" s="67">
        <v>12</v>
      </c>
      <c r="B75" s="69">
        <v>16662037</v>
      </c>
      <c r="C75" s="70"/>
      <c r="D75" s="69">
        <v>19769444</v>
      </c>
      <c r="E75" s="70">
        <v>0.18649622492135864</v>
      </c>
      <c r="F75" s="69"/>
      <c r="G75" s="70" t="e">
        <v>#NULL!</v>
      </c>
      <c r="H75" s="69">
        <v>21804630</v>
      </c>
      <c r="I75" s="70"/>
      <c r="J75" s="69"/>
      <c r="K75" s="70" t="e">
        <v>#NULL!</v>
      </c>
      <c r="L75"/>
      <c r="M75"/>
      <c r="N75"/>
      <c r="O75"/>
    </row>
    <row r="76" spans="1:15" x14ac:dyDescent="0.25">
      <c r="A76" s="67" t="s">
        <v>2542</v>
      </c>
      <c r="B76" s="69">
        <v>16662037</v>
      </c>
      <c r="C76" s="70"/>
      <c r="D76" s="69">
        <v>141840337</v>
      </c>
      <c r="E76" s="70">
        <v>7.5127849013899084</v>
      </c>
      <c r="F76" s="69">
        <v>271153799</v>
      </c>
      <c r="G76" s="70">
        <v>0.91168326820881707</v>
      </c>
      <c r="H76" s="69">
        <v>314667040</v>
      </c>
      <c r="I76" s="70">
        <v>0.16047439187824175</v>
      </c>
      <c r="J76" s="69">
        <v>85975926</v>
      </c>
      <c r="K76" s="70">
        <v>-0.72677174577928472</v>
      </c>
      <c r="L76"/>
      <c r="M76"/>
      <c r="N76"/>
      <c r="O76"/>
    </row>
    <row r="78" spans="1:15" x14ac:dyDescent="0.25">
      <c r="A78" s="68" t="s">
        <v>9</v>
      </c>
      <c r="B78" s="67" t="s">
        <v>28</v>
      </c>
    </row>
    <row r="80" spans="1:15" x14ac:dyDescent="0.25">
      <c r="B80" s="68" t="s">
        <v>0</v>
      </c>
      <c r="H80"/>
      <c r="I80"/>
      <c r="J80"/>
      <c r="K80"/>
      <c r="L80"/>
      <c r="M80"/>
      <c r="N80"/>
      <c r="O80"/>
    </row>
    <row r="81" spans="1:15" x14ac:dyDescent="0.25">
      <c r="B81" s="67">
        <v>2023</v>
      </c>
      <c r="D81" s="67">
        <v>2024</v>
      </c>
      <c r="F81" s="67">
        <v>2025</v>
      </c>
      <c r="H81"/>
      <c r="I81"/>
      <c r="J81"/>
      <c r="K81"/>
      <c r="L81"/>
      <c r="M81"/>
      <c r="N81"/>
      <c r="O81"/>
    </row>
    <row r="82" spans="1:15" x14ac:dyDescent="0.25">
      <c r="A82" s="68" t="s">
        <v>1</v>
      </c>
      <c r="B82" s="67" t="s">
        <v>2554</v>
      </c>
      <c r="C82" s="67" t="s">
        <v>2555</v>
      </c>
      <c r="D82" s="67" t="s">
        <v>2554</v>
      </c>
      <c r="E82" s="67" t="s">
        <v>2555</v>
      </c>
      <c r="F82" s="67" t="s">
        <v>2554</v>
      </c>
      <c r="G82" s="67" t="s">
        <v>2555</v>
      </c>
      <c r="H82"/>
      <c r="I82"/>
      <c r="J82"/>
      <c r="K82"/>
      <c r="L82"/>
      <c r="M82"/>
      <c r="N82"/>
      <c r="O82"/>
    </row>
    <row r="83" spans="1:15" x14ac:dyDescent="0.25">
      <c r="A83" s="67">
        <v>1</v>
      </c>
      <c r="B83" s="69"/>
      <c r="C83" s="70"/>
      <c r="D83" s="69">
        <v>275903750</v>
      </c>
      <c r="E83" s="70"/>
      <c r="F83" s="69">
        <v>15420092</v>
      </c>
      <c r="G83" s="70">
        <v>-0.9441106110373636</v>
      </c>
      <c r="H83"/>
      <c r="I83"/>
      <c r="J83"/>
      <c r="K83"/>
      <c r="L83"/>
      <c r="M83"/>
      <c r="N83"/>
      <c r="O83"/>
    </row>
    <row r="84" spans="1:15" x14ac:dyDescent="0.25">
      <c r="A84" s="67">
        <v>2</v>
      </c>
      <c r="B84" s="69"/>
      <c r="C84" s="70"/>
      <c r="D84" s="69">
        <v>135153055</v>
      </c>
      <c r="E84" s="70"/>
      <c r="F84" s="69">
        <v>8640000</v>
      </c>
      <c r="G84" s="70">
        <v>-0.93607247723701104</v>
      </c>
      <c r="H84"/>
      <c r="I84"/>
      <c r="J84"/>
      <c r="K84"/>
      <c r="L84"/>
      <c r="M84"/>
      <c r="N84"/>
      <c r="O84"/>
    </row>
    <row r="85" spans="1:15" x14ac:dyDescent="0.25">
      <c r="A85" s="67">
        <v>3</v>
      </c>
      <c r="B85" s="69"/>
      <c r="C85" s="70"/>
      <c r="D85" s="69">
        <v>21230556</v>
      </c>
      <c r="E85" s="70"/>
      <c r="F85" s="69">
        <v>7203287</v>
      </c>
      <c r="G85" s="70">
        <v>-0.66071133511529323</v>
      </c>
      <c r="H85"/>
      <c r="I85"/>
      <c r="J85"/>
      <c r="K85"/>
      <c r="L85"/>
      <c r="M85"/>
      <c r="N85"/>
      <c r="O85"/>
    </row>
    <row r="86" spans="1:15" x14ac:dyDescent="0.25">
      <c r="A86" s="67">
        <v>4</v>
      </c>
      <c r="B86" s="69"/>
      <c r="C86" s="70"/>
      <c r="D86" s="69">
        <v>50309629</v>
      </c>
      <c r="E86" s="70"/>
      <c r="F86" s="69"/>
      <c r="G86" s="70" t="e">
        <v>#NULL!</v>
      </c>
      <c r="H86"/>
      <c r="I86"/>
      <c r="J86"/>
      <c r="K86"/>
      <c r="L86"/>
      <c r="M86"/>
      <c r="N86"/>
      <c r="O86"/>
    </row>
    <row r="87" spans="1:15" x14ac:dyDescent="0.25">
      <c r="A87" s="67">
        <v>5</v>
      </c>
      <c r="B87" s="69"/>
      <c r="C87" s="70"/>
      <c r="D87" s="69">
        <v>19767037</v>
      </c>
      <c r="E87" s="70"/>
      <c r="F87" s="69"/>
      <c r="G87" s="70" t="e">
        <v>#NULL!</v>
      </c>
      <c r="H87"/>
      <c r="I87"/>
      <c r="J87"/>
      <c r="K87"/>
      <c r="L87"/>
      <c r="M87"/>
      <c r="N87"/>
      <c r="O87"/>
    </row>
    <row r="88" spans="1:15" x14ac:dyDescent="0.25">
      <c r="A88" s="67">
        <v>6</v>
      </c>
      <c r="B88" s="69"/>
      <c r="C88" s="70"/>
      <c r="D88" s="69">
        <v>16660000</v>
      </c>
      <c r="E88" s="70"/>
      <c r="F88" s="69"/>
      <c r="G88" s="70" t="e">
        <v>#NULL!</v>
      </c>
      <c r="H88"/>
      <c r="I88"/>
      <c r="J88"/>
      <c r="K88"/>
      <c r="L88"/>
      <c r="M88"/>
      <c r="N88"/>
      <c r="O88"/>
    </row>
    <row r="89" spans="1:15" x14ac:dyDescent="0.25">
      <c r="A89" s="67">
        <v>7</v>
      </c>
      <c r="B89" s="69">
        <v>216954630</v>
      </c>
      <c r="C89" s="70"/>
      <c r="D89" s="69">
        <v>21248704</v>
      </c>
      <c r="E89" s="70">
        <v>-0.90205922777494996</v>
      </c>
      <c r="F89" s="69">
        <v>71035185</v>
      </c>
      <c r="G89" s="70">
        <v>2.343036121167672</v>
      </c>
      <c r="H89"/>
      <c r="I89"/>
      <c r="J89"/>
      <c r="K89"/>
      <c r="L89"/>
      <c r="M89"/>
      <c r="N89"/>
      <c r="O89"/>
    </row>
    <row r="90" spans="1:15" x14ac:dyDescent="0.25">
      <c r="A90" s="67">
        <v>8</v>
      </c>
      <c r="B90" s="69">
        <v>326396574</v>
      </c>
      <c r="C90" s="70"/>
      <c r="D90" s="69">
        <v>7200000</v>
      </c>
      <c r="E90" s="70">
        <v>-0.97794094493160943</v>
      </c>
      <c r="F90" s="69">
        <v>16755556</v>
      </c>
      <c r="G90" s="70">
        <v>1.3271605555555555</v>
      </c>
      <c r="H90"/>
      <c r="I90"/>
      <c r="J90"/>
      <c r="K90"/>
      <c r="L90"/>
      <c r="M90"/>
      <c r="N90"/>
      <c r="O90"/>
    </row>
    <row r="91" spans="1:15" x14ac:dyDescent="0.25">
      <c r="A91" s="67">
        <v>9</v>
      </c>
      <c r="B91" s="69">
        <v>213412222</v>
      </c>
      <c r="C91" s="70"/>
      <c r="D91" s="69"/>
      <c r="E91" s="70" t="e">
        <v>#NULL!</v>
      </c>
      <c r="F91" s="69">
        <v>6080556</v>
      </c>
      <c r="G91" s="70"/>
      <c r="H91"/>
      <c r="I91"/>
      <c r="J91"/>
      <c r="K91"/>
      <c r="L91"/>
      <c r="M91"/>
      <c r="N91"/>
      <c r="O91"/>
    </row>
    <row r="92" spans="1:15" x14ac:dyDescent="0.25">
      <c r="A92" s="67">
        <v>10</v>
      </c>
      <c r="B92" s="69">
        <v>536983319</v>
      </c>
      <c r="C92" s="70"/>
      <c r="D92" s="69"/>
      <c r="E92" s="70" t="e">
        <v>#NULL!</v>
      </c>
      <c r="F92" s="69"/>
      <c r="G92" s="70" t="e">
        <v>#NULL!</v>
      </c>
      <c r="H92"/>
      <c r="I92"/>
      <c r="J92"/>
      <c r="K92"/>
      <c r="L92"/>
      <c r="M92"/>
      <c r="N92"/>
      <c r="O92"/>
    </row>
    <row r="93" spans="1:15" x14ac:dyDescent="0.25">
      <c r="A93" s="67">
        <v>11</v>
      </c>
      <c r="B93" s="69">
        <v>224822398</v>
      </c>
      <c r="C93" s="70"/>
      <c r="D93" s="69">
        <v>84255324</v>
      </c>
      <c r="E93" s="70">
        <v>-0.62523607634502676</v>
      </c>
      <c r="F93" s="69"/>
      <c r="G93" s="70" t="e">
        <v>#NULL!</v>
      </c>
      <c r="H93"/>
      <c r="I93"/>
      <c r="J93"/>
      <c r="K93"/>
      <c r="L93"/>
      <c r="M93"/>
      <c r="N93"/>
      <c r="O93"/>
    </row>
    <row r="94" spans="1:15" x14ac:dyDescent="0.25">
      <c r="A94" s="67">
        <v>12</v>
      </c>
      <c r="B94" s="69">
        <v>-81844815</v>
      </c>
      <c r="C94" s="70"/>
      <c r="D94" s="69"/>
      <c r="E94" s="70" t="e">
        <v>#NULL!</v>
      </c>
      <c r="F94" s="69"/>
      <c r="G94" s="70" t="e">
        <v>#NULL!</v>
      </c>
      <c r="H94"/>
      <c r="I94"/>
      <c r="J94"/>
      <c r="K94"/>
      <c r="L94"/>
      <c r="M94"/>
      <c r="N94"/>
      <c r="O94"/>
    </row>
    <row r="95" spans="1:15" x14ac:dyDescent="0.25">
      <c r="A95" s="67" t="s">
        <v>2542</v>
      </c>
      <c r="B95" s="69">
        <v>1436724328</v>
      </c>
      <c r="C95" s="70"/>
      <c r="D95" s="69">
        <v>631728055</v>
      </c>
      <c r="E95" s="70">
        <v>-0.56029974387682258</v>
      </c>
      <c r="F95" s="69">
        <v>125134676</v>
      </c>
      <c r="G95" s="70">
        <v>-0.80191686120382921</v>
      </c>
      <c r="H95"/>
      <c r="I95"/>
      <c r="J95"/>
      <c r="K95"/>
      <c r="L95"/>
      <c r="M95"/>
      <c r="N95"/>
      <c r="O95"/>
    </row>
    <row r="97" spans="1:17" x14ac:dyDescent="0.25">
      <c r="A97" s="68" t="s">
        <v>9</v>
      </c>
      <c r="B97" s="67" t="s">
        <v>17</v>
      </c>
    </row>
    <row r="99" spans="1:17" x14ac:dyDescent="0.25">
      <c r="B99" s="68" t="s">
        <v>0</v>
      </c>
    </row>
    <row r="100" spans="1:17" x14ac:dyDescent="0.25">
      <c r="B100" s="67">
        <v>2019</v>
      </c>
      <c r="D100" s="67">
        <v>2020</v>
      </c>
      <c r="F100" s="67">
        <v>2021</v>
      </c>
      <c r="H100" s="67">
        <v>2022</v>
      </c>
      <c r="J100" s="67">
        <v>2023</v>
      </c>
      <c r="L100" s="67">
        <v>2024</v>
      </c>
      <c r="N100" s="67">
        <v>2025</v>
      </c>
      <c r="P100" s="67">
        <v>2026</v>
      </c>
    </row>
    <row r="101" spans="1:17" x14ac:dyDescent="0.25">
      <c r="A101" s="68" t="s">
        <v>1</v>
      </c>
      <c r="B101" s="67" t="s">
        <v>2554</v>
      </c>
      <c r="C101" s="67" t="s">
        <v>2555</v>
      </c>
      <c r="D101" s="67" t="s">
        <v>2554</v>
      </c>
      <c r="E101" s="67" t="s">
        <v>2555</v>
      </c>
      <c r="F101" s="67" t="s">
        <v>2554</v>
      </c>
      <c r="G101" s="67" t="s">
        <v>2555</v>
      </c>
      <c r="H101" s="67" t="s">
        <v>2554</v>
      </c>
      <c r="I101" s="67" t="s">
        <v>2555</v>
      </c>
      <c r="J101" s="67" t="s">
        <v>2554</v>
      </c>
      <c r="K101" s="67" t="s">
        <v>2555</v>
      </c>
      <c r="L101" s="67" t="s">
        <v>2554</v>
      </c>
      <c r="M101" s="67" t="s">
        <v>2555</v>
      </c>
      <c r="N101" s="67" t="s">
        <v>2554</v>
      </c>
      <c r="O101" s="67" t="s">
        <v>2555</v>
      </c>
      <c r="P101" s="67" t="s">
        <v>2554</v>
      </c>
      <c r="Q101" s="67" t="s">
        <v>2555</v>
      </c>
    </row>
    <row r="102" spans="1:17" x14ac:dyDescent="0.25">
      <c r="A102" s="67">
        <v>1</v>
      </c>
      <c r="B102" s="69">
        <v>52966955</v>
      </c>
      <c r="C102" s="70"/>
      <c r="D102" s="69"/>
      <c r="E102" s="70" t="e">
        <v>#NULL!</v>
      </c>
      <c r="F102" s="69">
        <v>9160909</v>
      </c>
      <c r="G102" s="70"/>
      <c r="H102" s="69">
        <v>24034545</v>
      </c>
      <c r="I102" s="70">
        <v>1.6235982695603679</v>
      </c>
      <c r="J102" s="69">
        <v>170794409</v>
      </c>
      <c r="K102" s="70">
        <v>6.1062052142031398</v>
      </c>
      <c r="L102" s="69">
        <v>43450926</v>
      </c>
      <c r="M102" s="70">
        <v>-0.7455951500145418</v>
      </c>
      <c r="N102" s="69">
        <v>699045186</v>
      </c>
      <c r="O102" s="70">
        <v>15.088153932553704</v>
      </c>
      <c r="P102" s="69">
        <v>185056667</v>
      </c>
      <c r="Q102" s="70">
        <v>-0.73527223889644233</v>
      </c>
    </row>
    <row r="103" spans="1:17" x14ac:dyDescent="0.25">
      <c r="A103" s="67">
        <v>2</v>
      </c>
      <c r="B103" s="69"/>
      <c r="C103" s="70"/>
      <c r="D103" s="69"/>
      <c r="E103" s="70" t="e">
        <v>#NULL!</v>
      </c>
      <c r="F103" s="69"/>
      <c r="G103" s="70" t="e">
        <v>#NULL!</v>
      </c>
      <c r="H103" s="69">
        <v>14580000</v>
      </c>
      <c r="I103" s="70"/>
      <c r="J103" s="69">
        <v>253316001</v>
      </c>
      <c r="K103" s="70">
        <v>16.374211316872429</v>
      </c>
      <c r="L103" s="69">
        <v>252951036</v>
      </c>
      <c r="M103" s="70">
        <v>-1.4407498877262001E-3</v>
      </c>
      <c r="N103" s="69">
        <v>1183360325</v>
      </c>
      <c r="O103" s="70">
        <v>3.678218930085742</v>
      </c>
      <c r="P103" s="69"/>
      <c r="Q103" s="70" t="e">
        <v>#NULL!</v>
      </c>
    </row>
    <row r="104" spans="1:17" x14ac:dyDescent="0.25">
      <c r="A104" s="67">
        <v>3</v>
      </c>
      <c r="B104" s="69"/>
      <c r="C104" s="70"/>
      <c r="D104" s="69">
        <v>0</v>
      </c>
      <c r="E104" s="70"/>
      <c r="F104" s="69">
        <v>42807273</v>
      </c>
      <c r="G104" s="70" t="e">
        <v>#DIV/0!</v>
      </c>
      <c r="H104" s="69"/>
      <c r="I104" s="70" t="e">
        <v>#NULL!</v>
      </c>
      <c r="J104" s="69">
        <v>407474410</v>
      </c>
      <c r="K104" s="70"/>
      <c r="L104" s="69">
        <v>27500001</v>
      </c>
      <c r="M104" s="70">
        <v>-0.93251109683182309</v>
      </c>
      <c r="N104" s="69">
        <v>1878796713</v>
      </c>
      <c r="O104" s="70">
        <v>67.319877988368077</v>
      </c>
      <c r="P104" s="69"/>
      <c r="Q104" s="70" t="e">
        <v>#NULL!</v>
      </c>
    </row>
    <row r="105" spans="1:17" x14ac:dyDescent="0.25">
      <c r="A105" s="67">
        <v>4</v>
      </c>
      <c r="B105" s="69"/>
      <c r="C105" s="70"/>
      <c r="D105" s="69"/>
      <c r="E105" s="70" t="e">
        <v>#NULL!</v>
      </c>
      <c r="F105" s="69"/>
      <c r="G105" s="70" t="e">
        <v>#NULL!</v>
      </c>
      <c r="H105" s="69"/>
      <c r="I105" s="70" t="e">
        <v>#NULL!</v>
      </c>
      <c r="J105" s="69">
        <v>145324818</v>
      </c>
      <c r="K105" s="70"/>
      <c r="L105" s="69">
        <v>103323981</v>
      </c>
      <c r="M105" s="70">
        <v>-0.28901351866822911</v>
      </c>
      <c r="N105" s="69">
        <v>289953935</v>
      </c>
      <c r="O105" s="70">
        <v>1.8062598071980986</v>
      </c>
      <c r="P105" s="69"/>
      <c r="Q105" s="70" t="e">
        <v>#NULL!</v>
      </c>
    </row>
    <row r="106" spans="1:17" x14ac:dyDescent="0.25">
      <c r="A106" s="67">
        <v>5</v>
      </c>
      <c r="B106" s="69">
        <v>22621818</v>
      </c>
      <c r="C106" s="70"/>
      <c r="D106" s="69"/>
      <c r="E106" s="70" t="e">
        <v>#NULL!</v>
      </c>
      <c r="F106" s="69">
        <v>37387272</v>
      </c>
      <c r="G106" s="70"/>
      <c r="H106" s="69"/>
      <c r="I106" s="70" t="e">
        <v>#NULL!</v>
      </c>
      <c r="J106" s="69">
        <v>589663272</v>
      </c>
      <c r="K106" s="70"/>
      <c r="L106" s="69">
        <v>84249260</v>
      </c>
      <c r="M106" s="70">
        <v>-0.85712310058883912</v>
      </c>
      <c r="N106" s="69">
        <v>580108009</v>
      </c>
      <c r="O106" s="70">
        <v>5.8856154819638773</v>
      </c>
      <c r="P106" s="69"/>
      <c r="Q106" s="70" t="e">
        <v>#NULL!</v>
      </c>
    </row>
    <row r="107" spans="1:17" x14ac:dyDescent="0.25">
      <c r="A107" s="67">
        <v>6</v>
      </c>
      <c r="B107" s="69">
        <v>38167545</v>
      </c>
      <c r="C107" s="70"/>
      <c r="D107" s="69"/>
      <c r="E107" s="70" t="e">
        <v>#NULL!</v>
      </c>
      <c r="F107" s="69"/>
      <c r="G107" s="70" t="e">
        <v>#NULL!</v>
      </c>
      <c r="H107" s="69"/>
      <c r="I107" s="70" t="e">
        <v>#NULL!</v>
      </c>
      <c r="J107" s="69">
        <v>27240000</v>
      </c>
      <c r="K107" s="70"/>
      <c r="L107" s="69">
        <v>790075695</v>
      </c>
      <c r="M107" s="70">
        <v>28.004247246696035</v>
      </c>
      <c r="N107" s="69">
        <v>2034707870</v>
      </c>
      <c r="O107" s="70">
        <v>1.5753328230151415</v>
      </c>
      <c r="P107" s="69"/>
      <c r="Q107" s="70" t="e">
        <v>#NULL!</v>
      </c>
    </row>
    <row r="108" spans="1:17" x14ac:dyDescent="0.25">
      <c r="A108" s="67">
        <v>7</v>
      </c>
      <c r="B108" s="69"/>
      <c r="C108" s="70"/>
      <c r="D108" s="69"/>
      <c r="E108" s="70" t="e">
        <v>#NULL!</v>
      </c>
      <c r="F108" s="69"/>
      <c r="G108" s="70" t="e">
        <v>#NULL!</v>
      </c>
      <c r="H108" s="69">
        <v>6637500</v>
      </c>
      <c r="I108" s="70"/>
      <c r="J108" s="69">
        <v>5189815</v>
      </c>
      <c r="K108" s="70">
        <v>-0.21810696798493409</v>
      </c>
      <c r="L108" s="69">
        <v>596261111</v>
      </c>
      <c r="M108" s="70">
        <v>113.89062924208281</v>
      </c>
      <c r="N108" s="69">
        <v>1121479677</v>
      </c>
      <c r="O108" s="70">
        <v>0.88085329784319943</v>
      </c>
      <c r="P108" s="69"/>
      <c r="Q108" s="70" t="e">
        <v>#NULL!</v>
      </c>
    </row>
    <row r="109" spans="1:17" x14ac:dyDescent="0.25">
      <c r="A109" s="67">
        <v>8</v>
      </c>
      <c r="B109" s="69">
        <v>2239091</v>
      </c>
      <c r="C109" s="70"/>
      <c r="D109" s="69"/>
      <c r="E109" s="70" t="e">
        <v>#NULL!</v>
      </c>
      <c r="F109" s="69"/>
      <c r="G109" s="70" t="e">
        <v>#NULL!</v>
      </c>
      <c r="H109" s="69">
        <v>88261204</v>
      </c>
      <c r="I109" s="70"/>
      <c r="J109" s="69"/>
      <c r="K109" s="70" t="e">
        <v>#NULL!</v>
      </c>
      <c r="L109" s="69"/>
      <c r="M109" s="70" t="e">
        <v>#NULL!</v>
      </c>
      <c r="N109" s="69">
        <v>592060046</v>
      </c>
      <c r="O109" s="70"/>
      <c r="P109" s="69"/>
      <c r="Q109" s="70" t="e">
        <v>#NULL!</v>
      </c>
    </row>
    <row r="110" spans="1:17" x14ac:dyDescent="0.25">
      <c r="A110" s="67">
        <v>9</v>
      </c>
      <c r="B110" s="69"/>
      <c r="C110" s="70"/>
      <c r="D110" s="69"/>
      <c r="E110" s="70" t="e">
        <v>#NULL!</v>
      </c>
      <c r="F110" s="69"/>
      <c r="G110" s="70" t="e">
        <v>#NULL!</v>
      </c>
      <c r="H110" s="69">
        <v>47254629</v>
      </c>
      <c r="I110" s="70"/>
      <c r="J110" s="69"/>
      <c r="K110" s="70" t="e">
        <v>#NULL!</v>
      </c>
      <c r="L110" s="69">
        <v>61415926</v>
      </c>
      <c r="M110" s="70"/>
      <c r="N110" s="69">
        <v>53105000</v>
      </c>
      <c r="O110" s="70">
        <v>-0.13532200100670957</v>
      </c>
      <c r="P110" s="69"/>
      <c r="Q110" s="70" t="e">
        <v>#NULL!</v>
      </c>
    </row>
    <row r="111" spans="1:17" x14ac:dyDescent="0.25">
      <c r="A111" s="67">
        <v>10</v>
      </c>
      <c r="B111" s="69">
        <v>37386364</v>
      </c>
      <c r="C111" s="70"/>
      <c r="D111" s="69"/>
      <c r="E111" s="70" t="e">
        <v>#NULL!</v>
      </c>
      <c r="F111" s="69"/>
      <c r="G111" s="70" t="e">
        <v>#NULL!</v>
      </c>
      <c r="H111" s="69"/>
      <c r="I111" s="70" t="e">
        <v>#NULL!</v>
      </c>
      <c r="J111" s="69">
        <v>17576852</v>
      </c>
      <c r="K111" s="70"/>
      <c r="L111" s="69">
        <v>262185185</v>
      </c>
      <c r="M111" s="70">
        <v>13.916504104375459</v>
      </c>
      <c r="N111" s="69"/>
      <c r="O111" s="70" t="e">
        <v>#NULL!</v>
      </c>
      <c r="P111" s="69"/>
      <c r="Q111" s="70" t="e">
        <v>#NULL!</v>
      </c>
    </row>
    <row r="112" spans="1:17" x14ac:dyDescent="0.25">
      <c r="A112" s="67">
        <v>11</v>
      </c>
      <c r="B112" s="69"/>
      <c r="C112" s="70"/>
      <c r="D112" s="69"/>
      <c r="E112" s="70" t="e">
        <v>#NULL!</v>
      </c>
      <c r="F112" s="69"/>
      <c r="G112" s="70" t="e">
        <v>#NULL!</v>
      </c>
      <c r="H112" s="69">
        <v>7921296</v>
      </c>
      <c r="I112" s="70"/>
      <c r="J112" s="69">
        <v>111058890</v>
      </c>
      <c r="K112" s="70">
        <v>13.020292891466244</v>
      </c>
      <c r="L112" s="69">
        <v>1343332454</v>
      </c>
      <c r="M112" s="70">
        <v>11.095676933201835</v>
      </c>
      <c r="N112" s="69">
        <v>67456157</v>
      </c>
      <c r="O112" s="70">
        <v>-0.94978446564055097</v>
      </c>
      <c r="P112" s="69"/>
      <c r="Q112" s="70" t="e">
        <v>#NULL!</v>
      </c>
    </row>
    <row r="113" spans="1:17" x14ac:dyDescent="0.25">
      <c r="A113" s="67">
        <v>12</v>
      </c>
      <c r="B113" s="69">
        <v>29435455</v>
      </c>
      <c r="C113" s="70"/>
      <c r="D113" s="69"/>
      <c r="E113" s="70" t="e">
        <v>#NULL!</v>
      </c>
      <c r="F113" s="69"/>
      <c r="G113" s="70" t="e">
        <v>#NULL!</v>
      </c>
      <c r="H113" s="69">
        <v>774541297</v>
      </c>
      <c r="I113" s="70"/>
      <c r="J113" s="69">
        <v>621780000</v>
      </c>
      <c r="K113" s="70">
        <v>-0.19722808530892316</v>
      </c>
      <c r="L113" s="69">
        <v>352505093</v>
      </c>
      <c r="M113" s="70">
        <v>-0.433071033162855</v>
      </c>
      <c r="N113" s="69">
        <v>1309413251</v>
      </c>
      <c r="O113" s="70">
        <v>2.7145938512723844</v>
      </c>
      <c r="P113" s="69"/>
      <c r="Q113" s="70" t="e">
        <v>#NULL!</v>
      </c>
    </row>
    <row r="114" spans="1:17" x14ac:dyDescent="0.25">
      <c r="A114" s="67" t="s">
        <v>2542</v>
      </c>
      <c r="B114" s="69">
        <v>182817228</v>
      </c>
      <c r="C114" s="70"/>
      <c r="D114" s="69">
        <v>0</v>
      </c>
      <c r="E114" s="70">
        <v>-1</v>
      </c>
      <c r="F114" s="69">
        <v>89355454</v>
      </c>
      <c r="G114" s="70" t="e">
        <v>#DIV/0!</v>
      </c>
      <c r="H114" s="69">
        <v>963230471</v>
      </c>
      <c r="I114" s="70">
        <v>9.7797613674482591</v>
      </c>
      <c r="J114" s="69">
        <v>2349418467</v>
      </c>
      <c r="K114" s="70">
        <v>1.4391031406646604</v>
      </c>
      <c r="L114" s="69">
        <v>3917250668</v>
      </c>
      <c r="M114" s="70">
        <v>0.66732777622284689</v>
      </c>
      <c r="N114" s="69">
        <v>9809486169</v>
      </c>
      <c r="O114" s="70">
        <v>1.5041762706516693</v>
      </c>
      <c r="P114" s="69">
        <v>185056667</v>
      </c>
      <c r="Q114" s="70">
        <v>-0.98113492757808074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267-DA2A-4607-9238-C8F6404C02FF}">
  <dimension ref="A1:I16"/>
  <sheetViews>
    <sheetView tabSelected="1" workbookViewId="0">
      <selection activeCell="C1" sqref="C1"/>
    </sheetView>
  </sheetViews>
  <sheetFormatPr defaultRowHeight="15" x14ac:dyDescent="0.25"/>
  <cols>
    <col min="1" max="1" width="18" bestFit="1" customWidth="1"/>
    <col min="2" max="3" width="12.5703125" bestFit="1" customWidth="1"/>
    <col min="4" max="4" width="15.5703125" bestFit="1" customWidth="1"/>
    <col min="5" max="5" width="21.42578125" bestFit="1" customWidth="1"/>
    <col min="6" max="6" width="14.28515625" bestFit="1" customWidth="1"/>
    <col min="7" max="8" width="15.28515625" bestFit="1" customWidth="1"/>
    <col min="9" max="9" width="14.28515625" bestFit="1" customWidth="1"/>
    <col min="10" max="11" width="14.5703125" bestFit="1" customWidth="1"/>
    <col min="12" max="12" width="13.5703125" bestFit="1" customWidth="1"/>
    <col min="13" max="13" width="15.5703125" bestFit="1" customWidth="1"/>
    <col min="14" max="14" width="12" bestFit="1" customWidth="1"/>
    <col min="15" max="16" width="13.5703125" bestFit="1" customWidth="1"/>
    <col min="17" max="17" width="4.5703125" bestFit="1" customWidth="1"/>
    <col min="18" max="19" width="12" bestFit="1" customWidth="1"/>
    <col min="20" max="22" width="14.5703125" bestFit="1" customWidth="1"/>
    <col min="23" max="23" width="13.5703125" bestFit="1" customWidth="1"/>
    <col min="24" max="24" width="15.5703125" bestFit="1" customWidth="1"/>
    <col min="25" max="25" width="13.5703125" bestFit="1" customWidth="1"/>
    <col min="26" max="27" width="4.5703125" bestFit="1" customWidth="1"/>
    <col min="28" max="28" width="12" bestFit="1" customWidth="1"/>
    <col min="29" max="29" width="12.5703125" bestFit="1" customWidth="1"/>
    <col min="30" max="32" width="14.5703125" bestFit="1" customWidth="1"/>
    <col min="33" max="33" width="13.5703125" bestFit="1" customWidth="1"/>
    <col min="34" max="34" width="15.5703125" bestFit="1" customWidth="1"/>
    <col min="35" max="35" width="13.5703125" bestFit="1" customWidth="1"/>
    <col min="36" max="36" width="12" bestFit="1" customWidth="1"/>
    <col min="37" max="37" width="4.5703125" bestFit="1" customWidth="1"/>
    <col min="38" max="38" width="11" bestFit="1" customWidth="1"/>
    <col min="39" max="39" width="4.5703125" bestFit="1" customWidth="1"/>
    <col min="40" max="42" width="14.5703125" bestFit="1" customWidth="1"/>
    <col min="43" max="43" width="13.5703125" bestFit="1" customWidth="1"/>
    <col min="44" max="44" width="15.5703125" bestFit="1" customWidth="1"/>
    <col min="45" max="46" width="12" bestFit="1" customWidth="1"/>
    <col min="47" max="47" width="4.5703125" bestFit="1" customWidth="1"/>
    <col min="48" max="48" width="12" bestFit="1" customWidth="1"/>
    <col min="49" max="50" width="14.5703125" bestFit="1" customWidth="1"/>
    <col min="51" max="51" width="11" bestFit="1" customWidth="1"/>
    <col min="52" max="53" width="14.5703125" bestFit="1" customWidth="1"/>
    <col min="54" max="54" width="15.5703125" bestFit="1" customWidth="1"/>
    <col min="55" max="55" width="12" bestFit="1" customWidth="1"/>
    <col min="56" max="56" width="13.5703125" bestFit="1" customWidth="1"/>
    <col min="57" max="57" width="4.5703125" bestFit="1" customWidth="1"/>
    <col min="58" max="58" width="13.5703125" bestFit="1" customWidth="1"/>
    <col min="59" max="60" width="14.5703125" bestFit="1" customWidth="1"/>
    <col min="61" max="61" width="13.5703125" bestFit="1" customWidth="1"/>
    <col min="62" max="63" width="14.5703125" bestFit="1" customWidth="1"/>
    <col min="64" max="64" width="15.5703125" bestFit="1" customWidth="1"/>
    <col min="65" max="65" width="13.5703125" bestFit="1" customWidth="1"/>
    <col min="66" max="66" width="12" bestFit="1" customWidth="1"/>
    <col min="67" max="68" width="14.5703125" bestFit="1" customWidth="1"/>
    <col min="69" max="69" width="13.5703125" bestFit="1" customWidth="1"/>
    <col min="70" max="71" width="14.5703125" bestFit="1" customWidth="1"/>
    <col min="72" max="72" width="15.5703125" bestFit="1" customWidth="1"/>
    <col min="73" max="73" width="17.140625" bestFit="1" customWidth="1"/>
    <col min="74" max="75" width="14.5703125" bestFit="1" customWidth="1"/>
    <col min="76" max="76" width="15.5703125" bestFit="1" customWidth="1"/>
    <col min="77" max="80" width="13.5703125" bestFit="1" customWidth="1"/>
    <col min="81" max="81" width="14.5703125" bestFit="1" customWidth="1"/>
    <col min="82" max="82" width="17.140625" bestFit="1" customWidth="1"/>
  </cols>
  <sheetData>
    <row r="1" spans="1:9" ht="18.75" x14ac:dyDescent="0.3">
      <c r="A1" s="33" t="s">
        <v>2551</v>
      </c>
      <c r="B1" t="s">
        <v>2549</v>
      </c>
      <c r="D1" s="63" t="s">
        <v>2552</v>
      </c>
      <c r="E1" s="63" t="str">
        <f>'Report date'!A1</f>
        <v>Date: 12/01/2026</v>
      </c>
    </row>
    <row r="3" spans="1:9" x14ac:dyDescent="0.25">
      <c r="A3" s="33" t="s">
        <v>2554</v>
      </c>
      <c r="B3" s="33" t="s">
        <v>0</v>
      </c>
    </row>
    <row r="4" spans="1:9" x14ac:dyDescent="0.25">
      <c r="A4" s="33" t="s">
        <v>79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>
        <v>2025</v>
      </c>
      <c r="I4">
        <v>2026</v>
      </c>
    </row>
    <row r="5" spans="1:9" x14ac:dyDescent="0.25">
      <c r="A5" s="34" t="s">
        <v>55</v>
      </c>
      <c r="B5" s="36"/>
      <c r="C5" s="36"/>
      <c r="D5" s="36"/>
      <c r="E5" s="36">
        <v>1070837593</v>
      </c>
      <c r="F5" s="36">
        <v>271510818</v>
      </c>
      <c r="G5" s="36">
        <v>1351948909</v>
      </c>
      <c r="H5" s="36">
        <v>2575321252</v>
      </c>
      <c r="I5" s="36"/>
    </row>
    <row r="6" spans="1:9" x14ac:dyDescent="0.25">
      <c r="A6" s="34" t="s">
        <v>70</v>
      </c>
      <c r="B6" s="36"/>
      <c r="C6" s="36"/>
      <c r="D6" s="36"/>
      <c r="E6" s="36"/>
      <c r="F6" s="36"/>
      <c r="G6" s="36"/>
      <c r="H6" s="36">
        <v>1229180556</v>
      </c>
      <c r="I6" s="36">
        <v>319764816</v>
      </c>
    </row>
    <row r="7" spans="1:9" x14ac:dyDescent="0.25">
      <c r="A7" s="34" t="s">
        <v>47</v>
      </c>
      <c r="B7" s="36"/>
      <c r="C7" s="36"/>
      <c r="D7" s="36"/>
      <c r="E7" s="36">
        <v>287584027</v>
      </c>
      <c r="F7" s="36">
        <v>114901010</v>
      </c>
      <c r="G7" s="36">
        <v>320891716</v>
      </c>
      <c r="H7" s="36">
        <v>167089817</v>
      </c>
      <c r="I7" s="36"/>
    </row>
    <row r="8" spans="1:9" x14ac:dyDescent="0.25">
      <c r="A8" s="34" t="s">
        <v>64</v>
      </c>
      <c r="B8" s="36"/>
      <c r="C8" s="36"/>
      <c r="D8" s="36"/>
      <c r="E8" s="36"/>
      <c r="F8" s="36">
        <v>189498409</v>
      </c>
      <c r="G8" s="36">
        <v>1820174444</v>
      </c>
      <c r="H8" s="36">
        <v>1181890370</v>
      </c>
      <c r="I8" s="36"/>
    </row>
    <row r="9" spans="1:9" x14ac:dyDescent="0.25">
      <c r="A9" s="34" t="s">
        <v>50</v>
      </c>
      <c r="B9" s="36"/>
      <c r="C9" s="36"/>
      <c r="D9" s="36"/>
      <c r="E9" s="36"/>
      <c r="F9" s="36">
        <v>379105984</v>
      </c>
      <c r="G9" s="36">
        <v>425868972</v>
      </c>
      <c r="H9" s="36">
        <v>613241438</v>
      </c>
      <c r="I9" s="36">
        <v>106256482</v>
      </c>
    </row>
    <row r="10" spans="1:9" x14ac:dyDescent="0.25">
      <c r="A10" s="34" t="s">
        <v>44</v>
      </c>
      <c r="B10" s="36"/>
      <c r="C10" s="36">
        <v>84920909</v>
      </c>
      <c r="D10" s="36"/>
      <c r="E10" s="36"/>
      <c r="F10" s="36">
        <v>825924260</v>
      </c>
      <c r="G10" s="36">
        <v>758590619</v>
      </c>
      <c r="H10" s="36">
        <v>3871146843</v>
      </c>
      <c r="I10" s="36">
        <v>911472222</v>
      </c>
    </row>
    <row r="11" spans="1:9" x14ac:dyDescent="0.25">
      <c r="A11" s="34" t="s">
        <v>58</v>
      </c>
      <c r="B11" s="36"/>
      <c r="C11" s="36"/>
      <c r="D11" s="36"/>
      <c r="E11" s="36"/>
      <c r="F11" s="36">
        <v>1371603144</v>
      </c>
      <c r="G11" s="36">
        <v>1546597223</v>
      </c>
      <c r="H11" s="36">
        <v>6898910295</v>
      </c>
      <c r="I11" s="36">
        <v>674486667</v>
      </c>
    </row>
    <row r="12" spans="1:9" x14ac:dyDescent="0.25">
      <c r="A12" s="34" t="s">
        <v>19</v>
      </c>
      <c r="B12" s="36">
        <v>598174183</v>
      </c>
      <c r="C12" s="36">
        <v>118411681</v>
      </c>
      <c r="D12" s="36">
        <v>102141818</v>
      </c>
      <c r="E12" s="36">
        <v>121213056</v>
      </c>
      <c r="F12" s="36">
        <v>884461038</v>
      </c>
      <c r="G12" s="36">
        <v>950910380</v>
      </c>
      <c r="H12" s="36">
        <v>672616666</v>
      </c>
      <c r="I12" s="36">
        <v>9262963</v>
      </c>
    </row>
    <row r="13" spans="1:9" x14ac:dyDescent="0.25">
      <c r="A13" s="34" t="s">
        <v>59</v>
      </c>
      <c r="B13" s="36">
        <v>61487864</v>
      </c>
      <c r="C13" s="36"/>
      <c r="D13" s="36">
        <v>37387272</v>
      </c>
      <c r="E13" s="36">
        <v>24034545</v>
      </c>
      <c r="F13" s="36">
        <v>316418523</v>
      </c>
      <c r="G13" s="36">
        <v>217347223</v>
      </c>
      <c r="H13" s="36">
        <v>163379860</v>
      </c>
      <c r="I13" s="36"/>
    </row>
    <row r="14" spans="1:9" x14ac:dyDescent="0.25">
      <c r="A14" s="34" t="s">
        <v>32</v>
      </c>
      <c r="B14" s="36"/>
      <c r="C14" s="36"/>
      <c r="D14" s="36">
        <v>42807273</v>
      </c>
      <c r="E14" s="36"/>
      <c r="F14" s="36">
        <v>30346364</v>
      </c>
      <c r="G14" s="36"/>
      <c r="H14" s="36">
        <v>0</v>
      </c>
      <c r="I14" s="36"/>
    </row>
    <row r="15" spans="1:9" x14ac:dyDescent="0.25">
      <c r="A15" s="34" t="s">
        <v>65</v>
      </c>
      <c r="B15" s="36"/>
      <c r="C15" s="36"/>
      <c r="D15" s="36"/>
      <c r="E15" s="36"/>
      <c r="F15" s="36"/>
      <c r="G15" s="36">
        <v>12031448498</v>
      </c>
      <c r="H15" s="36">
        <v>15887680650</v>
      </c>
      <c r="I15" s="36">
        <v>224462964</v>
      </c>
    </row>
    <row r="16" spans="1:9" x14ac:dyDescent="0.25">
      <c r="A16" s="34" t="s">
        <v>2542</v>
      </c>
      <c r="B16" s="36">
        <v>659662047</v>
      </c>
      <c r="C16" s="36">
        <v>203332590</v>
      </c>
      <c r="D16" s="36">
        <v>182336363</v>
      </c>
      <c r="E16" s="36">
        <v>1503669221</v>
      </c>
      <c r="F16" s="36">
        <v>4383769550</v>
      </c>
      <c r="G16" s="36">
        <v>19423777984</v>
      </c>
      <c r="H16" s="36">
        <v>33260457747</v>
      </c>
      <c r="I16" s="36">
        <v>2245706114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B991-D8A3-4E24-B879-E7FDE6F7C9B1}">
  <dimension ref="A1:Q19"/>
  <sheetViews>
    <sheetView workbookViewId="0">
      <pane ySplit="5" topLeftCell="A6" activePane="bottomLeft" state="frozen"/>
      <selection pane="bottomLeft" activeCell="A18" sqref="A18"/>
    </sheetView>
  </sheetViews>
  <sheetFormatPr defaultRowHeight="15" x14ac:dyDescent="0.25"/>
  <cols>
    <col min="1" max="1" width="29.140625" bestFit="1" customWidth="1"/>
    <col min="2" max="2" width="8.140625" bestFit="1" customWidth="1"/>
    <col min="3" max="3" width="14.28515625" bestFit="1" customWidth="1"/>
    <col min="4" max="4" width="7.85546875" bestFit="1" customWidth="1"/>
    <col min="5" max="5" width="12.7109375" bestFit="1" customWidth="1"/>
    <col min="6" max="6" width="4.5703125" bestFit="1" customWidth="1"/>
    <col min="7" max="7" width="12.7109375" bestFit="1" customWidth="1"/>
    <col min="8" max="8" width="5.140625" bestFit="1" customWidth="1"/>
    <col min="9" max="9" width="15.28515625" bestFit="1" customWidth="1"/>
    <col min="10" max="10" width="5.5703125" bestFit="1" customWidth="1"/>
    <col min="11" max="11" width="12.7109375" bestFit="1" customWidth="1"/>
    <col min="12" max="12" width="5.42578125" bestFit="1" customWidth="1"/>
    <col min="13" max="13" width="15.28515625" bestFit="1" customWidth="1"/>
    <col min="14" max="14" width="5.140625" bestFit="1" customWidth="1"/>
    <col min="15" max="15" width="12.7109375" bestFit="1" customWidth="1"/>
    <col min="16" max="16" width="9" bestFit="1" customWidth="1"/>
    <col min="17" max="17" width="17.85546875" bestFit="1" customWidth="1"/>
    <col min="18" max="18" width="9" bestFit="1" customWidth="1"/>
    <col min="19" max="19" width="17.85546875" bestFit="1" customWidth="1"/>
    <col min="20" max="20" width="7.7109375" bestFit="1" customWidth="1"/>
    <col min="21" max="21" width="15.5703125" bestFit="1" customWidth="1"/>
  </cols>
  <sheetData>
    <row r="1" spans="1:17" ht="18.75" x14ac:dyDescent="0.3">
      <c r="A1" s="62" t="s">
        <v>2553</v>
      </c>
      <c r="B1" s="63" t="str">
        <f>'Report date'!A1</f>
        <v>Date: 12/01/2026</v>
      </c>
      <c r="C1" s="37"/>
    </row>
    <row r="3" spans="1:17" x14ac:dyDescent="0.25">
      <c r="B3" s="33" t="s">
        <v>9</v>
      </c>
    </row>
    <row r="4" spans="1:17" x14ac:dyDescent="0.25">
      <c r="B4" s="46" t="s">
        <v>13</v>
      </c>
      <c r="C4" s="46"/>
      <c r="D4" s="48" t="s">
        <v>67</v>
      </c>
      <c r="E4" s="48"/>
      <c r="F4" s="50" t="s">
        <v>22</v>
      </c>
      <c r="G4" s="50"/>
      <c r="H4" s="67" t="s">
        <v>15</v>
      </c>
      <c r="I4" s="67"/>
      <c r="J4" s="54" t="s">
        <v>28</v>
      </c>
      <c r="K4" s="54"/>
      <c r="L4" s="56" t="s">
        <v>17</v>
      </c>
      <c r="M4" s="56"/>
      <c r="N4" s="58" t="s">
        <v>21</v>
      </c>
      <c r="O4" s="58"/>
      <c r="P4" s="60" t="s">
        <v>2546</v>
      </c>
      <c r="Q4" s="60" t="s">
        <v>2547</v>
      </c>
    </row>
    <row r="5" spans="1:17" x14ac:dyDescent="0.25">
      <c r="A5" s="33" t="s">
        <v>79</v>
      </c>
      <c r="B5" s="46" t="s">
        <v>2544</v>
      </c>
      <c r="C5" s="46" t="s">
        <v>2545</v>
      </c>
      <c r="D5" s="48" t="s">
        <v>2544</v>
      </c>
      <c r="E5" s="48" t="s">
        <v>2545</v>
      </c>
      <c r="F5" s="50" t="s">
        <v>2544</v>
      </c>
      <c r="G5" s="50" t="s">
        <v>2545</v>
      </c>
      <c r="H5" s="52" t="s">
        <v>2544</v>
      </c>
      <c r="I5" s="52" t="s">
        <v>2545</v>
      </c>
      <c r="J5" s="54" t="s">
        <v>2544</v>
      </c>
      <c r="K5" s="54" t="s">
        <v>2545</v>
      </c>
      <c r="L5" s="56" t="s">
        <v>2544</v>
      </c>
      <c r="M5" s="56" t="s">
        <v>2545</v>
      </c>
      <c r="N5" s="58" t="s">
        <v>2544</v>
      </c>
      <c r="O5" s="58" t="s">
        <v>2545</v>
      </c>
      <c r="P5" s="60"/>
      <c r="Q5" s="60"/>
    </row>
    <row r="6" spans="1:17" x14ac:dyDescent="0.25">
      <c r="A6" s="34" t="s">
        <v>55</v>
      </c>
      <c r="B6" s="80"/>
      <c r="C6" s="47"/>
      <c r="D6" s="81"/>
      <c r="E6" s="49"/>
      <c r="F6" s="82">
        <v>1</v>
      </c>
      <c r="G6" s="51">
        <v>105556804</v>
      </c>
      <c r="H6" s="83">
        <v>13</v>
      </c>
      <c r="I6" s="53">
        <v>1113789248</v>
      </c>
      <c r="J6" s="84"/>
      <c r="K6" s="55"/>
      <c r="L6" s="85">
        <v>10</v>
      </c>
      <c r="M6" s="57">
        <v>857160748</v>
      </c>
      <c r="N6" s="86"/>
      <c r="O6" s="59"/>
      <c r="P6" s="87">
        <v>24</v>
      </c>
      <c r="Q6" s="61">
        <v>2076506800</v>
      </c>
    </row>
    <row r="7" spans="1:17" x14ac:dyDescent="0.25">
      <c r="A7" s="34" t="s">
        <v>70</v>
      </c>
      <c r="B7" s="80">
        <v>1</v>
      </c>
      <c r="C7" s="47">
        <v>15036518</v>
      </c>
      <c r="D7" s="81"/>
      <c r="E7" s="49"/>
      <c r="F7" s="82"/>
      <c r="G7" s="51"/>
      <c r="H7" s="83">
        <v>43</v>
      </c>
      <c r="I7" s="53">
        <v>937797221.06666672</v>
      </c>
      <c r="J7" s="84"/>
      <c r="K7" s="55"/>
      <c r="L7" s="85">
        <v>12</v>
      </c>
      <c r="M7" s="57">
        <v>234190189.26666668</v>
      </c>
      <c r="N7" s="86"/>
      <c r="O7" s="59"/>
      <c r="P7" s="87">
        <v>56</v>
      </c>
      <c r="Q7" s="61">
        <v>1187023928.3333335</v>
      </c>
    </row>
    <row r="8" spans="1:17" x14ac:dyDescent="0.25">
      <c r="A8" s="34" t="s">
        <v>46</v>
      </c>
      <c r="B8" s="80"/>
      <c r="C8" s="47"/>
      <c r="D8" s="81"/>
      <c r="E8" s="49"/>
      <c r="F8" s="82"/>
      <c r="G8" s="51"/>
      <c r="H8" s="83"/>
      <c r="I8" s="53"/>
      <c r="J8" s="84">
        <v>2</v>
      </c>
      <c r="K8" s="55">
        <v>2088000</v>
      </c>
      <c r="L8" s="85"/>
      <c r="M8" s="57"/>
      <c r="N8" s="86">
        <v>5</v>
      </c>
      <c r="O8" s="59">
        <v>7027500</v>
      </c>
      <c r="P8" s="87">
        <v>7</v>
      </c>
      <c r="Q8" s="61">
        <v>9115500</v>
      </c>
    </row>
    <row r="9" spans="1:17" x14ac:dyDescent="0.25">
      <c r="A9" s="34" t="s">
        <v>47</v>
      </c>
      <c r="B9" s="80">
        <v>4</v>
      </c>
      <c r="C9" s="47">
        <v>11423101</v>
      </c>
      <c r="D9" s="81"/>
      <c r="E9" s="49"/>
      <c r="F9" s="82"/>
      <c r="G9" s="51"/>
      <c r="H9" s="83">
        <v>7</v>
      </c>
      <c r="I9" s="53">
        <v>8845472</v>
      </c>
      <c r="J9" s="84">
        <v>7</v>
      </c>
      <c r="K9" s="55">
        <v>6558500</v>
      </c>
      <c r="L9" s="85">
        <v>9</v>
      </c>
      <c r="M9" s="57">
        <v>26630567</v>
      </c>
      <c r="N9" s="86">
        <v>14</v>
      </c>
      <c r="O9" s="59">
        <v>13065325</v>
      </c>
      <c r="P9" s="87">
        <v>41</v>
      </c>
      <c r="Q9" s="61">
        <v>66522965</v>
      </c>
    </row>
    <row r="10" spans="1:17" x14ac:dyDescent="0.25">
      <c r="A10" s="34" t="s">
        <v>64</v>
      </c>
      <c r="B10" s="80"/>
      <c r="C10" s="47"/>
      <c r="D10" s="81"/>
      <c r="E10" s="49"/>
      <c r="F10" s="82"/>
      <c r="G10" s="51"/>
      <c r="H10" s="83">
        <v>11</v>
      </c>
      <c r="I10" s="53">
        <v>672328445</v>
      </c>
      <c r="J10" s="84"/>
      <c r="K10" s="55"/>
      <c r="L10" s="85">
        <v>12</v>
      </c>
      <c r="M10" s="57">
        <v>845578220</v>
      </c>
      <c r="N10" s="86"/>
      <c r="O10" s="59"/>
      <c r="P10" s="87">
        <v>23</v>
      </c>
      <c r="Q10" s="61">
        <v>1517906665</v>
      </c>
    </row>
    <row r="11" spans="1:17" x14ac:dyDescent="0.25">
      <c r="A11" s="34" t="s">
        <v>48</v>
      </c>
      <c r="B11" s="80"/>
      <c r="C11" s="47"/>
      <c r="D11" s="81"/>
      <c r="E11" s="49"/>
      <c r="F11" s="82"/>
      <c r="G11" s="51"/>
      <c r="H11" s="83">
        <v>11</v>
      </c>
      <c r="I11" s="53">
        <v>95009500</v>
      </c>
      <c r="J11" s="84"/>
      <c r="K11" s="55"/>
      <c r="L11" s="85">
        <v>16</v>
      </c>
      <c r="M11" s="57">
        <v>127705500</v>
      </c>
      <c r="N11" s="86">
        <v>2</v>
      </c>
      <c r="O11" s="59">
        <v>1121000</v>
      </c>
      <c r="P11" s="87">
        <v>29</v>
      </c>
      <c r="Q11" s="61">
        <v>223836000</v>
      </c>
    </row>
    <row r="12" spans="1:17" x14ac:dyDescent="0.25">
      <c r="A12" s="34" t="s">
        <v>50</v>
      </c>
      <c r="B12" s="80"/>
      <c r="C12" s="47"/>
      <c r="D12" s="81">
        <v>1</v>
      </c>
      <c r="E12" s="49">
        <v>7962040</v>
      </c>
      <c r="F12" s="82"/>
      <c r="G12" s="51"/>
      <c r="H12" s="83">
        <v>33</v>
      </c>
      <c r="I12" s="53">
        <v>167762816</v>
      </c>
      <c r="J12" s="84">
        <v>13</v>
      </c>
      <c r="K12" s="55">
        <v>74912542</v>
      </c>
      <c r="L12" s="85">
        <v>28</v>
      </c>
      <c r="M12" s="57">
        <v>182424744</v>
      </c>
      <c r="N12" s="86">
        <v>25</v>
      </c>
      <c r="O12" s="59">
        <v>118547635</v>
      </c>
      <c r="P12" s="87">
        <v>100</v>
      </c>
      <c r="Q12" s="61">
        <v>551609777</v>
      </c>
    </row>
    <row r="13" spans="1:17" x14ac:dyDescent="0.25">
      <c r="A13" s="34" t="s">
        <v>44</v>
      </c>
      <c r="B13" s="80"/>
      <c r="C13" s="47"/>
      <c r="D13" s="81"/>
      <c r="E13" s="49"/>
      <c r="F13" s="82">
        <v>2</v>
      </c>
      <c r="G13" s="51">
        <v>381183460</v>
      </c>
      <c r="H13" s="83">
        <v>4</v>
      </c>
      <c r="I13" s="53">
        <v>528508930</v>
      </c>
      <c r="J13" s="84"/>
      <c r="K13" s="55"/>
      <c r="L13" s="85">
        <v>10</v>
      </c>
      <c r="M13" s="57">
        <v>1588954694</v>
      </c>
      <c r="N13" s="86"/>
      <c r="O13" s="59"/>
      <c r="P13" s="87">
        <v>16</v>
      </c>
      <c r="Q13" s="61">
        <v>2498647084</v>
      </c>
    </row>
    <row r="14" spans="1:17" x14ac:dyDescent="0.25">
      <c r="A14" s="34" t="s">
        <v>58</v>
      </c>
      <c r="B14" s="80">
        <v>6</v>
      </c>
      <c r="C14" s="47">
        <v>170505015</v>
      </c>
      <c r="D14" s="81">
        <v>2</v>
      </c>
      <c r="E14" s="49">
        <v>57940405</v>
      </c>
      <c r="F14" s="82"/>
      <c r="G14" s="51"/>
      <c r="H14" s="83">
        <v>51</v>
      </c>
      <c r="I14" s="53">
        <v>2047818133.5</v>
      </c>
      <c r="J14" s="84"/>
      <c r="K14" s="55"/>
      <c r="L14" s="85">
        <v>40</v>
      </c>
      <c r="M14" s="57">
        <v>1864519049.5</v>
      </c>
      <c r="N14" s="86"/>
      <c r="O14" s="59"/>
      <c r="P14" s="87">
        <v>99</v>
      </c>
      <c r="Q14" s="61">
        <v>4140782603</v>
      </c>
    </row>
    <row r="15" spans="1:17" x14ac:dyDescent="0.25">
      <c r="A15" s="34" t="s">
        <v>19</v>
      </c>
      <c r="B15" s="80"/>
      <c r="C15" s="47"/>
      <c r="D15" s="81"/>
      <c r="E15" s="49"/>
      <c r="F15" s="82">
        <v>3</v>
      </c>
      <c r="G15" s="51">
        <v>21406128</v>
      </c>
      <c r="H15" s="83">
        <v>43</v>
      </c>
      <c r="I15" s="53">
        <v>418706977</v>
      </c>
      <c r="J15" s="84">
        <v>1</v>
      </c>
      <c r="K15" s="55">
        <v>1491338</v>
      </c>
      <c r="L15" s="85">
        <v>21</v>
      </c>
      <c r="M15" s="57">
        <v>222704062</v>
      </c>
      <c r="N15" s="86"/>
      <c r="O15" s="59"/>
      <c r="P15" s="87">
        <v>68</v>
      </c>
      <c r="Q15" s="61">
        <v>664308505</v>
      </c>
    </row>
    <row r="16" spans="1:17" x14ac:dyDescent="0.25">
      <c r="A16" s="34" t="s">
        <v>59</v>
      </c>
      <c r="B16" s="80"/>
      <c r="C16" s="47"/>
      <c r="D16" s="81"/>
      <c r="E16" s="49"/>
      <c r="F16" s="82"/>
      <c r="G16" s="51"/>
      <c r="H16" s="83">
        <v>4</v>
      </c>
      <c r="I16" s="53">
        <v>360977556</v>
      </c>
      <c r="J16" s="84"/>
      <c r="K16" s="55"/>
      <c r="L16" s="85">
        <v>4</v>
      </c>
      <c r="M16" s="57">
        <v>409496635</v>
      </c>
      <c r="N16" s="86"/>
      <c r="O16" s="59"/>
      <c r="P16" s="87">
        <v>8</v>
      </c>
      <c r="Q16" s="61">
        <v>770474191</v>
      </c>
    </row>
    <row r="17" spans="1:17" x14ac:dyDescent="0.25">
      <c r="A17" s="34" t="s">
        <v>32</v>
      </c>
      <c r="B17" s="80">
        <v>1</v>
      </c>
      <c r="C17" s="47">
        <v>24300000</v>
      </c>
      <c r="D17" s="81"/>
      <c r="E17" s="49"/>
      <c r="F17" s="82"/>
      <c r="G17" s="51"/>
      <c r="H17" s="83">
        <v>17</v>
      </c>
      <c r="I17" s="53">
        <v>923265250</v>
      </c>
      <c r="J17" s="84"/>
      <c r="K17" s="55"/>
      <c r="L17" s="85">
        <v>9</v>
      </c>
      <c r="M17" s="57">
        <v>416718023</v>
      </c>
      <c r="N17" s="86"/>
      <c r="O17" s="59"/>
      <c r="P17" s="87">
        <v>27</v>
      </c>
      <c r="Q17" s="61">
        <v>1364283273</v>
      </c>
    </row>
    <row r="18" spans="1:17" x14ac:dyDescent="0.25">
      <c r="A18" s="34" t="s">
        <v>65</v>
      </c>
      <c r="B18" s="80">
        <v>5</v>
      </c>
      <c r="C18" s="47">
        <v>1265279223</v>
      </c>
      <c r="D18" s="81"/>
      <c r="E18" s="49"/>
      <c r="F18" s="82">
        <v>1</v>
      </c>
      <c r="G18" s="51">
        <v>134963747</v>
      </c>
      <c r="H18" s="83">
        <v>23</v>
      </c>
      <c r="I18" s="53">
        <v>4764867923</v>
      </c>
      <c r="J18" s="84"/>
      <c r="K18" s="55"/>
      <c r="L18" s="85">
        <v>57</v>
      </c>
      <c r="M18" s="57">
        <v>6741741112</v>
      </c>
      <c r="N18" s="86"/>
      <c r="O18" s="59"/>
      <c r="P18" s="87">
        <v>86</v>
      </c>
      <c r="Q18" s="61">
        <v>12906852005</v>
      </c>
    </row>
    <row r="19" spans="1:17" x14ac:dyDescent="0.25">
      <c r="A19" s="34" t="s">
        <v>2542</v>
      </c>
      <c r="B19" s="80">
        <v>17</v>
      </c>
      <c r="C19" s="47">
        <v>1486543857</v>
      </c>
      <c r="D19" s="81">
        <v>3</v>
      </c>
      <c r="E19" s="49">
        <v>65902445</v>
      </c>
      <c r="F19" s="82">
        <v>7</v>
      </c>
      <c r="G19" s="51">
        <v>643110139</v>
      </c>
      <c r="H19" s="83">
        <v>260</v>
      </c>
      <c r="I19" s="53">
        <v>12039677471.566666</v>
      </c>
      <c r="J19" s="84">
        <v>23</v>
      </c>
      <c r="K19" s="55">
        <v>85050380</v>
      </c>
      <c r="L19" s="85">
        <v>228</v>
      </c>
      <c r="M19" s="57">
        <v>13517823543.766666</v>
      </c>
      <c r="N19" s="86">
        <v>46</v>
      </c>
      <c r="O19" s="59">
        <v>139761460</v>
      </c>
      <c r="P19" s="87">
        <v>584</v>
      </c>
      <c r="Q19" s="61">
        <v>27977869296.333336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024F-D660-4EE1-9EAC-5E6DBDAA63DB}">
  <dimension ref="A1:Q20"/>
  <sheetViews>
    <sheetView workbookViewId="0">
      <pane ySplit="5" topLeftCell="A15" activePane="bottomLeft" state="frozen"/>
      <selection pane="bottomLeft" activeCell="A21" sqref="A21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4.28515625" bestFit="1" customWidth="1"/>
    <col min="4" max="4" width="7.85546875" bestFit="1" customWidth="1"/>
    <col min="5" max="5" width="12.7109375" bestFit="1" customWidth="1"/>
    <col min="6" max="6" width="4.5703125" bestFit="1" customWidth="1"/>
    <col min="7" max="7" width="12.7109375" bestFit="1" customWidth="1"/>
    <col min="8" max="8" width="5.140625" bestFit="1" customWidth="1"/>
    <col min="9" max="9" width="15.28515625" bestFit="1" customWidth="1"/>
    <col min="10" max="10" width="5.5703125" bestFit="1" customWidth="1"/>
    <col min="11" max="11" width="12.7109375" bestFit="1" customWidth="1"/>
    <col min="12" max="12" width="5.42578125" bestFit="1" customWidth="1"/>
    <col min="13" max="13" width="15.28515625" bestFit="1" customWidth="1"/>
    <col min="14" max="14" width="5.140625" bestFit="1" customWidth="1"/>
    <col min="15" max="15" width="12.7109375" bestFit="1" customWidth="1"/>
    <col min="16" max="16" width="9" bestFit="1" customWidth="1"/>
    <col min="17" max="17" width="17.85546875" bestFit="1" customWidth="1"/>
    <col min="18" max="18" width="9" bestFit="1" customWidth="1"/>
    <col min="19" max="19" width="17.85546875" bestFit="1" customWidth="1"/>
    <col min="20" max="20" width="7.7109375" bestFit="1" customWidth="1"/>
    <col min="21" max="21" width="15.5703125" bestFit="1" customWidth="1"/>
  </cols>
  <sheetData>
    <row r="1" spans="1:17" ht="18.75" x14ac:dyDescent="0.3">
      <c r="A1" s="64" t="s">
        <v>2553</v>
      </c>
      <c r="C1" s="63" t="str">
        <f>'Report date'!A1</f>
        <v>Date: 12/01/2026</v>
      </c>
    </row>
    <row r="3" spans="1:17" x14ac:dyDescent="0.25">
      <c r="B3" s="33" t="s">
        <v>9</v>
      </c>
    </row>
    <row r="4" spans="1:17" x14ac:dyDescent="0.25">
      <c r="B4" s="38" t="s">
        <v>13</v>
      </c>
      <c r="C4" s="38"/>
      <c r="D4" s="39" t="s">
        <v>67</v>
      </c>
      <c r="E4" s="39"/>
      <c r="F4" s="40" t="s">
        <v>22</v>
      </c>
      <c r="G4" s="40"/>
      <c r="H4" t="s">
        <v>15</v>
      </c>
      <c r="J4" s="42" t="s">
        <v>28</v>
      </c>
      <c r="K4" s="42"/>
      <c r="L4" s="43" t="s">
        <v>17</v>
      </c>
      <c r="M4" s="43"/>
      <c r="N4" s="44" t="s">
        <v>21</v>
      </c>
      <c r="O4" s="44"/>
      <c r="P4" s="45" t="s">
        <v>2546</v>
      </c>
      <c r="Q4" s="45" t="s">
        <v>2547</v>
      </c>
    </row>
    <row r="5" spans="1:17" x14ac:dyDescent="0.25">
      <c r="A5" s="33" t="s">
        <v>6</v>
      </c>
      <c r="B5" s="38" t="s">
        <v>2544</v>
      </c>
      <c r="C5" s="38" t="s">
        <v>2545</v>
      </c>
      <c r="D5" s="39" t="s">
        <v>2544</v>
      </c>
      <c r="E5" s="39" t="s">
        <v>2545</v>
      </c>
      <c r="F5" s="40" t="s">
        <v>2544</v>
      </c>
      <c r="G5" s="40" t="s">
        <v>2545</v>
      </c>
      <c r="H5" s="41" t="s">
        <v>2544</v>
      </c>
      <c r="I5" s="41" t="s">
        <v>2545</v>
      </c>
      <c r="J5" s="42" t="s">
        <v>2544</v>
      </c>
      <c r="K5" s="42" t="s">
        <v>2545</v>
      </c>
      <c r="L5" s="43" t="s">
        <v>2544</v>
      </c>
      <c r="M5" s="43" t="s">
        <v>2545</v>
      </c>
      <c r="N5" s="44" t="s">
        <v>2544</v>
      </c>
      <c r="O5" s="44" t="s">
        <v>2545</v>
      </c>
      <c r="P5" s="45"/>
      <c r="Q5" s="45"/>
    </row>
    <row r="6" spans="1:17" x14ac:dyDescent="0.25">
      <c r="A6" s="34" t="s">
        <v>18</v>
      </c>
      <c r="B6" s="80"/>
      <c r="C6" s="47"/>
      <c r="D6" s="81"/>
      <c r="E6" s="49"/>
      <c r="F6" s="82"/>
      <c r="G6" s="51"/>
      <c r="H6" s="83"/>
      <c r="I6" s="53"/>
      <c r="J6" s="84"/>
      <c r="K6" s="55"/>
      <c r="L6" s="85">
        <v>1</v>
      </c>
      <c r="M6" s="57">
        <v>3698446</v>
      </c>
      <c r="N6" s="86"/>
      <c r="O6" s="59"/>
      <c r="P6" s="87">
        <v>1</v>
      </c>
      <c r="Q6" s="61">
        <v>3698446</v>
      </c>
    </row>
    <row r="7" spans="1:17" x14ac:dyDescent="0.25">
      <c r="A7" s="34" t="s">
        <v>29</v>
      </c>
      <c r="B7" s="80"/>
      <c r="C7" s="47"/>
      <c r="D7" s="81"/>
      <c r="E7" s="49"/>
      <c r="F7" s="82"/>
      <c r="G7" s="51"/>
      <c r="H7" s="83">
        <v>1</v>
      </c>
      <c r="I7" s="53">
        <v>9475200</v>
      </c>
      <c r="J7" s="84"/>
      <c r="K7" s="55"/>
      <c r="L7" s="85">
        <v>1</v>
      </c>
      <c r="M7" s="57">
        <v>1945800</v>
      </c>
      <c r="N7" s="86"/>
      <c r="O7" s="59"/>
      <c r="P7" s="87">
        <v>2</v>
      </c>
      <c r="Q7" s="61">
        <v>11421000</v>
      </c>
    </row>
    <row r="8" spans="1:17" x14ac:dyDescent="0.25">
      <c r="A8" s="34" t="s">
        <v>31</v>
      </c>
      <c r="B8" s="80"/>
      <c r="C8" s="47"/>
      <c r="D8" s="81"/>
      <c r="E8" s="49"/>
      <c r="F8" s="82"/>
      <c r="G8" s="51"/>
      <c r="H8" s="83"/>
      <c r="I8" s="53"/>
      <c r="J8" s="84"/>
      <c r="K8" s="55"/>
      <c r="L8" s="85">
        <v>1</v>
      </c>
      <c r="M8" s="57">
        <v>34545000</v>
      </c>
      <c r="N8" s="86"/>
      <c r="O8" s="59"/>
      <c r="P8" s="87">
        <v>1</v>
      </c>
      <c r="Q8" s="61">
        <v>34545000</v>
      </c>
    </row>
    <row r="9" spans="1:17" x14ac:dyDescent="0.25">
      <c r="A9" s="34" t="s">
        <v>51</v>
      </c>
      <c r="B9" s="80">
        <v>3</v>
      </c>
      <c r="C9" s="47">
        <v>5287101</v>
      </c>
      <c r="D9" s="81"/>
      <c r="E9" s="49"/>
      <c r="F9" s="82"/>
      <c r="G9" s="51"/>
      <c r="H9" s="83">
        <v>13</v>
      </c>
      <c r="I9" s="53">
        <v>52689478</v>
      </c>
      <c r="J9" s="84"/>
      <c r="K9" s="55"/>
      <c r="L9" s="85">
        <v>14</v>
      </c>
      <c r="M9" s="57">
        <v>435997761</v>
      </c>
      <c r="N9" s="86">
        <v>2</v>
      </c>
      <c r="O9" s="59">
        <v>1121000</v>
      </c>
      <c r="P9" s="87">
        <v>32</v>
      </c>
      <c r="Q9" s="61">
        <v>495095340</v>
      </c>
    </row>
    <row r="10" spans="1:17" x14ac:dyDescent="0.25">
      <c r="A10" s="34" t="s">
        <v>57</v>
      </c>
      <c r="B10" s="80"/>
      <c r="C10" s="47"/>
      <c r="D10" s="81"/>
      <c r="E10" s="49"/>
      <c r="F10" s="82"/>
      <c r="G10" s="51"/>
      <c r="H10" s="83">
        <v>3</v>
      </c>
      <c r="I10" s="53">
        <v>339737181</v>
      </c>
      <c r="J10" s="84">
        <v>2</v>
      </c>
      <c r="K10" s="55">
        <v>2871000</v>
      </c>
      <c r="L10" s="85">
        <v>5</v>
      </c>
      <c r="M10" s="57">
        <v>226185523</v>
      </c>
      <c r="N10" s="86"/>
      <c r="O10" s="59"/>
      <c r="P10" s="87">
        <v>10</v>
      </c>
      <c r="Q10" s="61">
        <v>568793704</v>
      </c>
    </row>
    <row r="11" spans="1:17" x14ac:dyDescent="0.25">
      <c r="A11" s="34" t="s">
        <v>63</v>
      </c>
      <c r="B11" s="80"/>
      <c r="C11" s="47"/>
      <c r="D11" s="81"/>
      <c r="E11" s="49"/>
      <c r="F11" s="82">
        <v>1</v>
      </c>
      <c r="G11" s="51">
        <v>105556804</v>
      </c>
      <c r="H11" s="83">
        <v>14</v>
      </c>
      <c r="I11" s="53">
        <v>534773770</v>
      </c>
      <c r="J11" s="84"/>
      <c r="K11" s="55"/>
      <c r="L11" s="85">
        <v>23</v>
      </c>
      <c r="M11" s="57">
        <v>1647543377</v>
      </c>
      <c r="N11" s="86">
        <v>5</v>
      </c>
      <c r="O11" s="59">
        <v>4657825</v>
      </c>
      <c r="P11" s="87">
        <v>43</v>
      </c>
      <c r="Q11" s="61">
        <v>2292531776</v>
      </c>
    </row>
    <row r="12" spans="1:17" x14ac:dyDescent="0.25">
      <c r="A12" s="34" t="s">
        <v>69</v>
      </c>
      <c r="B12" s="80">
        <v>1</v>
      </c>
      <c r="C12" s="47">
        <v>15036518</v>
      </c>
      <c r="D12" s="81"/>
      <c r="E12" s="49"/>
      <c r="F12" s="82">
        <v>1</v>
      </c>
      <c r="G12" s="51">
        <v>134963747</v>
      </c>
      <c r="H12" s="83">
        <v>19</v>
      </c>
      <c r="I12" s="53">
        <v>835066495</v>
      </c>
      <c r="J12" s="84">
        <v>2</v>
      </c>
      <c r="K12" s="55">
        <v>8176822</v>
      </c>
      <c r="L12" s="85">
        <v>32</v>
      </c>
      <c r="M12" s="57">
        <v>2551954292</v>
      </c>
      <c r="N12" s="86">
        <v>1</v>
      </c>
      <c r="O12" s="59">
        <v>3129646</v>
      </c>
      <c r="P12" s="87">
        <v>56</v>
      </c>
      <c r="Q12" s="61">
        <v>3548327520</v>
      </c>
    </row>
    <row r="13" spans="1:17" x14ac:dyDescent="0.25">
      <c r="A13" s="34" t="s">
        <v>36</v>
      </c>
      <c r="B13" s="80"/>
      <c r="C13" s="47"/>
      <c r="D13" s="81"/>
      <c r="E13" s="49"/>
      <c r="F13" s="82"/>
      <c r="G13" s="51"/>
      <c r="H13" s="83">
        <v>3</v>
      </c>
      <c r="I13" s="53">
        <v>33346950</v>
      </c>
      <c r="J13" s="84"/>
      <c r="K13" s="55"/>
      <c r="L13" s="85"/>
      <c r="M13" s="57"/>
      <c r="N13" s="86"/>
      <c r="O13" s="59"/>
      <c r="P13" s="87">
        <v>3</v>
      </c>
      <c r="Q13" s="61">
        <v>33346950</v>
      </c>
    </row>
    <row r="14" spans="1:17" x14ac:dyDescent="0.25">
      <c r="A14" s="34" t="s">
        <v>42</v>
      </c>
      <c r="B14" s="80"/>
      <c r="C14" s="47"/>
      <c r="D14" s="81"/>
      <c r="E14" s="49"/>
      <c r="F14" s="82"/>
      <c r="G14" s="51"/>
      <c r="H14" s="83">
        <v>2</v>
      </c>
      <c r="I14" s="53">
        <v>18084675</v>
      </c>
      <c r="J14" s="84"/>
      <c r="K14" s="55"/>
      <c r="L14" s="85"/>
      <c r="M14" s="57"/>
      <c r="N14" s="86"/>
      <c r="O14" s="59"/>
      <c r="P14" s="87">
        <v>2</v>
      </c>
      <c r="Q14" s="61">
        <v>18084675</v>
      </c>
    </row>
    <row r="15" spans="1:17" x14ac:dyDescent="0.25">
      <c r="A15" s="34" t="s">
        <v>45</v>
      </c>
      <c r="B15" s="80">
        <v>1</v>
      </c>
      <c r="C15" s="47">
        <v>6136000</v>
      </c>
      <c r="D15" s="81"/>
      <c r="E15" s="49"/>
      <c r="F15" s="82"/>
      <c r="G15" s="51"/>
      <c r="H15" s="83"/>
      <c r="I15" s="53"/>
      <c r="J15" s="84">
        <v>1</v>
      </c>
      <c r="K15" s="55">
        <v>1062000</v>
      </c>
      <c r="L15" s="85">
        <v>16</v>
      </c>
      <c r="M15" s="57">
        <v>116525000</v>
      </c>
      <c r="N15" s="86">
        <v>3</v>
      </c>
      <c r="O15" s="59">
        <v>4867500</v>
      </c>
      <c r="P15" s="87">
        <v>21</v>
      </c>
      <c r="Q15" s="61">
        <v>128590500</v>
      </c>
    </row>
    <row r="16" spans="1:17" x14ac:dyDescent="0.25">
      <c r="A16" s="34" t="s">
        <v>52</v>
      </c>
      <c r="B16" s="80">
        <v>1</v>
      </c>
      <c r="C16" s="47">
        <v>22925672</v>
      </c>
      <c r="D16" s="81"/>
      <c r="E16" s="49"/>
      <c r="F16" s="82">
        <v>4</v>
      </c>
      <c r="G16" s="51">
        <v>69598715</v>
      </c>
      <c r="H16" s="83">
        <v>33</v>
      </c>
      <c r="I16" s="53">
        <v>699336724</v>
      </c>
      <c r="J16" s="84">
        <v>3</v>
      </c>
      <c r="K16" s="55">
        <v>18951875</v>
      </c>
      <c r="L16" s="85">
        <v>11</v>
      </c>
      <c r="M16" s="57">
        <v>168356867</v>
      </c>
      <c r="N16" s="86">
        <v>15</v>
      </c>
      <c r="O16" s="59">
        <v>74223214</v>
      </c>
      <c r="P16" s="87">
        <v>67</v>
      </c>
      <c r="Q16" s="61">
        <v>1053393067</v>
      </c>
    </row>
    <row r="17" spans="1:17" x14ac:dyDescent="0.25">
      <c r="A17" s="34" t="s">
        <v>60</v>
      </c>
      <c r="B17" s="80">
        <v>4</v>
      </c>
      <c r="C17" s="47">
        <v>112249828</v>
      </c>
      <c r="D17" s="81">
        <v>1</v>
      </c>
      <c r="E17" s="49">
        <v>7962040</v>
      </c>
      <c r="F17" s="82">
        <v>1</v>
      </c>
      <c r="G17" s="51">
        <v>332990873</v>
      </c>
      <c r="H17" s="83">
        <v>59</v>
      </c>
      <c r="I17" s="53">
        <v>1456257454</v>
      </c>
      <c r="J17" s="84">
        <v>10</v>
      </c>
      <c r="K17" s="55">
        <v>50301183</v>
      </c>
      <c r="L17" s="85">
        <v>36</v>
      </c>
      <c r="M17" s="57">
        <v>1064224700</v>
      </c>
      <c r="N17" s="86">
        <v>11</v>
      </c>
      <c r="O17" s="59">
        <v>43354775</v>
      </c>
      <c r="P17" s="87">
        <v>122</v>
      </c>
      <c r="Q17" s="61">
        <v>3067340853</v>
      </c>
    </row>
    <row r="18" spans="1:17" x14ac:dyDescent="0.25">
      <c r="A18" s="34" t="s">
        <v>66</v>
      </c>
      <c r="B18" s="80">
        <v>5</v>
      </c>
      <c r="C18" s="47">
        <v>1265279223</v>
      </c>
      <c r="D18" s="81"/>
      <c r="E18" s="49"/>
      <c r="F18" s="82"/>
      <c r="G18" s="51"/>
      <c r="H18" s="83">
        <v>19</v>
      </c>
      <c r="I18" s="53">
        <v>1249033750</v>
      </c>
      <c r="J18" s="84">
        <v>5</v>
      </c>
      <c r="K18" s="55">
        <v>3687500</v>
      </c>
      <c r="L18" s="85">
        <v>25</v>
      </c>
      <c r="M18" s="57">
        <v>2345990527</v>
      </c>
      <c r="N18" s="86">
        <v>9</v>
      </c>
      <c r="O18" s="59">
        <v>8407500</v>
      </c>
      <c r="P18" s="87">
        <v>63</v>
      </c>
      <c r="Q18" s="61">
        <v>4872398500</v>
      </c>
    </row>
    <row r="19" spans="1:17" x14ac:dyDescent="0.25">
      <c r="A19" s="34" t="s">
        <v>71</v>
      </c>
      <c r="B19" s="80">
        <v>2</v>
      </c>
      <c r="C19" s="47">
        <v>59629515</v>
      </c>
      <c r="D19" s="81">
        <v>2</v>
      </c>
      <c r="E19" s="49">
        <v>57940405</v>
      </c>
      <c r="F19" s="82"/>
      <c r="G19" s="51"/>
      <c r="H19" s="83">
        <v>94</v>
      </c>
      <c r="I19" s="53">
        <v>6811875794.5666666</v>
      </c>
      <c r="J19" s="84"/>
      <c r="K19" s="55"/>
      <c r="L19" s="85">
        <v>63</v>
      </c>
      <c r="M19" s="57">
        <v>4920856250.7666674</v>
      </c>
      <c r="N19" s="86"/>
      <c r="O19" s="59"/>
      <c r="P19" s="87">
        <v>161</v>
      </c>
      <c r="Q19" s="61">
        <v>11850301965.333334</v>
      </c>
    </row>
    <row r="20" spans="1:17" x14ac:dyDescent="0.25">
      <c r="A20" s="34" t="s">
        <v>2542</v>
      </c>
      <c r="B20" s="80">
        <v>17</v>
      </c>
      <c r="C20" s="47">
        <v>1486543857</v>
      </c>
      <c r="D20" s="81">
        <v>3</v>
      </c>
      <c r="E20" s="49">
        <v>65902445</v>
      </c>
      <c r="F20" s="82">
        <v>7</v>
      </c>
      <c r="G20" s="51">
        <v>643110139</v>
      </c>
      <c r="H20" s="83">
        <v>260</v>
      </c>
      <c r="I20" s="53">
        <v>12039677471.566666</v>
      </c>
      <c r="J20" s="84">
        <v>23</v>
      </c>
      <c r="K20" s="55">
        <v>85050380</v>
      </c>
      <c r="L20" s="85">
        <v>228</v>
      </c>
      <c r="M20" s="57">
        <v>13517823543.766666</v>
      </c>
      <c r="N20" s="86">
        <v>46</v>
      </c>
      <c r="O20" s="59">
        <v>139761460</v>
      </c>
      <c r="P20" s="87">
        <v>584</v>
      </c>
      <c r="Q20" s="61">
        <v>27977869296.333336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35F9-87F4-43B7-AC8F-38EDAA2C3A31}">
  <dimension ref="A1:Q41"/>
  <sheetViews>
    <sheetView topLeftCell="A9" workbookViewId="0">
      <selection activeCell="C39" sqref="C39"/>
    </sheetView>
  </sheetViews>
  <sheetFormatPr defaultColWidth="9" defaultRowHeight="15" x14ac:dyDescent="0.25"/>
  <cols>
    <col min="1" max="1" width="21.5703125" style="65" bestFit="1" customWidth="1"/>
    <col min="2" max="2" width="12.5703125" style="67" bestFit="1" customWidth="1"/>
    <col min="3" max="3" width="6.42578125" style="67" bestFit="1" customWidth="1"/>
    <col min="4" max="4" width="11.5703125" style="67" bestFit="1" customWidth="1"/>
    <col min="5" max="5" width="7.140625" style="67" bestFit="1" customWidth="1"/>
    <col min="6" max="6" width="11.5703125" style="67" bestFit="1" customWidth="1"/>
    <col min="7" max="7" width="7.140625" style="67" bestFit="1" customWidth="1"/>
    <col min="8" max="8" width="11.5703125" style="67" bestFit="1" customWidth="1"/>
    <col min="9" max="9" width="8.140625" style="67" bestFit="1" customWidth="1"/>
    <col min="10" max="10" width="11.5703125" style="67" bestFit="1" customWidth="1"/>
    <col min="11" max="11" width="9.140625" style="67" bestFit="1" customWidth="1"/>
    <col min="12" max="12" width="14.28515625" style="67" bestFit="1" customWidth="1"/>
    <col min="13" max="13" width="10.140625" style="67" bestFit="1" customWidth="1"/>
    <col min="14" max="14" width="14.28515625" style="67" bestFit="1" customWidth="1"/>
    <col min="15" max="15" width="8.140625" style="67" bestFit="1" customWidth="1"/>
    <col min="16" max="16" width="14.28515625" style="67" bestFit="1" customWidth="1"/>
    <col min="17" max="17" width="7.85546875" style="67" bestFit="1" customWidth="1"/>
    <col min="18" max="18" width="12" style="67" customWidth="1"/>
    <col min="19" max="19" width="12" style="67" bestFit="1" customWidth="1"/>
    <col min="20" max="22" width="14.5703125" style="67" bestFit="1" customWidth="1"/>
    <col min="23" max="23" width="13.5703125" style="67" bestFit="1" customWidth="1"/>
    <col min="24" max="24" width="15.5703125" style="67" bestFit="1" customWidth="1"/>
    <col min="25" max="25" width="13.5703125" style="67" bestFit="1" customWidth="1"/>
    <col min="26" max="26" width="4.5703125" style="67" bestFit="1" customWidth="1"/>
    <col min="27" max="27" width="4.5703125" style="67" customWidth="1"/>
    <col min="28" max="28" width="12" style="67" bestFit="1" customWidth="1"/>
    <col min="29" max="29" width="12.5703125" style="67" bestFit="1" customWidth="1"/>
    <col min="30" max="32" width="14.5703125" style="67" bestFit="1" customWidth="1"/>
    <col min="33" max="33" width="13.5703125" style="67" bestFit="1" customWidth="1"/>
    <col min="34" max="34" width="15.5703125" style="67" bestFit="1" customWidth="1"/>
    <col min="35" max="35" width="13.5703125" style="67" bestFit="1" customWidth="1"/>
    <col min="36" max="36" width="12" style="67" customWidth="1"/>
    <col min="37" max="37" width="4.5703125" style="67" bestFit="1" customWidth="1"/>
    <col min="38" max="38" width="11" style="67" bestFit="1" customWidth="1"/>
    <col min="39" max="39" width="4.5703125" style="67" bestFit="1" customWidth="1"/>
    <col min="40" max="40" width="14.5703125" style="67" bestFit="1" customWidth="1"/>
    <col min="41" max="41" width="14.5703125" style="67" customWidth="1"/>
    <col min="42" max="42" width="14.5703125" style="67" bestFit="1" customWidth="1"/>
    <col min="43" max="43" width="13.5703125" style="67" bestFit="1" customWidth="1"/>
    <col min="44" max="44" width="15.5703125" style="67" bestFit="1" customWidth="1"/>
    <col min="45" max="46" width="12" style="67" bestFit="1" customWidth="1"/>
    <col min="47" max="47" width="4.5703125" style="67" bestFit="1" customWidth="1"/>
    <col min="48" max="48" width="12" style="67" bestFit="1" customWidth="1"/>
    <col min="49" max="50" width="14.5703125" style="67" bestFit="1" customWidth="1"/>
    <col min="51" max="51" width="11" style="67" bestFit="1" customWidth="1"/>
    <col min="52" max="53" width="14.5703125" style="67" bestFit="1" customWidth="1"/>
    <col min="54" max="54" width="15.5703125" style="67" bestFit="1" customWidth="1"/>
    <col min="55" max="55" width="12" style="67" bestFit="1" customWidth="1"/>
    <col min="56" max="56" width="13.5703125" style="67" bestFit="1" customWidth="1"/>
    <col min="57" max="57" width="4.5703125" style="67" bestFit="1" customWidth="1"/>
    <col min="58" max="58" width="13.5703125" style="67" bestFit="1" customWidth="1"/>
    <col min="59" max="60" width="14.5703125" style="67" bestFit="1" customWidth="1"/>
    <col min="61" max="61" width="13.5703125" style="67" bestFit="1" customWidth="1"/>
    <col min="62" max="63" width="14.5703125" style="67" bestFit="1" customWidth="1"/>
    <col min="64" max="64" width="15.5703125" style="67" bestFit="1" customWidth="1"/>
    <col min="65" max="65" width="13.5703125" style="67" bestFit="1" customWidth="1"/>
    <col min="66" max="66" width="12" style="67" bestFit="1" customWidth="1"/>
    <col min="67" max="68" width="14.5703125" style="67" bestFit="1" customWidth="1"/>
    <col min="69" max="69" width="13.5703125" style="67" bestFit="1" customWidth="1"/>
    <col min="70" max="71" width="14.5703125" style="67" bestFit="1" customWidth="1"/>
    <col min="72" max="72" width="15.5703125" style="67" bestFit="1" customWidth="1"/>
    <col min="73" max="73" width="17.140625" style="67" bestFit="1" customWidth="1"/>
    <col min="74" max="75" width="14.5703125" style="67" bestFit="1" customWidth="1"/>
    <col min="76" max="76" width="15.5703125" style="67" bestFit="1" customWidth="1"/>
    <col min="77" max="80" width="13.5703125" style="67" bestFit="1" customWidth="1"/>
    <col min="81" max="81" width="14.5703125" style="67" bestFit="1" customWidth="1"/>
    <col min="82" max="82" width="17.140625" style="67" bestFit="1" customWidth="1"/>
    <col min="83" max="16384" width="9" style="67"/>
  </cols>
  <sheetData>
    <row r="1" spans="1:17" ht="18.75" x14ac:dyDescent="0.25">
      <c r="B1" s="71" t="s">
        <v>2552</v>
      </c>
      <c r="D1" s="71" t="str">
        <f>'Report date'!A1</f>
        <v>Date: 12/01/2026</v>
      </c>
      <c r="E1" s="64"/>
    </row>
    <row r="2" spans="1:17" ht="18.75" x14ac:dyDescent="0.25">
      <c r="A2" s="77" t="s">
        <v>2559</v>
      </c>
      <c r="B2" s="67" t="s">
        <v>2556</v>
      </c>
      <c r="D2" s="71"/>
      <c r="E2" s="64"/>
    </row>
    <row r="3" spans="1:17" x14ac:dyDescent="0.25">
      <c r="A3" s="77" t="s">
        <v>9</v>
      </c>
      <c r="B3" s="67" t="s">
        <v>15</v>
      </c>
    </row>
    <row r="5" spans="1:17" x14ac:dyDescent="0.25">
      <c r="B5" s="68" t="s">
        <v>0</v>
      </c>
    </row>
    <row r="6" spans="1:17" x14ac:dyDescent="0.25">
      <c r="B6" s="67">
        <v>2019</v>
      </c>
      <c r="D6" s="67">
        <v>2020</v>
      </c>
      <c r="F6" s="67">
        <v>2021</v>
      </c>
      <c r="H6" s="67">
        <v>2022</v>
      </c>
      <c r="J6" s="67">
        <v>2023</v>
      </c>
      <c r="L6" s="67">
        <v>2024</v>
      </c>
      <c r="N6" s="67">
        <v>2025</v>
      </c>
      <c r="P6" s="67">
        <v>2026</v>
      </c>
    </row>
    <row r="7" spans="1:17" x14ac:dyDescent="0.25">
      <c r="A7" s="66" t="s">
        <v>98</v>
      </c>
      <c r="B7" s="67" t="s">
        <v>2554</v>
      </c>
      <c r="C7" s="67" t="s">
        <v>2555</v>
      </c>
      <c r="D7" s="67" t="s">
        <v>2554</v>
      </c>
      <c r="E7" s="67" t="s">
        <v>2555</v>
      </c>
      <c r="F7" s="67" t="s">
        <v>2554</v>
      </c>
      <c r="G7" s="67" t="s">
        <v>2555</v>
      </c>
      <c r="H7" s="67" t="s">
        <v>2554</v>
      </c>
      <c r="I7" s="67" t="s">
        <v>2555</v>
      </c>
      <c r="J7" s="67" t="s">
        <v>2554</v>
      </c>
      <c r="K7" s="67" t="s">
        <v>2555</v>
      </c>
      <c r="L7" s="67" t="s">
        <v>2554</v>
      </c>
      <c r="M7" s="67" t="s">
        <v>2555</v>
      </c>
      <c r="N7" s="67" t="s">
        <v>2554</v>
      </c>
      <c r="O7" s="67" t="s">
        <v>2555</v>
      </c>
      <c r="P7" s="67" t="s">
        <v>2554</v>
      </c>
      <c r="Q7" s="67" t="s">
        <v>2555</v>
      </c>
    </row>
    <row r="8" spans="1:17" x14ac:dyDescent="0.25">
      <c r="A8" s="65" t="s">
        <v>106</v>
      </c>
      <c r="B8" s="69">
        <v>79292182</v>
      </c>
      <c r="C8" s="70"/>
      <c r="D8" s="69"/>
      <c r="E8" s="70" t="e">
        <v>#NULL!</v>
      </c>
      <c r="F8" s="69">
        <v>6152727</v>
      </c>
      <c r="G8" s="70"/>
      <c r="H8" s="69">
        <v>62726390</v>
      </c>
      <c r="I8" s="70">
        <v>9.1948924436270296</v>
      </c>
      <c r="J8" s="69">
        <v>8850000</v>
      </c>
      <c r="K8" s="70">
        <v>-0.85891105800923662</v>
      </c>
      <c r="L8" s="69">
        <v>1087668750</v>
      </c>
      <c r="M8" s="70">
        <v>121.90042372881356</v>
      </c>
      <c r="N8" s="69">
        <v>3149309065</v>
      </c>
      <c r="O8" s="70">
        <v>1.8954670849925586</v>
      </c>
      <c r="P8" s="69"/>
      <c r="Q8" s="70" t="e">
        <v>#NULL!</v>
      </c>
    </row>
    <row r="9" spans="1:17" x14ac:dyDescent="0.25">
      <c r="A9" s="65" t="s">
        <v>109</v>
      </c>
      <c r="B9" s="69">
        <v>5890909</v>
      </c>
      <c r="C9" s="70"/>
      <c r="D9" s="69"/>
      <c r="E9" s="70" t="e">
        <v>#NULL!</v>
      </c>
      <c r="F9" s="69">
        <v>42925454</v>
      </c>
      <c r="G9" s="70"/>
      <c r="H9" s="69">
        <v>3550926</v>
      </c>
      <c r="I9" s="70">
        <v>-0.91727691453187654</v>
      </c>
      <c r="J9" s="69">
        <v>45554461</v>
      </c>
      <c r="K9" s="70">
        <v>11.828896180883522</v>
      </c>
      <c r="L9" s="69">
        <v>1192671620</v>
      </c>
      <c r="M9" s="70">
        <v>25.181225588422613</v>
      </c>
      <c r="N9" s="69">
        <v>1596530555</v>
      </c>
      <c r="O9" s="70">
        <v>0.33861704112654245</v>
      </c>
      <c r="P9" s="69">
        <v>156953704</v>
      </c>
      <c r="Q9" s="70">
        <v>-0.90169076093880329</v>
      </c>
    </row>
    <row r="10" spans="1:17" x14ac:dyDescent="0.25">
      <c r="A10" s="65" t="s">
        <v>136</v>
      </c>
      <c r="B10" s="69"/>
      <c r="C10" s="70"/>
      <c r="D10" s="69">
        <v>26913500</v>
      </c>
      <c r="E10" s="70"/>
      <c r="F10" s="69">
        <v>33007273</v>
      </c>
      <c r="G10" s="70">
        <v>0.22642068107083804</v>
      </c>
      <c r="H10" s="69">
        <v>47778333</v>
      </c>
      <c r="I10" s="70">
        <v>0.44750925046125439</v>
      </c>
      <c r="J10" s="69">
        <v>97190320</v>
      </c>
      <c r="K10" s="70">
        <v>1.0341923607924957</v>
      </c>
      <c r="L10" s="69">
        <v>1728666203</v>
      </c>
      <c r="M10" s="70">
        <v>16.786403038903462</v>
      </c>
      <c r="N10" s="69">
        <v>2151144259</v>
      </c>
      <c r="O10" s="70">
        <v>0.24439539297223131</v>
      </c>
      <c r="P10" s="69">
        <v>243808334</v>
      </c>
      <c r="Q10" s="70">
        <v>-0.88666109537751836</v>
      </c>
    </row>
    <row r="11" spans="1:17" x14ac:dyDescent="0.25">
      <c r="A11" s="65" t="s">
        <v>1978</v>
      </c>
      <c r="B11" s="69"/>
      <c r="C11" s="70"/>
      <c r="D11" s="69"/>
      <c r="E11" s="70" t="e">
        <v>#NULL!</v>
      </c>
      <c r="F11" s="69"/>
      <c r="G11" s="70" t="e">
        <v>#NULL!</v>
      </c>
      <c r="H11" s="69"/>
      <c r="I11" s="70" t="e">
        <v>#NULL!</v>
      </c>
      <c r="J11" s="69"/>
      <c r="K11" s="70" t="e">
        <v>#NULL!</v>
      </c>
      <c r="L11" s="69"/>
      <c r="M11" s="70" t="e">
        <v>#NULL!</v>
      </c>
      <c r="N11" s="69">
        <v>3961867592</v>
      </c>
      <c r="O11" s="70"/>
      <c r="P11" s="69"/>
      <c r="Q11" s="70" t="e">
        <v>#NULL!</v>
      </c>
    </row>
    <row r="12" spans="1:17" x14ac:dyDescent="0.25">
      <c r="A12" s="79" t="s">
        <v>113</v>
      </c>
      <c r="B12" s="69">
        <v>108083455</v>
      </c>
      <c r="C12" s="70"/>
      <c r="D12" s="69"/>
      <c r="E12" s="70" t="e">
        <v>#NULL!</v>
      </c>
      <c r="F12" s="69"/>
      <c r="G12" s="70" t="e">
        <v>#NULL!</v>
      </c>
      <c r="H12" s="69"/>
      <c r="I12" s="70" t="e">
        <v>#NULL!</v>
      </c>
      <c r="J12" s="69"/>
      <c r="K12" s="70" t="e">
        <v>#NULL!</v>
      </c>
      <c r="L12" s="69"/>
      <c r="M12" s="70" t="e">
        <v>#NULL!</v>
      </c>
      <c r="N12" s="69"/>
      <c r="O12" s="70" t="e">
        <v>#NULL!</v>
      </c>
      <c r="P12" s="69"/>
      <c r="Q12" s="70" t="e">
        <v>#NULL!</v>
      </c>
    </row>
    <row r="13" spans="1:17" x14ac:dyDescent="0.25">
      <c r="A13" s="65" t="s">
        <v>1970</v>
      </c>
      <c r="B13" s="69"/>
      <c r="C13" s="70"/>
      <c r="D13" s="69"/>
      <c r="E13" s="70" t="e">
        <v>#NULL!</v>
      </c>
      <c r="F13" s="69"/>
      <c r="G13" s="70" t="e">
        <v>#NULL!</v>
      </c>
      <c r="H13" s="69"/>
      <c r="I13" s="70" t="e">
        <v>#NULL!</v>
      </c>
      <c r="J13" s="69"/>
      <c r="K13" s="70" t="e">
        <v>#NULL!</v>
      </c>
      <c r="L13" s="69"/>
      <c r="M13" s="70" t="e">
        <v>#NULL!</v>
      </c>
      <c r="N13" s="69">
        <v>8233624317</v>
      </c>
      <c r="O13" s="70"/>
      <c r="P13" s="69">
        <v>1451108705</v>
      </c>
      <c r="Q13" s="70">
        <v>-0.82375820791290055</v>
      </c>
    </row>
    <row r="14" spans="1:17" x14ac:dyDescent="0.25">
      <c r="A14" s="65" t="s">
        <v>2340</v>
      </c>
      <c r="B14" s="69"/>
      <c r="C14" s="70"/>
      <c r="D14" s="69"/>
      <c r="E14" s="70" t="e">
        <v>#NULL!</v>
      </c>
      <c r="F14" s="69"/>
      <c r="G14" s="70" t="e">
        <v>#NULL!</v>
      </c>
      <c r="H14" s="69"/>
      <c r="I14" s="70" t="e">
        <v>#NULL!</v>
      </c>
      <c r="J14" s="69"/>
      <c r="K14" s="70" t="e">
        <v>#NULL!</v>
      </c>
      <c r="L14" s="69"/>
      <c r="M14" s="70" t="e">
        <v>#NULL!</v>
      </c>
      <c r="N14" s="69">
        <v>288234260</v>
      </c>
      <c r="O14" s="70"/>
      <c r="P14" s="69">
        <v>9262963</v>
      </c>
      <c r="Q14" s="70">
        <v>-0.96786307429241758</v>
      </c>
    </row>
    <row r="15" spans="1:17" x14ac:dyDescent="0.25">
      <c r="A15" s="65" t="s">
        <v>1971</v>
      </c>
      <c r="B15" s="69"/>
      <c r="C15" s="70"/>
      <c r="D15" s="69"/>
      <c r="E15" s="70" t="e">
        <v>#NULL!</v>
      </c>
      <c r="F15" s="69"/>
      <c r="G15" s="70" t="e">
        <v>#NULL!</v>
      </c>
      <c r="H15" s="69"/>
      <c r="I15" s="70" t="e">
        <v>#NULL!</v>
      </c>
      <c r="J15" s="69"/>
      <c r="K15" s="70" t="e">
        <v>#NULL!</v>
      </c>
      <c r="L15" s="69"/>
      <c r="M15" s="70" t="e">
        <v>#NULL!</v>
      </c>
      <c r="N15" s="69">
        <v>773097360</v>
      </c>
      <c r="O15" s="70"/>
      <c r="P15" s="69">
        <v>61900926</v>
      </c>
      <c r="Q15" s="70">
        <v>-0.91993126713044271</v>
      </c>
    </row>
    <row r="16" spans="1:17" x14ac:dyDescent="0.25">
      <c r="A16" s="65" t="s">
        <v>2445</v>
      </c>
      <c r="B16" s="69"/>
      <c r="C16" s="70"/>
      <c r="D16" s="69"/>
      <c r="E16" s="70" t="e">
        <v>#NULL!</v>
      </c>
      <c r="F16" s="69"/>
      <c r="G16" s="70" t="e">
        <v>#NULL!</v>
      </c>
      <c r="H16" s="69"/>
      <c r="I16" s="70" t="e">
        <v>#NULL!</v>
      </c>
      <c r="J16" s="69"/>
      <c r="K16" s="70" t="e">
        <v>#NULL!</v>
      </c>
      <c r="L16" s="69"/>
      <c r="M16" s="70" t="e">
        <v>#NULL!</v>
      </c>
      <c r="N16" s="69">
        <v>1152174166</v>
      </c>
      <c r="O16" s="70"/>
      <c r="P16" s="69"/>
      <c r="Q16" s="70" t="e">
        <v>#NULL!</v>
      </c>
    </row>
    <row r="17" spans="1:17" x14ac:dyDescent="0.25">
      <c r="A17" s="65" t="s">
        <v>278</v>
      </c>
      <c r="B17" s="69"/>
      <c r="C17" s="70"/>
      <c r="D17" s="69"/>
      <c r="E17" s="70" t="e">
        <v>#NULL!</v>
      </c>
      <c r="F17" s="69"/>
      <c r="G17" s="70" t="e">
        <v>#NULL!</v>
      </c>
      <c r="H17" s="69"/>
      <c r="I17" s="70" t="e">
        <v>#NULL!</v>
      </c>
      <c r="J17" s="69"/>
      <c r="K17" s="70" t="e">
        <v>#NULL!</v>
      </c>
      <c r="L17" s="69"/>
      <c r="M17" s="70" t="e">
        <v>#NULL!</v>
      </c>
      <c r="N17" s="69">
        <v>486628704</v>
      </c>
      <c r="O17" s="70"/>
      <c r="P17" s="69"/>
      <c r="Q17" s="70" t="e">
        <v>#NULL!</v>
      </c>
    </row>
    <row r="18" spans="1:17" x14ac:dyDescent="0.25">
      <c r="A18" s="65" t="s">
        <v>2082</v>
      </c>
      <c r="B18" s="69"/>
      <c r="C18" s="70"/>
      <c r="D18" s="69"/>
      <c r="E18" s="70" t="e">
        <v>#NULL!</v>
      </c>
      <c r="F18" s="69"/>
      <c r="G18" s="70" t="e">
        <v>#NULL!</v>
      </c>
      <c r="H18" s="69"/>
      <c r="I18" s="70" t="e">
        <v>#NULL!</v>
      </c>
      <c r="J18" s="69"/>
      <c r="K18" s="70" t="e">
        <v>#NULL!</v>
      </c>
      <c r="L18" s="69"/>
      <c r="M18" s="70" t="e">
        <v>#NULL!</v>
      </c>
      <c r="N18" s="69">
        <v>516357454</v>
      </c>
      <c r="O18" s="70"/>
      <c r="P18" s="69">
        <v>51638889</v>
      </c>
      <c r="Q18" s="70">
        <v>-0.89999391196936218</v>
      </c>
    </row>
    <row r="19" spans="1:17" x14ac:dyDescent="0.25">
      <c r="A19" s="65" t="s">
        <v>1973</v>
      </c>
      <c r="B19" s="69"/>
      <c r="C19" s="70"/>
      <c r="D19" s="69"/>
      <c r="E19" s="70" t="e">
        <v>#NULL!</v>
      </c>
      <c r="F19" s="69"/>
      <c r="G19" s="70" t="e">
        <v>#NULL!</v>
      </c>
      <c r="H19" s="69"/>
      <c r="I19" s="70" t="e">
        <v>#NULL!</v>
      </c>
      <c r="J19" s="69"/>
      <c r="K19" s="70" t="e">
        <v>#NULL!</v>
      </c>
      <c r="L19" s="69"/>
      <c r="M19" s="70" t="e">
        <v>#NULL!</v>
      </c>
      <c r="N19" s="69">
        <v>502477130</v>
      </c>
      <c r="O19" s="70"/>
      <c r="P19" s="69"/>
      <c r="Q19" s="70" t="e">
        <v>#NULL!</v>
      </c>
    </row>
    <row r="20" spans="1:17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7" x14ac:dyDescent="0.25">
      <c r="B21" s="69"/>
      <c r="C21" s="70"/>
      <c r="D21" s="69"/>
      <c r="E21" s="70"/>
      <c r="F21" s="69"/>
      <c r="G21" s="70"/>
      <c r="H21" s="69"/>
      <c r="I21" s="70"/>
      <c r="J21" s="69"/>
      <c r="K21" s="70"/>
      <c r="L21" s="69"/>
      <c r="M21" s="70"/>
      <c r="N21" s="69"/>
      <c r="O21" s="70"/>
    </row>
    <row r="22" spans="1:17" x14ac:dyDescent="0.25">
      <c r="A22" s="68" t="s">
        <v>2559</v>
      </c>
      <c r="B22" s="67" t="s">
        <v>2556</v>
      </c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7" ht="18.75" x14ac:dyDescent="0.25">
      <c r="A23" s="77" t="s">
        <v>9</v>
      </c>
      <c r="B23" s="67" t="s">
        <v>15</v>
      </c>
      <c r="D23" s="71"/>
      <c r="E23" s="64"/>
    </row>
    <row r="24" spans="1:17" x14ac:dyDescent="0.25">
      <c r="A24" s="68" t="s">
        <v>0</v>
      </c>
      <c r="B24" s="67">
        <v>2025</v>
      </c>
    </row>
    <row r="26" spans="1:17" x14ac:dyDescent="0.25">
      <c r="A26" s="66" t="s">
        <v>2554</v>
      </c>
      <c r="B26" s="68" t="s">
        <v>1</v>
      </c>
      <c r="N26"/>
      <c r="O26"/>
    </row>
    <row r="27" spans="1:17" x14ac:dyDescent="0.25">
      <c r="A27" s="66" t="s">
        <v>98</v>
      </c>
      <c r="B27" s="67">
        <v>1</v>
      </c>
      <c r="C27" s="67">
        <v>3</v>
      </c>
      <c r="D27" s="67">
        <v>4</v>
      </c>
      <c r="E27" s="67">
        <v>5</v>
      </c>
      <c r="F27" s="67">
        <v>6</v>
      </c>
      <c r="G27" s="67">
        <v>7</v>
      </c>
      <c r="H27" s="67">
        <v>8</v>
      </c>
      <c r="I27" s="67">
        <v>9</v>
      </c>
      <c r="J27" s="67">
        <v>10</v>
      </c>
      <c r="K27" s="67">
        <v>11</v>
      </c>
      <c r="L27" s="67">
        <v>12</v>
      </c>
      <c r="M27" s="67" t="s">
        <v>2542</v>
      </c>
      <c r="N27"/>
      <c r="O27"/>
    </row>
    <row r="28" spans="1:17" x14ac:dyDescent="0.25">
      <c r="A28" s="65" t="s">
        <v>106</v>
      </c>
      <c r="B28" s="69">
        <v>862330463</v>
      </c>
      <c r="C28" s="69">
        <v>58348148</v>
      </c>
      <c r="D28" s="69"/>
      <c r="E28" s="69"/>
      <c r="F28" s="69">
        <v>239017361</v>
      </c>
      <c r="G28" s="69">
        <v>972594167</v>
      </c>
      <c r="H28" s="69"/>
      <c r="I28" s="69">
        <v>385009667</v>
      </c>
      <c r="J28" s="69">
        <v>243120370</v>
      </c>
      <c r="K28" s="69">
        <v>388888889</v>
      </c>
      <c r="L28" s="69"/>
      <c r="M28" s="78">
        <v>3149309065</v>
      </c>
      <c r="N28"/>
      <c r="O28"/>
    </row>
    <row r="29" spans="1:17" x14ac:dyDescent="0.25">
      <c r="A29" s="65" t="s">
        <v>109</v>
      </c>
      <c r="B29" s="69"/>
      <c r="C29" s="69">
        <v>322721296</v>
      </c>
      <c r="D29" s="69"/>
      <c r="E29" s="69"/>
      <c r="F29" s="69">
        <v>22398889</v>
      </c>
      <c r="G29" s="69"/>
      <c r="H29" s="69"/>
      <c r="I29" s="69">
        <v>1102137222</v>
      </c>
      <c r="J29" s="69">
        <v>149273148</v>
      </c>
      <c r="K29" s="69"/>
      <c r="L29" s="69"/>
      <c r="M29" s="78">
        <v>1596530555</v>
      </c>
      <c r="N29"/>
      <c r="O29"/>
    </row>
    <row r="30" spans="1:17" x14ac:dyDescent="0.25">
      <c r="A30" s="65" t="s">
        <v>136</v>
      </c>
      <c r="B30" s="69"/>
      <c r="C30" s="69"/>
      <c r="D30" s="69"/>
      <c r="E30" s="69">
        <v>62288333</v>
      </c>
      <c r="F30" s="69">
        <v>119330741</v>
      </c>
      <c r="G30" s="69">
        <v>217133333</v>
      </c>
      <c r="H30" s="69">
        <v>799977963</v>
      </c>
      <c r="I30" s="69">
        <v>439237963</v>
      </c>
      <c r="J30" s="69">
        <v>453403704</v>
      </c>
      <c r="K30" s="69">
        <v>59772222</v>
      </c>
      <c r="L30" s="69"/>
      <c r="M30" s="78">
        <v>2151144259</v>
      </c>
      <c r="N30"/>
      <c r="O30"/>
    </row>
    <row r="31" spans="1:17" x14ac:dyDescent="0.25">
      <c r="A31" s="65" t="s">
        <v>1978</v>
      </c>
      <c r="B31" s="69">
        <v>5663889</v>
      </c>
      <c r="C31" s="69"/>
      <c r="D31" s="69"/>
      <c r="E31" s="69">
        <v>3780425000</v>
      </c>
      <c r="F31" s="69"/>
      <c r="G31" s="69">
        <v>132206481</v>
      </c>
      <c r="H31" s="69"/>
      <c r="I31" s="69">
        <v>43572222</v>
      </c>
      <c r="J31" s="69"/>
      <c r="K31" s="69"/>
      <c r="L31" s="69"/>
      <c r="M31" s="78">
        <v>3961867592</v>
      </c>
      <c r="N31"/>
      <c r="O31"/>
    </row>
    <row r="32" spans="1:17" x14ac:dyDescent="0.25">
      <c r="A32" s="65" t="s">
        <v>1970</v>
      </c>
      <c r="B32" s="69"/>
      <c r="C32" s="69"/>
      <c r="D32" s="69">
        <v>136882685</v>
      </c>
      <c r="E32" s="69">
        <v>78111991</v>
      </c>
      <c r="F32" s="69">
        <v>692219166</v>
      </c>
      <c r="G32" s="69">
        <v>1122196297</v>
      </c>
      <c r="H32" s="69">
        <v>145755556</v>
      </c>
      <c r="I32" s="69">
        <v>347314815</v>
      </c>
      <c r="J32" s="69">
        <v>2767705556</v>
      </c>
      <c r="K32" s="69">
        <v>1234795334</v>
      </c>
      <c r="L32" s="69">
        <v>1708642917</v>
      </c>
      <c r="M32" s="78">
        <v>8233624317</v>
      </c>
      <c r="N32"/>
      <c r="O32"/>
    </row>
    <row r="33" spans="1:15" x14ac:dyDescent="0.25">
      <c r="A33" s="65" t="s">
        <v>2340</v>
      </c>
      <c r="B33" s="69"/>
      <c r="C33" s="69"/>
      <c r="D33" s="69"/>
      <c r="E33" s="69"/>
      <c r="F33" s="69"/>
      <c r="G33" s="69"/>
      <c r="H33" s="69"/>
      <c r="I33" s="69">
        <v>288234260</v>
      </c>
      <c r="J33" s="69"/>
      <c r="K33" s="69"/>
      <c r="L33" s="69"/>
      <c r="M33" s="78">
        <v>288234260</v>
      </c>
      <c r="N33"/>
      <c r="O33"/>
    </row>
    <row r="34" spans="1:15" x14ac:dyDescent="0.25">
      <c r="A34" s="65" t="s">
        <v>1971</v>
      </c>
      <c r="B34" s="69"/>
      <c r="C34" s="69"/>
      <c r="D34" s="69">
        <v>151469583</v>
      </c>
      <c r="E34" s="69"/>
      <c r="F34" s="69">
        <v>438776852</v>
      </c>
      <c r="G34" s="69">
        <v>26206481</v>
      </c>
      <c r="H34" s="69"/>
      <c r="I34" s="69">
        <v>156644444</v>
      </c>
      <c r="J34" s="69"/>
      <c r="K34" s="69"/>
      <c r="L34" s="69"/>
      <c r="M34" s="78">
        <v>773097360</v>
      </c>
      <c r="N34"/>
      <c r="O34"/>
    </row>
    <row r="35" spans="1:15" x14ac:dyDescent="0.25">
      <c r="A35" s="65" t="s">
        <v>2445</v>
      </c>
      <c r="B35" s="69"/>
      <c r="C35" s="69"/>
      <c r="D35" s="69"/>
      <c r="E35" s="69"/>
      <c r="F35" s="69"/>
      <c r="G35" s="69"/>
      <c r="H35" s="69">
        <v>179340741</v>
      </c>
      <c r="I35" s="69"/>
      <c r="J35" s="69"/>
      <c r="K35" s="69">
        <v>972833425</v>
      </c>
      <c r="L35" s="69"/>
      <c r="M35" s="78">
        <v>1152174166</v>
      </c>
      <c r="N35"/>
      <c r="O35"/>
    </row>
    <row r="36" spans="1:15" x14ac:dyDescent="0.25">
      <c r="A36" s="65" t="s">
        <v>278</v>
      </c>
      <c r="B36" s="69"/>
      <c r="C36" s="69"/>
      <c r="D36" s="69"/>
      <c r="E36" s="69"/>
      <c r="F36" s="69"/>
      <c r="G36" s="69">
        <v>17625000</v>
      </c>
      <c r="H36" s="69">
        <v>257465741</v>
      </c>
      <c r="I36" s="69"/>
      <c r="J36" s="69"/>
      <c r="K36" s="69">
        <v>211537963</v>
      </c>
      <c r="L36" s="69"/>
      <c r="M36" s="78">
        <v>486628704</v>
      </c>
      <c r="N36"/>
      <c r="O36"/>
    </row>
    <row r="37" spans="1:15" x14ac:dyDescent="0.25">
      <c r="A37" s="65" t="s">
        <v>2082</v>
      </c>
      <c r="B37" s="69"/>
      <c r="C37" s="69"/>
      <c r="D37" s="69"/>
      <c r="E37" s="69">
        <v>223143565</v>
      </c>
      <c r="F37" s="69">
        <v>142025000</v>
      </c>
      <c r="G37" s="69"/>
      <c r="H37" s="69"/>
      <c r="I37" s="69"/>
      <c r="J37" s="69">
        <v>18577778</v>
      </c>
      <c r="K37" s="69"/>
      <c r="L37" s="69">
        <v>132611111</v>
      </c>
      <c r="M37" s="78">
        <v>516357454</v>
      </c>
      <c r="N37"/>
      <c r="O37"/>
    </row>
    <row r="38" spans="1:15" x14ac:dyDescent="0.25">
      <c r="A38" s="65" t="s">
        <v>1973</v>
      </c>
      <c r="B38" s="69">
        <v>4013889</v>
      </c>
      <c r="C38" s="69"/>
      <c r="D38" s="69"/>
      <c r="E38" s="69"/>
      <c r="F38" s="69"/>
      <c r="G38" s="69">
        <v>498463241</v>
      </c>
      <c r="H38" s="69"/>
      <c r="I38" s="69"/>
      <c r="J38" s="69"/>
      <c r="K38" s="69"/>
      <c r="L38" s="69"/>
      <c r="M38" s="78">
        <v>502477130</v>
      </c>
      <c r="N38"/>
      <c r="O38"/>
    </row>
    <row r="39" spans="1: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</sheetData>
  <pageMargins left="0.7" right="0.7" top="0.75" bottom="0.75" header="0.3" footer="0.3"/>
  <pageSetup orientation="portrait" horizontalDpi="0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F731-5AF6-4B56-AEE8-45CB8B6851EF}">
  <sheetPr>
    <tabColor rgb="FFFF0000"/>
  </sheetPr>
  <dimension ref="A1:AJ892"/>
  <sheetViews>
    <sheetView topLeftCell="A872" workbookViewId="0">
      <selection activeCell="A859" sqref="A859:AH892"/>
    </sheetView>
  </sheetViews>
  <sheetFormatPr defaultRowHeight="15" x14ac:dyDescent="0.25"/>
  <cols>
    <col min="1" max="1" width="9" bestFit="1" customWidth="1"/>
    <col min="2" max="2" width="10.28515625" bestFit="1" customWidth="1"/>
    <col min="3" max="3" width="9.5703125" bestFit="1" customWidth="1"/>
    <col min="4" max="4" width="12.28515625" bestFit="1" customWidth="1"/>
    <col min="5" max="5" width="19" bestFit="1" customWidth="1"/>
    <col min="6" max="6" width="10.5703125" bestFit="1" customWidth="1"/>
    <col min="7" max="7" width="12.7109375" bestFit="1" customWidth="1"/>
    <col min="8" max="8" width="12.85546875" bestFit="1" customWidth="1"/>
    <col min="9" max="9" width="9.28515625" bestFit="1" customWidth="1"/>
    <col min="10" max="10" width="8.7109375" bestFit="1" customWidth="1"/>
    <col min="11" max="11" width="13" bestFit="1" customWidth="1"/>
    <col min="12" max="12" width="42" bestFit="1" customWidth="1"/>
    <col min="13" max="13" width="9.28515625" bestFit="1" customWidth="1"/>
    <col min="14" max="14" width="8.85546875" bestFit="1" customWidth="1"/>
    <col min="15" max="15" width="8" bestFit="1" customWidth="1"/>
    <col min="16" max="16" width="12.42578125" bestFit="1" customWidth="1"/>
    <col min="17" max="17" width="16" bestFit="1" customWidth="1"/>
    <col min="18" max="18" width="13.85546875" bestFit="1" customWidth="1"/>
    <col min="19" max="19" width="12.7109375" bestFit="1" customWidth="1"/>
    <col min="20" max="20" width="12" bestFit="1" customWidth="1"/>
    <col min="21" max="21" width="12.5703125" bestFit="1" customWidth="1"/>
    <col min="22" max="22" width="12" bestFit="1" customWidth="1"/>
    <col min="23" max="23" width="23" bestFit="1" customWidth="1"/>
    <col min="24" max="24" width="17" customWidth="1"/>
    <col min="25" max="25" width="17.28515625" customWidth="1"/>
    <col min="26" max="26" width="11.140625" customWidth="1"/>
    <col min="27" max="27" width="9.28515625" bestFit="1" customWidth="1"/>
    <col min="28" max="28" width="20.7109375" bestFit="1" customWidth="1"/>
    <col min="29" max="29" width="13.28515625" bestFit="1" customWidth="1"/>
    <col min="30" max="30" width="15.85546875" bestFit="1" customWidth="1"/>
    <col min="31" max="31" width="12.7109375" bestFit="1" customWidth="1"/>
    <col min="32" max="32" width="22" bestFit="1" customWidth="1"/>
    <col min="33" max="33" width="23.28515625" bestFit="1" customWidth="1"/>
    <col min="34" max="34" width="13.28515625" bestFit="1" customWidth="1"/>
    <col min="35" max="35" width="12.5703125" bestFit="1" customWidth="1"/>
  </cols>
  <sheetData>
    <row r="1" spans="1:36" ht="25.5" x14ac:dyDescent="0.25">
      <c r="A1" s="72" t="s">
        <v>0</v>
      </c>
      <c r="B1" s="72" t="s">
        <v>1</v>
      </c>
      <c r="C1" s="72" t="s">
        <v>72</v>
      </c>
      <c r="D1" s="72" t="s">
        <v>73</v>
      </c>
      <c r="E1" s="72" t="s">
        <v>74</v>
      </c>
      <c r="F1" s="72" t="s">
        <v>6</v>
      </c>
      <c r="G1" s="73" t="s">
        <v>75</v>
      </c>
      <c r="H1" s="73" t="s">
        <v>76</v>
      </c>
      <c r="I1" s="72" t="s">
        <v>2</v>
      </c>
      <c r="J1" s="72" t="s">
        <v>77</v>
      </c>
      <c r="K1" s="72" t="s">
        <v>78</v>
      </c>
      <c r="L1" s="74" t="s">
        <v>79</v>
      </c>
      <c r="M1" s="72" t="s">
        <v>9</v>
      </c>
      <c r="N1" s="72" t="s">
        <v>80</v>
      </c>
      <c r="O1" s="72" t="s">
        <v>81</v>
      </c>
      <c r="P1" s="73" t="s">
        <v>82</v>
      </c>
      <c r="Q1" s="72" t="s">
        <v>83</v>
      </c>
      <c r="R1" s="73" t="s">
        <v>84</v>
      </c>
      <c r="S1" s="73" t="s">
        <v>85</v>
      </c>
      <c r="T1" s="72" t="s">
        <v>86</v>
      </c>
      <c r="U1" s="75" t="s">
        <v>87</v>
      </c>
      <c r="V1" s="75" t="s">
        <v>88</v>
      </c>
      <c r="W1" s="72" t="s">
        <v>89</v>
      </c>
      <c r="X1" s="72" t="s">
        <v>90</v>
      </c>
      <c r="Y1" s="72" t="s">
        <v>91</v>
      </c>
      <c r="Z1" s="72" t="s">
        <v>92</v>
      </c>
      <c r="AA1" s="72" t="s">
        <v>93</v>
      </c>
      <c r="AB1" s="72" t="s">
        <v>94</v>
      </c>
      <c r="AC1" s="73" t="s">
        <v>95</v>
      </c>
      <c r="AD1" s="72" t="s">
        <v>96</v>
      </c>
      <c r="AE1" s="73" t="s">
        <v>97</v>
      </c>
      <c r="AF1" s="72" t="s">
        <v>98</v>
      </c>
      <c r="AG1" s="76" t="s">
        <v>99</v>
      </c>
      <c r="AH1" s="73" t="s">
        <v>100</v>
      </c>
      <c r="AI1" s="6" t="s">
        <v>2551</v>
      </c>
      <c r="AJ1" s="6" t="s">
        <v>2559</v>
      </c>
    </row>
    <row r="2" spans="1:36" x14ac:dyDescent="0.25">
      <c r="A2" s="7">
        <v>2019</v>
      </c>
      <c r="B2" s="8">
        <v>1</v>
      </c>
      <c r="C2" s="8">
        <v>2</v>
      </c>
      <c r="D2" s="8" t="s">
        <v>30</v>
      </c>
      <c r="E2" s="8" t="s">
        <v>12</v>
      </c>
      <c r="F2" s="8" t="s">
        <v>30</v>
      </c>
      <c r="G2" s="9">
        <v>13991896</v>
      </c>
      <c r="H2" s="10">
        <v>10827625</v>
      </c>
      <c r="I2" s="11">
        <v>43477</v>
      </c>
      <c r="J2" s="12">
        <v>109007</v>
      </c>
      <c r="K2" s="13" t="s">
        <v>213</v>
      </c>
      <c r="L2" s="14" t="s">
        <v>59</v>
      </c>
      <c r="M2" s="11" t="s">
        <v>17</v>
      </c>
      <c r="N2" s="14" t="s">
        <v>11</v>
      </c>
      <c r="O2" s="15">
        <v>294</v>
      </c>
      <c r="P2" s="12">
        <v>1</v>
      </c>
      <c r="Q2" s="13" t="s">
        <v>102</v>
      </c>
      <c r="R2" s="16">
        <v>26511650</v>
      </c>
      <c r="S2" s="17">
        <v>24101500</v>
      </c>
      <c r="T2" s="12">
        <v>5</v>
      </c>
      <c r="U2" s="18">
        <v>1268500</v>
      </c>
      <c r="V2" s="19">
        <v>1395350</v>
      </c>
      <c r="W2" s="13" t="s">
        <v>140</v>
      </c>
      <c r="X2" s="14" t="s">
        <v>214</v>
      </c>
      <c r="Y2" s="13" t="s">
        <v>198</v>
      </c>
      <c r="Z2" s="14" t="s">
        <v>215</v>
      </c>
      <c r="AA2" s="17">
        <v>16</v>
      </c>
      <c r="AB2" s="14" t="s">
        <v>173</v>
      </c>
      <c r="AC2" s="17">
        <v>27907000</v>
      </c>
      <c r="AD2" s="14">
        <v>6</v>
      </c>
      <c r="AE2" s="17">
        <v>25370000</v>
      </c>
      <c r="AF2" s="14" t="s">
        <v>142</v>
      </c>
      <c r="AG2" s="20" t="s">
        <v>199</v>
      </c>
      <c r="AH2" s="10">
        <v>10109604</v>
      </c>
      <c r="AI2" s="24" t="str">
        <f>VLOOKUP(Sales[[#This Row],[Store]],'Store lay bao  cao'!A:B,2,0)</f>
        <v>Lấy BC</v>
      </c>
      <c r="AJ2" s="24" t="str">
        <f>VLOOKUP(Sales[[#This Row],[Associate]],'Associate Status'!B:C,2,0)</f>
        <v>Retired</v>
      </c>
    </row>
    <row r="3" spans="1:36" x14ac:dyDescent="0.25">
      <c r="A3" s="7">
        <v>2019</v>
      </c>
      <c r="B3" s="8">
        <v>1</v>
      </c>
      <c r="C3" s="8">
        <v>3</v>
      </c>
      <c r="D3" s="8" t="s">
        <v>33</v>
      </c>
      <c r="E3" s="8" t="s">
        <v>43</v>
      </c>
      <c r="F3" s="8" t="s">
        <v>33</v>
      </c>
      <c r="G3" s="9">
        <v>11433892</v>
      </c>
      <c r="H3" s="10">
        <v>11249280</v>
      </c>
      <c r="I3" s="11">
        <v>43483</v>
      </c>
      <c r="J3" s="12">
        <v>117933</v>
      </c>
      <c r="K3" s="13" t="s">
        <v>237</v>
      </c>
      <c r="L3" s="14" t="s">
        <v>19</v>
      </c>
      <c r="M3" s="11" t="s">
        <v>15</v>
      </c>
      <c r="N3" s="14" t="s">
        <v>11</v>
      </c>
      <c r="O3" s="15">
        <v>715</v>
      </c>
      <c r="P3" s="12">
        <v>1</v>
      </c>
      <c r="Q3" s="13" t="s">
        <v>102</v>
      </c>
      <c r="R3" s="16">
        <v>26128000</v>
      </c>
      <c r="S3" s="17">
        <v>23752727</v>
      </c>
      <c r="T3" s="12">
        <v>20</v>
      </c>
      <c r="U3" s="18">
        <v>5938182</v>
      </c>
      <c r="V3" s="19">
        <v>6532000</v>
      </c>
      <c r="W3" s="13" t="s">
        <v>135</v>
      </c>
      <c r="X3" s="14" t="s">
        <v>238</v>
      </c>
      <c r="Y3" s="13" t="s">
        <v>152</v>
      </c>
      <c r="Z3" s="14" t="s">
        <v>239</v>
      </c>
      <c r="AA3" s="17">
        <v>15</v>
      </c>
      <c r="AB3" s="14" t="s">
        <v>240</v>
      </c>
      <c r="AC3" s="17">
        <v>32660000</v>
      </c>
      <c r="AD3" s="14">
        <v>11</v>
      </c>
      <c r="AE3" s="17">
        <v>29690909</v>
      </c>
      <c r="AF3" s="14" t="s">
        <v>117</v>
      </c>
      <c r="AG3" s="21" t="s">
        <v>153</v>
      </c>
      <c r="AH3" s="10">
        <v>12318835</v>
      </c>
      <c r="AI3" s="24" t="str">
        <f>VLOOKUP(Sales[[#This Row],[Store]],'Store lay bao  cao'!A:B,2,0)</f>
        <v>Lấy BC</v>
      </c>
      <c r="AJ3" s="24" t="str">
        <f>VLOOKUP(Sales[[#This Row],[Associate]],'Associate Status'!B:C,2,0)</f>
        <v>Retired</v>
      </c>
    </row>
    <row r="4" spans="1:36" x14ac:dyDescent="0.25">
      <c r="A4" s="7">
        <v>2019</v>
      </c>
      <c r="B4" s="8">
        <v>1</v>
      </c>
      <c r="C4" s="8">
        <v>4</v>
      </c>
      <c r="D4" s="8" t="s">
        <v>30</v>
      </c>
      <c r="E4" s="8" t="s">
        <v>12</v>
      </c>
      <c r="F4" s="8" t="s">
        <v>30</v>
      </c>
      <c r="G4" s="9">
        <v>26510963</v>
      </c>
      <c r="H4" s="10">
        <v>20515500</v>
      </c>
      <c r="I4" s="11">
        <v>43486</v>
      </c>
      <c r="J4" s="12">
        <v>109005</v>
      </c>
      <c r="K4" s="13" t="s">
        <v>257</v>
      </c>
      <c r="L4" s="14" t="s">
        <v>59</v>
      </c>
      <c r="M4" s="11" t="s">
        <v>41</v>
      </c>
      <c r="N4" s="14" t="s">
        <v>11</v>
      </c>
      <c r="O4" s="15">
        <v>14</v>
      </c>
      <c r="P4" s="12">
        <v>1</v>
      </c>
      <c r="Q4" s="13" t="s">
        <v>156</v>
      </c>
      <c r="R4" s="16">
        <v>0</v>
      </c>
      <c r="S4" s="17">
        <v>0</v>
      </c>
      <c r="T4" s="12">
        <v>100</v>
      </c>
      <c r="U4" s="18">
        <v>48068182</v>
      </c>
      <c r="V4" s="19">
        <v>52875000</v>
      </c>
      <c r="W4" s="13" t="s">
        <v>195</v>
      </c>
      <c r="X4" s="14" t="s">
        <v>258</v>
      </c>
      <c r="Y4" s="13" t="s">
        <v>256</v>
      </c>
      <c r="Z4" s="14" t="s">
        <v>259</v>
      </c>
      <c r="AA4" s="17">
        <v>15</v>
      </c>
      <c r="AB4" s="14" t="s">
        <v>173</v>
      </c>
      <c r="AC4" s="17">
        <v>52875000</v>
      </c>
      <c r="AD4" s="14">
        <v>7</v>
      </c>
      <c r="AE4" s="17">
        <v>48068182</v>
      </c>
      <c r="AF4" s="14" t="s">
        <v>117</v>
      </c>
      <c r="AG4" s="20"/>
      <c r="AH4" s="10">
        <v>-26510963</v>
      </c>
      <c r="AI4" s="24" t="str">
        <f>VLOOKUP(Sales[[#This Row],[Store]],'Store lay bao  cao'!A:B,2,0)</f>
        <v>Không lấy  BC</v>
      </c>
      <c r="AJ4" s="24" t="str">
        <f>VLOOKUP(Sales[[#This Row],[Associate]],'Associate Status'!B:C,2,0)</f>
        <v>Retired</v>
      </c>
    </row>
    <row r="5" spans="1:36" x14ac:dyDescent="0.25">
      <c r="A5" s="7">
        <v>2019</v>
      </c>
      <c r="B5" s="8">
        <v>1</v>
      </c>
      <c r="C5" s="8">
        <v>5</v>
      </c>
      <c r="D5" s="8" t="s">
        <v>33</v>
      </c>
      <c r="E5" s="8" t="s">
        <v>37</v>
      </c>
      <c r="F5" s="8" t="s">
        <v>33</v>
      </c>
      <c r="G5" s="9">
        <v>11116284</v>
      </c>
      <c r="H5" s="10">
        <v>10936800.000000002</v>
      </c>
      <c r="I5" s="11">
        <v>43493</v>
      </c>
      <c r="J5" s="12">
        <v>117928</v>
      </c>
      <c r="K5" s="13" t="s">
        <v>287</v>
      </c>
      <c r="L5" s="14" t="s">
        <v>19</v>
      </c>
      <c r="M5" s="11" t="s">
        <v>17</v>
      </c>
      <c r="N5" s="14" t="s">
        <v>11</v>
      </c>
      <c r="O5" s="15">
        <v>441</v>
      </c>
      <c r="P5" s="12">
        <v>1</v>
      </c>
      <c r="Q5" s="13" t="s">
        <v>110</v>
      </c>
      <c r="R5" s="16">
        <v>31752000</v>
      </c>
      <c r="S5" s="17">
        <v>28865455</v>
      </c>
      <c r="T5" s="12">
        <v>0</v>
      </c>
      <c r="U5" s="18">
        <v>0</v>
      </c>
      <c r="V5" s="19">
        <v>0</v>
      </c>
      <c r="W5" s="13" t="s">
        <v>140</v>
      </c>
      <c r="X5" s="14" t="s">
        <v>288</v>
      </c>
      <c r="Y5" s="13" t="s">
        <v>206</v>
      </c>
      <c r="Z5" s="14" t="s">
        <v>289</v>
      </c>
      <c r="AA5" s="17">
        <v>17</v>
      </c>
      <c r="AB5" s="14" t="s">
        <v>240</v>
      </c>
      <c r="AC5" s="17">
        <v>31752000</v>
      </c>
      <c r="AD5" s="14" t="s">
        <v>108</v>
      </c>
      <c r="AE5" s="17">
        <v>28865455</v>
      </c>
      <c r="AF5" s="14" t="s">
        <v>181</v>
      </c>
      <c r="AG5" s="21" t="s">
        <v>207</v>
      </c>
      <c r="AH5" s="10">
        <v>17749171</v>
      </c>
      <c r="AI5" s="24" t="str">
        <f>VLOOKUP(Sales[[#This Row],[Store]],'Store lay bao  cao'!A:B,2,0)</f>
        <v>Lấy BC</v>
      </c>
      <c r="AJ5" s="24" t="str">
        <f>VLOOKUP(Sales[[#This Row],[Associate]],'Associate Status'!B:C,2,0)</f>
        <v>Retired</v>
      </c>
    </row>
    <row r="6" spans="1:36" x14ac:dyDescent="0.25">
      <c r="A6" s="7">
        <v>2019</v>
      </c>
      <c r="B6" s="8">
        <v>3</v>
      </c>
      <c r="C6" s="8">
        <v>11</v>
      </c>
      <c r="D6" s="8" t="s">
        <v>33</v>
      </c>
      <c r="E6" s="8" t="s">
        <v>43</v>
      </c>
      <c r="F6" s="8" t="s">
        <v>33</v>
      </c>
      <c r="G6" s="9">
        <v>7365600</v>
      </c>
      <c r="H6" s="10">
        <v>7365600.0000000009</v>
      </c>
      <c r="I6" s="11">
        <v>43539</v>
      </c>
      <c r="J6" s="12">
        <v>117944</v>
      </c>
      <c r="K6" s="13" t="s">
        <v>334</v>
      </c>
      <c r="L6" s="14" t="s">
        <v>19</v>
      </c>
      <c r="M6" s="11" t="s">
        <v>15</v>
      </c>
      <c r="N6" s="14" t="s">
        <v>11</v>
      </c>
      <c r="O6" s="15">
        <v>1352</v>
      </c>
      <c r="P6" s="12">
        <v>1</v>
      </c>
      <c r="Q6" s="13" t="s">
        <v>110</v>
      </c>
      <c r="R6" s="16">
        <v>20314800</v>
      </c>
      <c r="S6" s="17">
        <v>18468000</v>
      </c>
      <c r="T6" s="12">
        <v>5</v>
      </c>
      <c r="U6" s="18">
        <v>972000</v>
      </c>
      <c r="V6" s="19">
        <v>1069200</v>
      </c>
      <c r="W6" s="13" t="s">
        <v>134</v>
      </c>
      <c r="X6" s="14" t="s">
        <v>335</v>
      </c>
      <c r="Y6" s="13" t="s">
        <v>312</v>
      </c>
      <c r="Z6" s="14" t="s">
        <v>336</v>
      </c>
      <c r="AA6" s="17">
        <v>10</v>
      </c>
      <c r="AB6" s="14" t="s">
        <v>220</v>
      </c>
      <c r="AC6" s="17">
        <v>21384000</v>
      </c>
      <c r="AD6" s="14">
        <v>11</v>
      </c>
      <c r="AE6" s="17">
        <v>19440000</v>
      </c>
      <c r="AF6" s="14" t="s">
        <v>106</v>
      </c>
      <c r="AG6" s="20" t="s">
        <v>313</v>
      </c>
      <c r="AH6" s="10">
        <v>11102400</v>
      </c>
      <c r="AI6" s="24" t="str">
        <f>VLOOKUP(Sales[[#This Row],[Store]],'Store lay bao  cao'!A:B,2,0)</f>
        <v>Lấy BC</v>
      </c>
      <c r="AJ6" s="24" t="str">
        <f>VLOOKUP(Sales[[#This Row],[Associate]],'Associate Status'!B:C,2,0)</f>
        <v>Active</v>
      </c>
    </row>
    <row r="7" spans="1:36" x14ac:dyDescent="0.25">
      <c r="A7" s="7">
        <v>2019</v>
      </c>
      <c r="B7" s="8">
        <v>3</v>
      </c>
      <c r="C7" s="8">
        <v>12</v>
      </c>
      <c r="D7" s="8" t="s">
        <v>29</v>
      </c>
      <c r="E7" s="8" t="s">
        <v>12</v>
      </c>
      <c r="F7" s="8" t="s">
        <v>29</v>
      </c>
      <c r="G7" s="9">
        <v>2284200</v>
      </c>
      <c r="H7" s="10">
        <v>2284200</v>
      </c>
      <c r="I7" s="11">
        <v>43548</v>
      </c>
      <c r="J7" s="12">
        <v>90588</v>
      </c>
      <c r="K7" s="13" t="s">
        <v>338</v>
      </c>
      <c r="L7" s="14" t="s">
        <v>19</v>
      </c>
      <c r="M7" s="11" t="s">
        <v>15</v>
      </c>
      <c r="N7" s="14" t="s">
        <v>11</v>
      </c>
      <c r="O7" s="15">
        <v>1449</v>
      </c>
      <c r="P7" s="12">
        <v>1</v>
      </c>
      <c r="Q7" s="13" t="s">
        <v>102</v>
      </c>
      <c r="R7" s="16">
        <v>7614000</v>
      </c>
      <c r="S7" s="17">
        <v>6921818</v>
      </c>
      <c r="T7" s="12">
        <v>0</v>
      </c>
      <c r="U7" s="18">
        <v>0</v>
      </c>
      <c r="V7" s="19">
        <v>0</v>
      </c>
      <c r="W7" s="13" t="s">
        <v>134</v>
      </c>
      <c r="X7" s="14" t="s">
        <v>339</v>
      </c>
      <c r="Y7" s="13" t="s">
        <v>244</v>
      </c>
      <c r="Z7" s="14" t="s">
        <v>340</v>
      </c>
      <c r="AA7" s="17">
        <v>14</v>
      </c>
      <c r="AB7" s="14"/>
      <c r="AC7" s="17">
        <v>7614000</v>
      </c>
      <c r="AD7" s="14">
        <v>12</v>
      </c>
      <c r="AE7" s="17">
        <v>6921818</v>
      </c>
      <c r="AF7" s="14" t="s">
        <v>106</v>
      </c>
      <c r="AG7" s="21" t="s">
        <v>245</v>
      </c>
      <c r="AH7" s="10">
        <v>4637618</v>
      </c>
      <c r="AI7" s="24" t="str">
        <f>VLOOKUP(Sales[[#This Row],[Store]],'Store lay bao  cao'!A:B,2,0)</f>
        <v>Lấy BC</v>
      </c>
      <c r="AJ7" s="24" t="str">
        <f>VLOOKUP(Sales[[#This Row],[Associate]],'Associate Status'!B:C,2,0)</f>
        <v>Active</v>
      </c>
    </row>
    <row r="8" spans="1:36" x14ac:dyDescent="0.25">
      <c r="A8" s="7">
        <v>2019</v>
      </c>
      <c r="B8" s="8">
        <v>4</v>
      </c>
      <c r="C8" s="8">
        <v>15</v>
      </c>
      <c r="D8" s="8" t="s">
        <v>33</v>
      </c>
      <c r="E8" s="8" t="s">
        <v>43</v>
      </c>
      <c r="F8" s="8" t="s">
        <v>33</v>
      </c>
      <c r="G8" s="9">
        <v>7486477</v>
      </c>
      <c r="H8" s="10">
        <v>7365600.0000000009</v>
      </c>
      <c r="I8" s="11">
        <v>43563</v>
      </c>
      <c r="J8" s="12">
        <v>117940</v>
      </c>
      <c r="K8" s="13" t="s">
        <v>343</v>
      </c>
      <c r="L8" s="14" t="s">
        <v>19</v>
      </c>
      <c r="M8" s="11" t="s">
        <v>15</v>
      </c>
      <c r="N8" s="14" t="s">
        <v>11</v>
      </c>
      <c r="O8" s="15">
        <v>1576</v>
      </c>
      <c r="P8" s="12">
        <v>1</v>
      </c>
      <c r="Q8" s="13" t="s">
        <v>110</v>
      </c>
      <c r="R8" s="16">
        <v>20314800</v>
      </c>
      <c r="S8" s="17">
        <v>18468000</v>
      </c>
      <c r="T8" s="12">
        <v>5</v>
      </c>
      <c r="U8" s="18">
        <v>972000</v>
      </c>
      <c r="V8" s="19">
        <v>1069200</v>
      </c>
      <c r="W8" s="13" t="s">
        <v>134</v>
      </c>
      <c r="X8" s="14" t="s">
        <v>344</v>
      </c>
      <c r="Y8" s="13" t="s">
        <v>312</v>
      </c>
      <c r="Z8" s="14" t="s">
        <v>345</v>
      </c>
      <c r="AA8" s="17">
        <v>19</v>
      </c>
      <c r="AB8" s="14" t="s">
        <v>346</v>
      </c>
      <c r="AC8" s="17">
        <v>21384000</v>
      </c>
      <c r="AD8" s="14">
        <v>12</v>
      </c>
      <c r="AE8" s="17">
        <v>19440000</v>
      </c>
      <c r="AF8" s="14" t="s">
        <v>106</v>
      </c>
      <c r="AG8" s="20" t="s">
        <v>313</v>
      </c>
      <c r="AH8" s="10">
        <v>10981523</v>
      </c>
      <c r="AI8" s="24" t="str">
        <f>VLOOKUP(Sales[[#This Row],[Store]],'Store lay bao  cao'!A:B,2,0)</f>
        <v>Lấy BC</v>
      </c>
      <c r="AJ8" s="24" t="str">
        <f>VLOOKUP(Sales[[#This Row],[Associate]],'Associate Status'!B:C,2,0)</f>
        <v>Active</v>
      </c>
    </row>
    <row r="9" spans="1:36" x14ac:dyDescent="0.25">
      <c r="A9" s="7">
        <v>2019</v>
      </c>
      <c r="B9" s="8">
        <v>4</v>
      </c>
      <c r="C9" s="8">
        <v>15</v>
      </c>
      <c r="D9" s="8" t="s">
        <v>33</v>
      </c>
      <c r="E9" s="8" t="s">
        <v>43</v>
      </c>
      <c r="F9" s="8" t="s">
        <v>33</v>
      </c>
      <c r="G9" s="9">
        <v>7365600</v>
      </c>
      <c r="H9" s="10">
        <v>7365600.0000000009</v>
      </c>
      <c r="I9" s="11">
        <v>43563</v>
      </c>
      <c r="J9" s="12">
        <v>117952</v>
      </c>
      <c r="K9" s="13" t="s">
        <v>343</v>
      </c>
      <c r="L9" s="14" t="s">
        <v>19</v>
      </c>
      <c r="M9" s="11" t="s">
        <v>15</v>
      </c>
      <c r="N9" s="14" t="s">
        <v>11</v>
      </c>
      <c r="O9" s="15">
        <v>1576</v>
      </c>
      <c r="P9" s="12">
        <v>1</v>
      </c>
      <c r="Q9" s="13" t="s">
        <v>110</v>
      </c>
      <c r="R9" s="16">
        <v>20314800</v>
      </c>
      <c r="S9" s="17">
        <v>18468000</v>
      </c>
      <c r="T9" s="12">
        <v>5</v>
      </c>
      <c r="U9" s="18">
        <v>972000</v>
      </c>
      <c r="V9" s="19">
        <v>1069200</v>
      </c>
      <c r="W9" s="13" t="s">
        <v>134</v>
      </c>
      <c r="X9" s="14" t="s">
        <v>344</v>
      </c>
      <c r="Y9" s="13" t="s">
        <v>312</v>
      </c>
      <c r="Z9" s="14" t="s">
        <v>345</v>
      </c>
      <c r="AA9" s="17">
        <v>19</v>
      </c>
      <c r="AB9" s="14" t="s">
        <v>346</v>
      </c>
      <c r="AC9" s="17">
        <v>21384000</v>
      </c>
      <c r="AD9" s="14">
        <v>11</v>
      </c>
      <c r="AE9" s="17">
        <v>19440000</v>
      </c>
      <c r="AF9" s="14" t="s">
        <v>106</v>
      </c>
      <c r="AG9" s="21" t="s">
        <v>313</v>
      </c>
      <c r="AH9" s="10">
        <v>11102400</v>
      </c>
      <c r="AI9" s="24" t="str">
        <f>VLOOKUP(Sales[[#This Row],[Store]],'Store lay bao  cao'!A:B,2,0)</f>
        <v>Lấy BC</v>
      </c>
      <c r="AJ9" s="24" t="str">
        <f>VLOOKUP(Sales[[#This Row],[Associate]],'Associate Status'!B:C,2,0)</f>
        <v>Active</v>
      </c>
    </row>
    <row r="10" spans="1:36" x14ac:dyDescent="0.25">
      <c r="A10" s="7">
        <v>2019</v>
      </c>
      <c r="B10" s="8">
        <v>5</v>
      </c>
      <c r="C10" s="8">
        <v>19</v>
      </c>
      <c r="D10" s="8" t="s">
        <v>33</v>
      </c>
      <c r="E10" s="8" t="s">
        <v>34</v>
      </c>
      <c r="F10" s="8" t="s">
        <v>33</v>
      </c>
      <c r="G10" s="9">
        <v>4553280</v>
      </c>
      <c r="H10" s="10">
        <v>4553280</v>
      </c>
      <c r="I10" s="11">
        <v>43595</v>
      </c>
      <c r="J10" s="12">
        <v>117920</v>
      </c>
      <c r="K10" s="13" t="s">
        <v>370</v>
      </c>
      <c r="L10" s="14" t="s">
        <v>19</v>
      </c>
      <c r="M10" s="11" t="s">
        <v>17</v>
      </c>
      <c r="N10" s="14" t="s">
        <v>11</v>
      </c>
      <c r="O10" s="15">
        <v>1037</v>
      </c>
      <c r="P10" s="12">
        <v>1</v>
      </c>
      <c r="Q10" s="13" t="s">
        <v>144</v>
      </c>
      <c r="R10" s="16">
        <v>13220000</v>
      </c>
      <c r="S10" s="17">
        <v>12018182</v>
      </c>
      <c r="T10" s="12">
        <v>0</v>
      </c>
      <c r="U10" s="18">
        <v>0</v>
      </c>
      <c r="V10" s="19">
        <v>0</v>
      </c>
      <c r="W10" s="13" t="s">
        <v>122</v>
      </c>
      <c r="X10" s="14" t="s">
        <v>371</v>
      </c>
      <c r="Y10" s="13" t="s">
        <v>280</v>
      </c>
      <c r="Z10" s="14" t="s">
        <v>372</v>
      </c>
      <c r="AA10" s="17">
        <v>15</v>
      </c>
      <c r="AB10" s="14" t="s">
        <v>373</v>
      </c>
      <c r="AC10" s="17">
        <v>13220000</v>
      </c>
      <c r="AD10" s="14" t="s">
        <v>108</v>
      </c>
      <c r="AE10" s="17">
        <v>12018182</v>
      </c>
      <c r="AF10" s="14" t="s">
        <v>125</v>
      </c>
      <c r="AG10" s="20" t="s">
        <v>281</v>
      </c>
      <c r="AH10" s="10">
        <v>7464902</v>
      </c>
      <c r="AI10" s="24" t="str">
        <f>VLOOKUP(Sales[[#This Row],[Store]],'Store lay bao  cao'!A:B,2,0)</f>
        <v>Lấy BC</v>
      </c>
      <c r="AJ10" s="24" t="str">
        <f>VLOOKUP(Sales[[#This Row],[Associate]],'Associate Status'!B:C,2,0)</f>
        <v>Active</v>
      </c>
    </row>
    <row r="11" spans="1:36" x14ac:dyDescent="0.25">
      <c r="A11" s="7">
        <v>2019</v>
      </c>
      <c r="B11" s="8">
        <v>5</v>
      </c>
      <c r="C11" s="8">
        <v>19</v>
      </c>
      <c r="D11" s="8" t="s">
        <v>33</v>
      </c>
      <c r="E11" s="8" t="s">
        <v>53</v>
      </c>
      <c r="F11" s="8" t="s">
        <v>33</v>
      </c>
      <c r="G11" s="9">
        <v>4083533</v>
      </c>
      <c r="H11" s="10">
        <v>4017600</v>
      </c>
      <c r="I11" s="11">
        <v>43595</v>
      </c>
      <c r="J11" s="12">
        <v>117931</v>
      </c>
      <c r="K11" s="13" t="s">
        <v>370</v>
      </c>
      <c r="L11" s="14" t="s">
        <v>19</v>
      </c>
      <c r="M11" s="11" t="s">
        <v>17</v>
      </c>
      <c r="N11" s="14" t="s">
        <v>11</v>
      </c>
      <c r="O11" s="15">
        <v>1037</v>
      </c>
      <c r="P11" s="12">
        <v>1</v>
      </c>
      <c r="Q11" s="13" t="s">
        <v>144</v>
      </c>
      <c r="R11" s="16">
        <v>11664000</v>
      </c>
      <c r="S11" s="17">
        <v>10603636</v>
      </c>
      <c r="T11" s="12">
        <v>0</v>
      </c>
      <c r="U11" s="18">
        <v>0</v>
      </c>
      <c r="V11" s="19">
        <v>0</v>
      </c>
      <c r="W11" s="13" t="s">
        <v>122</v>
      </c>
      <c r="X11" s="14" t="s">
        <v>374</v>
      </c>
      <c r="Y11" s="13" t="s">
        <v>280</v>
      </c>
      <c r="Z11" s="22" t="s">
        <v>375</v>
      </c>
      <c r="AA11" s="17">
        <v>15</v>
      </c>
      <c r="AB11" s="14" t="s">
        <v>373</v>
      </c>
      <c r="AC11" s="17">
        <v>11664000</v>
      </c>
      <c r="AD11" s="14" t="s">
        <v>115</v>
      </c>
      <c r="AE11" s="17">
        <v>10603636</v>
      </c>
      <c r="AF11" s="14" t="s">
        <v>125</v>
      </c>
      <c r="AG11" s="21" t="s">
        <v>281</v>
      </c>
      <c r="AH11" s="10">
        <v>6520103</v>
      </c>
      <c r="AI11" s="24" t="str">
        <f>VLOOKUP(Sales[[#This Row],[Store]],'Store lay bao  cao'!A:B,2,0)</f>
        <v>Lấy BC</v>
      </c>
      <c r="AJ11" s="24" t="str">
        <f>VLOOKUP(Sales[[#This Row],[Associate]],'Associate Status'!B:C,2,0)</f>
        <v>Active</v>
      </c>
    </row>
    <row r="12" spans="1:36" x14ac:dyDescent="0.25">
      <c r="A12" s="7">
        <v>2019</v>
      </c>
      <c r="B12" s="8">
        <v>6</v>
      </c>
      <c r="C12" s="8">
        <v>25</v>
      </c>
      <c r="D12" s="8" t="s">
        <v>23</v>
      </c>
      <c r="E12" s="8" t="s">
        <v>12</v>
      </c>
      <c r="F12" s="8" t="s">
        <v>23</v>
      </c>
      <c r="G12" s="9">
        <v>17531100</v>
      </c>
      <c r="H12" s="10">
        <v>17531100</v>
      </c>
      <c r="I12" s="11">
        <v>43633</v>
      </c>
      <c r="J12" s="12">
        <v>42533</v>
      </c>
      <c r="K12" s="13" t="s">
        <v>394</v>
      </c>
      <c r="L12" s="14" t="s">
        <v>19</v>
      </c>
      <c r="M12" s="11" t="s">
        <v>15</v>
      </c>
      <c r="N12" s="14" t="s">
        <v>11</v>
      </c>
      <c r="O12" s="15">
        <v>2159</v>
      </c>
      <c r="P12" s="12">
        <v>1</v>
      </c>
      <c r="Q12" s="13" t="s">
        <v>102</v>
      </c>
      <c r="R12" s="16">
        <v>55515150</v>
      </c>
      <c r="S12" s="17">
        <v>50468318</v>
      </c>
      <c r="T12" s="12">
        <v>5</v>
      </c>
      <c r="U12" s="18">
        <v>2656227</v>
      </c>
      <c r="V12" s="19">
        <v>2921850</v>
      </c>
      <c r="W12" s="13" t="s">
        <v>104</v>
      </c>
      <c r="X12" s="14" t="s">
        <v>395</v>
      </c>
      <c r="Y12" s="13" t="s">
        <v>228</v>
      </c>
      <c r="Z12" s="14" t="s">
        <v>396</v>
      </c>
      <c r="AA12" s="17">
        <v>16</v>
      </c>
      <c r="AB12" s="14" t="s">
        <v>220</v>
      </c>
      <c r="AC12" s="17">
        <v>58437000</v>
      </c>
      <c r="AD12" s="14">
        <v>9</v>
      </c>
      <c r="AE12" s="17">
        <v>53124545</v>
      </c>
      <c r="AF12" s="14" t="s">
        <v>138</v>
      </c>
      <c r="AG12" s="20" t="s">
        <v>229</v>
      </c>
      <c r="AH12" s="10">
        <v>32937218</v>
      </c>
      <c r="AI12" s="24" t="str">
        <f>VLOOKUP(Sales[[#This Row],[Store]],'Store lay bao  cao'!A:B,2,0)</f>
        <v>Lấy BC</v>
      </c>
      <c r="AJ12" s="24" t="str">
        <f>VLOOKUP(Sales[[#This Row],[Associate]],'Associate Status'!B:C,2,0)</f>
        <v>Retired</v>
      </c>
    </row>
    <row r="13" spans="1:36" x14ac:dyDescent="0.25">
      <c r="A13" s="7">
        <v>2019</v>
      </c>
      <c r="B13" s="8">
        <v>6</v>
      </c>
      <c r="C13" s="8">
        <v>25</v>
      </c>
      <c r="D13" s="8" t="s">
        <v>25</v>
      </c>
      <c r="E13" s="8" t="s">
        <v>12</v>
      </c>
      <c r="F13" s="8" t="s">
        <v>25</v>
      </c>
      <c r="G13" s="9">
        <v>21867638</v>
      </c>
      <c r="H13" s="10">
        <v>21867637.960000001</v>
      </c>
      <c r="I13" s="11">
        <v>43633</v>
      </c>
      <c r="J13" s="12">
        <v>52838</v>
      </c>
      <c r="K13" s="13" t="s">
        <v>394</v>
      </c>
      <c r="L13" s="14" t="s">
        <v>19</v>
      </c>
      <c r="M13" s="11" t="s">
        <v>15</v>
      </c>
      <c r="N13" s="14" t="s">
        <v>11</v>
      </c>
      <c r="O13" s="15">
        <v>2159</v>
      </c>
      <c r="P13" s="12">
        <v>1</v>
      </c>
      <c r="Q13" s="13" t="s">
        <v>102</v>
      </c>
      <c r="R13" s="16">
        <v>69240750</v>
      </c>
      <c r="S13" s="17">
        <v>62946136</v>
      </c>
      <c r="T13" s="12">
        <v>5</v>
      </c>
      <c r="U13" s="18">
        <v>3312955</v>
      </c>
      <c r="V13" s="19">
        <v>3644250</v>
      </c>
      <c r="W13" s="13" t="s">
        <v>104</v>
      </c>
      <c r="X13" s="14" t="s">
        <v>397</v>
      </c>
      <c r="Y13" s="13" t="s">
        <v>228</v>
      </c>
      <c r="Z13" s="14" t="s">
        <v>398</v>
      </c>
      <c r="AA13" s="17">
        <v>16</v>
      </c>
      <c r="AB13" s="14" t="s">
        <v>399</v>
      </c>
      <c r="AC13" s="17">
        <v>72885000</v>
      </c>
      <c r="AD13" s="14">
        <v>12</v>
      </c>
      <c r="AE13" s="17">
        <v>66259091</v>
      </c>
      <c r="AF13" s="14" t="s">
        <v>138</v>
      </c>
      <c r="AG13" s="21" t="s">
        <v>229</v>
      </c>
      <c r="AH13" s="10">
        <v>41078498</v>
      </c>
      <c r="AI13" s="24" t="str">
        <f>VLOOKUP(Sales[[#This Row],[Store]],'Store lay bao  cao'!A:B,2,0)</f>
        <v>Lấy BC</v>
      </c>
      <c r="AJ13" s="24" t="str">
        <f>VLOOKUP(Sales[[#This Row],[Associate]],'Associate Status'!B:C,2,0)</f>
        <v>Retired</v>
      </c>
    </row>
    <row r="14" spans="1:36" x14ac:dyDescent="0.25">
      <c r="A14" s="7">
        <v>2019</v>
      </c>
      <c r="B14" s="8">
        <v>6</v>
      </c>
      <c r="C14" s="8">
        <v>25</v>
      </c>
      <c r="D14" s="8" t="s">
        <v>33</v>
      </c>
      <c r="E14" s="8" t="s">
        <v>34</v>
      </c>
      <c r="F14" s="8" t="s">
        <v>33</v>
      </c>
      <c r="G14" s="9">
        <v>8370000</v>
      </c>
      <c r="H14" s="10">
        <v>8370000</v>
      </c>
      <c r="I14" s="11">
        <v>43633</v>
      </c>
      <c r="J14" s="12">
        <v>117919</v>
      </c>
      <c r="K14" s="13" t="s">
        <v>394</v>
      </c>
      <c r="L14" s="14" t="s">
        <v>19</v>
      </c>
      <c r="M14" s="11" t="s">
        <v>15</v>
      </c>
      <c r="N14" s="14" t="s">
        <v>11</v>
      </c>
      <c r="O14" s="15">
        <v>2159</v>
      </c>
      <c r="P14" s="12">
        <v>1</v>
      </c>
      <c r="Q14" s="13" t="s">
        <v>102</v>
      </c>
      <c r="R14" s="16">
        <v>23085000</v>
      </c>
      <c r="S14" s="17">
        <v>20986364</v>
      </c>
      <c r="T14" s="12">
        <v>5</v>
      </c>
      <c r="U14" s="18">
        <v>1104545</v>
      </c>
      <c r="V14" s="19">
        <v>1215000</v>
      </c>
      <c r="W14" s="13" t="s">
        <v>104</v>
      </c>
      <c r="X14" s="14" t="s">
        <v>371</v>
      </c>
      <c r="Y14" s="13" t="s">
        <v>228</v>
      </c>
      <c r="Z14" s="14" t="s">
        <v>400</v>
      </c>
      <c r="AA14" s="17">
        <v>16</v>
      </c>
      <c r="AB14" s="14" t="s">
        <v>373</v>
      </c>
      <c r="AC14" s="17">
        <v>24300000</v>
      </c>
      <c r="AD14" s="14" t="s">
        <v>108</v>
      </c>
      <c r="AE14" s="17">
        <v>22090909</v>
      </c>
      <c r="AF14" s="14" t="s">
        <v>138</v>
      </c>
      <c r="AG14" s="20" t="s">
        <v>229</v>
      </c>
      <c r="AH14" s="10">
        <v>12616364</v>
      </c>
      <c r="AI14" s="24" t="str">
        <f>VLOOKUP(Sales[[#This Row],[Store]],'Store lay bao  cao'!A:B,2,0)</f>
        <v>Lấy BC</v>
      </c>
      <c r="AJ14" s="24" t="str">
        <f>VLOOKUP(Sales[[#This Row],[Associate]],'Associate Status'!B:C,2,0)</f>
        <v>Retired</v>
      </c>
    </row>
    <row r="15" spans="1:36" x14ac:dyDescent="0.25">
      <c r="A15" s="7">
        <v>2019</v>
      </c>
      <c r="B15" s="8">
        <v>6</v>
      </c>
      <c r="C15" s="8">
        <v>25</v>
      </c>
      <c r="D15" s="8" t="s">
        <v>33</v>
      </c>
      <c r="E15" s="8" t="s">
        <v>43</v>
      </c>
      <c r="F15" s="8" t="s">
        <v>33</v>
      </c>
      <c r="G15" s="9">
        <v>24998400</v>
      </c>
      <c r="H15" s="10">
        <v>24998400.000000004</v>
      </c>
      <c r="I15" s="11">
        <v>43635</v>
      </c>
      <c r="J15" s="12">
        <v>117945</v>
      </c>
      <c r="K15" s="13" t="s">
        <v>401</v>
      </c>
      <c r="L15" s="14" t="s">
        <v>19</v>
      </c>
      <c r="M15" s="11" t="s">
        <v>15</v>
      </c>
      <c r="N15" s="14" t="s">
        <v>11</v>
      </c>
      <c r="O15" s="15">
        <v>2176</v>
      </c>
      <c r="P15" s="12">
        <v>1</v>
      </c>
      <c r="Q15" s="13" t="s">
        <v>101</v>
      </c>
      <c r="R15" s="16">
        <v>68947200</v>
      </c>
      <c r="S15" s="17">
        <v>62679273</v>
      </c>
      <c r="T15" s="12">
        <v>5</v>
      </c>
      <c r="U15" s="18">
        <v>3298909</v>
      </c>
      <c r="V15" s="19">
        <v>3628800</v>
      </c>
      <c r="W15" s="13" t="s">
        <v>134</v>
      </c>
      <c r="X15" s="14" t="s">
        <v>402</v>
      </c>
      <c r="Y15" s="13" t="s">
        <v>228</v>
      </c>
      <c r="Z15" s="14" t="s">
        <v>403</v>
      </c>
      <c r="AA15" s="17">
        <v>17</v>
      </c>
      <c r="AB15" s="14" t="s">
        <v>240</v>
      </c>
      <c r="AC15" s="17">
        <v>72576000</v>
      </c>
      <c r="AD15" s="14">
        <v>12</v>
      </c>
      <c r="AE15" s="17">
        <v>65978182</v>
      </c>
      <c r="AF15" s="14" t="s">
        <v>138</v>
      </c>
      <c r="AG15" s="21" t="s">
        <v>229</v>
      </c>
      <c r="AH15" s="10">
        <v>37680873</v>
      </c>
      <c r="AI15" s="24" t="str">
        <f>VLOOKUP(Sales[[#This Row],[Store]],'Store lay bao  cao'!A:B,2,0)</f>
        <v>Lấy BC</v>
      </c>
      <c r="AJ15" s="24" t="str">
        <f>VLOOKUP(Sales[[#This Row],[Associate]],'Associate Status'!B:C,2,0)</f>
        <v>Retired</v>
      </c>
    </row>
    <row r="16" spans="1:36" x14ac:dyDescent="0.25">
      <c r="A16" s="7">
        <v>2019</v>
      </c>
      <c r="B16" s="8">
        <v>6</v>
      </c>
      <c r="C16" s="8">
        <v>26</v>
      </c>
      <c r="D16" s="8" t="s">
        <v>25</v>
      </c>
      <c r="E16" s="8" t="s">
        <v>12</v>
      </c>
      <c r="F16" s="8" t="s">
        <v>25</v>
      </c>
      <c r="G16" s="9">
        <v>15578273</v>
      </c>
      <c r="H16" s="10">
        <v>15578273.060000001</v>
      </c>
      <c r="I16" s="11">
        <v>43640</v>
      </c>
      <c r="J16" s="12">
        <v>52828</v>
      </c>
      <c r="K16" s="13" t="s">
        <v>408</v>
      </c>
      <c r="L16" s="14" t="s">
        <v>19</v>
      </c>
      <c r="M16" s="11" t="s">
        <v>15</v>
      </c>
      <c r="N16" s="14" t="s">
        <v>11</v>
      </c>
      <c r="O16" s="15">
        <v>2220</v>
      </c>
      <c r="P16" s="12">
        <v>1</v>
      </c>
      <c r="Q16" s="13" t="s">
        <v>101</v>
      </c>
      <c r="R16" s="16">
        <v>46730700</v>
      </c>
      <c r="S16" s="17">
        <v>42482455</v>
      </c>
      <c r="T16" s="12">
        <v>10</v>
      </c>
      <c r="U16" s="18">
        <v>4720273</v>
      </c>
      <c r="V16" s="19">
        <v>5192300</v>
      </c>
      <c r="W16" s="13" t="s">
        <v>104</v>
      </c>
      <c r="X16" s="14" t="s">
        <v>409</v>
      </c>
      <c r="Y16" s="13" t="s">
        <v>406</v>
      </c>
      <c r="Z16" s="14" t="s">
        <v>410</v>
      </c>
      <c r="AA16" s="17">
        <v>14</v>
      </c>
      <c r="AB16" s="14" t="s">
        <v>399</v>
      </c>
      <c r="AC16" s="17">
        <v>51923000</v>
      </c>
      <c r="AD16" s="14">
        <v>11</v>
      </c>
      <c r="AE16" s="17">
        <v>47202727</v>
      </c>
      <c r="AF16" s="14" t="s">
        <v>113</v>
      </c>
      <c r="AG16" s="20" t="s">
        <v>407</v>
      </c>
      <c r="AH16" s="10">
        <v>26904182</v>
      </c>
      <c r="AI16" s="24" t="str">
        <f>VLOOKUP(Sales[[#This Row],[Store]],'Store lay bao  cao'!A:B,2,0)</f>
        <v>Lấy BC</v>
      </c>
      <c r="AJ16" s="24" t="str">
        <f>VLOOKUP(Sales[[#This Row],[Associate]],'Associate Status'!B:C,2,0)</f>
        <v>Active</v>
      </c>
    </row>
    <row r="17" spans="1:36" x14ac:dyDescent="0.25">
      <c r="A17" s="7">
        <v>2019</v>
      </c>
      <c r="B17" s="8">
        <v>6</v>
      </c>
      <c r="C17" s="8">
        <v>26</v>
      </c>
      <c r="D17" s="8" t="s">
        <v>20</v>
      </c>
      <c r="E17" s="8" t="s">
        <v>12</v>
      </c>
      <c r="F17" s="8" t="s">
        <v>20</v>
      </c>
      <c r="G17" s="9">
        <v>9504000</v>
      </c>
      <c r="H17" s="10">
        <v>9504000</v>
      </c>
      <c r="I17" s="11">
        <v>43640</v>
      </c>
      <c r="J17" s="12">
        <v>37094</v>
      </c>
      <c r="K17" s="13" t="s">
        <v>408</v>
      </c>
      <c r="L17" s="14" t="s">
        <v>19</v>
      </c>
      <c r="M17" s="11" t="s">
        <v>15</v>
      </c>
      <c r="N17" s="14" t="s">
        <v>11</v>
      </c>
      <c r="O17" s="15">
        <v>2220</v>
      </c>
      <c r="P17" s="12">
        <v>1</v>
      </c>
      <c r="Q17" s="13" t="s">
        <v>101</v>
      </c>
      <c r="R17" s="16">
        <v>31990500</v>
      </c>
      <c r="S17" s="17">
        <v>29082273</v>
      </c>
      <c r="T17" s="12">
        <v>10</v>
      </c>
      <c r="U17" s="18">
        <v>3231364</v>
      </c>
      <c r="V17" s="19">
        <v>3554500</v>
      </c>
      <c r="W17" s="13" t="s">
        <v>104</v>
      </c>
      <c r="X17" s="14" t="s">
        <v>411</v>
      </c>
      <c r="Y17" s="13" t="s">
        <v>406</v>
      </c>
      <c r="Z17" s="14" t="s">
        <v>412</v>
      </c>
      <c r="AA17" s="17">
        <v>14</v>
      </c>
      <c r="AB17" s="14" t="s">
        <v>220</v>
      </c>
      <c r="AC17" s="17">
        <v>35545000</v>
      </c>
      <c r="AD17" s="14">
        <v>11</v>
      </c>
      <c r="AE17" s="17">
        <v>32313636</v>
      </c>
      <c r="AF17" s="14" t="s">
        <v>113</v>
      </c>
      <c r="AG17" s="21" t="s">
        <v>407</v>
      </c>
      <c r="AH17" s="10">
        <v>19578273</v>
      </c>
      <c r="AI17" s="24" t="str">
        <f>VLOOKUP(Sales[[#This Row],[Store]],'Store lay bao  cao'!A:B,2,0)</f>
        <v>Lấy BC</v>
      </c>
      <c r="AJ17" s="24" t="str">
        <f>VLOOKUP(Sales[[#This Row],[Associate]],'Associate Status'!B:C,2,0)</f>
        <v>Active</v>
      </c>
    </row>
    <row r="18" spans="1:36" x14ac:dyDescent="0.25">
      <c r="A18" s="7">
        <v>2019</v>
      </c>
      <c r="B18" s="8">
        <v>6</v>
      </c>
      <c r="C18" s="8">
        <v>26</v>
      </c>
      <c r="D18" s="8" t="s">
        <v>25</v>
      </c>
      <c r="E18" s="8" t="s">
        <v>12</v>
      </c>
      <c r="F18" s="8" t="s">
        <v>25</v>
      </c>
      <c r="G18" s="9">
        <v>13391509</v>
      </c>
      <c r="H18" s="10">
        <v>13391509.26</v>
      </c>
      <c r="I18" s="11">
        <v>43640</v>
      </c>
      <c r="J18" s="12">
        <v>52823</v>
      </c>
      <c r="K18" s="13" t="s">
        <v>408</v>
      </c>
      <c r="L18" s="14" t="s">
        <v>19</v>
      </c>
      <c r="M18" s="11" t="s">
        <v>15</v>
      </c>
      <c r="N18" s="14" t="s">
        <v>11</v>
      </c>
      <c r="O18" s="15">
        <v>2220</v>
      </c>
      <c r="P18" s="12">
        <v>1</v>
      </c>
      <c r="Q18" s="13" t="s">
        <v>101</v>
      </c>
      <c r="R18" s="16">
        <v>40170600</v>
      </c>
      <c r="S18" s="17">
        <v>36518727</v>
      </c>
      <c r="T18" s="12">
        <v>10</v>
      </c>
      <c r="U18" s="18">
        <v>4057636</v>
      </c>
      <c r="V18" s="19">
        <v>4463400</v>
      </c>
      <c r="W18" s="13" t="s">
        <v>104</v>
      </c>
      <c r="X18" s="14" t="s">
        <v>413</v>
      </c>
      <c r="Y18" s="13" t="s">
        <v>406</v>
      </c>
      <c r="Z18" s="14" t="s">
        <v>414</v>
      </c>
      <c r="AA18" s="17">
        <v>14</v>
      </c>
      <c r="AB18" s="14" t="s">
        <v>192</v>
      </c>
      <c r="AC18" s="17">
        <v>44634000</v>
      </c>
      <c r="AD18" s="14">
        <v>10</v>
      </c>
      <c r="AE18" s="17">
        <v>40576364</v>
      </c>
      <c r="AF18" s="14" t="s">
        <v>113</v>
      </c>
      <c r="AG18" s="20" t="s">
        <v>407</v>
      </c>
      <c r="AH18" s="10">
        <v>23127218</v>
      </c>
      <c r="AI18" s="24" t="str">
        <f>VLOOKUP(Sales[[#This Row],[Store]],'Store lay bao  cao'!A:B,2,0)</f>
        <v>Lấy BC</v>
      </c>
      <c r="AJ18" s="24" t="str">
        <f>VLOOKUP(Sales[[#This Row],[Associate]],'Associate Status'!B:C,2,0)</f>
        <v>Active</v>
      </c>
    </row>
    <row r="19" spans="1:36" x14ac:dyDescent="0.25">
      <c r="A19" s="7">
        <v>2019</v>
      </c>
      <c r="B19" s="8">
        <v>6</v>
      </c>
      <c r="C19" s="8">
        <v>26</v>
      </c>
      <c r="D19" s="8" t="s">
        <v>33</v>
      </c>
      <c r="E19" s="8" t="s">
        <v>43</v>
      </c>
      <c r="F19" s="8" t="s">
        <v>33</v>
      </c>
      <c r="G19" s="9">
        <v>15222240</v>
      </c>
      <c r="H19" s="10">
        <v>15222240</v>
      </c>
      <c r="I19" s="11">
        <v>43643</v>
      </c>
      <c r="J19" s="12">
        <v>117951</v>
      </c>
      <c r="K19" s="13" t="s">
        <v>415</v>
      </c>
      <c r="L19" s="14" t="s">
        <v>19</v>
      </c>
      <c r="M19" s="11" t="s">
        <v>17</v>
      </c>
      <c r="N19" s="14" t="s">
        <v>11</v>
      </c>
      <c r="O19" s="15">
        <v>1298</v>
      </c>
      <c r="P19" s="12">
        <v>1</v>
      </c>
      <c r="Q19" s="13" t="s">
        <v>175</v>
      </c>
      <c r="R19" s="16">
        <v>44194000</v>
      </c>
      <c r="S19" s="17">
        <v>40176364</v>
      </c>
      <c r="T19" s="12">
        <v>0</v>
      </c>
      <c r="U19" s="18">
        <v>0</v>
      </c>
      <c r="V19" s="19">
        <v>0</v>
      </c>
      <c r="W19" s="13" t="s">
        <v>140</v>
      </c>
      <c r="X19" s="14" t="s">
        <v>416</v>
      </c>
      <c r="Y19" s="13" t="s">
        <v>206</v>
      </c>
      <c r="Z19" s="14" t="s">
        <v>417</v>
      </c>
      <c r="AA19" s="17">
        <v>19</v>
      </c>
      <c r="AB19" s="14" t="s">
        <v>373</v>
      </c>
      <c r="AC19" s="17">
        <v>44194000</v>
      </c>
      <c r="AD19" s="14">
        <v>10</v>
      </c>
      <c r="AE19" s="17">
        <v>40176364</v>
      </c>
      <c r="AF19" s="14" t="s">
        <v>127</v>
      </c>
      <c r="AG19" s="21" t="s">
        <v>207</v>
      </c>
      <c r="AH19" s="10">
        <v>24954124</v>
      </c>
      <c r="AI19" s="24" t="str">
        <f>VLOOKUP(Sales[[#This Row],[Store]],'Store lay bao  cao'!A:B,2,0)</f>
        <v>Lấy BC</v>
      </c>
      <c r="AJ19" s="24" t="str">
        <f>VLOOKUP(Sales[[#This Row],[Associate]],'Associate Status'!B:C,2,0)</f>
        <v>Retired</v>
      </c>
    </row>
    <row r="20" spans="1:36" x14ac:dyDescent="0.25">
      <c r="A20" s="7">
        <v>2019</v>
      </c>
      <c r="B20" s="8">
        <v>6</v>
      </c>
      <c r="C20" s="8">
        <v>26</v>
      </c>
      <c r="D20" s="8" t="s">
        <v>33</v>
      </c>
      <c r="E20" s="8" t="s">
        <v>43</v>
      </c>
      <c r="F20" s="8" t="s">
        <v>33</v>
      </c>
      <c r="G20" s="9">
        <v>-15222240</v>
      </c>
      <c r="H20" s="10">
        <v>-15222240</v>
      </c>
      <c r="I20" s="11">
        <v>43644</v>
      </c>
      <c r="J20" s="12">
        <v>117951</v>
      </c>
      <c r="K20" s="13" t="s">
        <v>418</v>
      </c>
      <c r="L20" s="14" t="s">
        <v>19</v>
      </c>
      <c r="M20" s="11" t="s">
        <v>17</v>
      </c>
      <c r="N20" s="14" t="s">
        <v>11</v>
      </c>
      <c r="O20" s="15">
        <v>1313</v>
      </c>
      <c r="P20" s="12">
        <v>-1</v>
      </c>
      <c r="Q20" s="13" t="s">
        <v>156</v>
      </c>
      <c r="R20" s="16">
        <v>-44194000</v>
      </c>
      <c r="S20" s="17">
        <v>-40176364</v>
      </c>
      <c r="T20" s="12">
        <v>0</v>
      </c>
      <c r="U20" s="18">
        <v>0</v>
      </c>
      <c r="V20" s="19">
        <v>0</v>
      </c>
      <c r="W20" s="13" t="s">
        <v>122</v>
      </c>
      <c r="X20" s="14" t="s">
        <v>416</v>
      </c>
      <c r="Y20" s="13" t="s">
        <v>206</v>
      </c>
      <c r="Z20" s="14" t="s">
        <v>417</v>
      </c>
      <c r="AA20" s="17">
        <v>16</v>
      </c>
      <c r="AB20" s="14" t="s">
        <v>373</v>
      </c>
      <c r="AC20" s="17">
        <v>-44194000</v>
      </c>
      <c r="AD20" s="14">
        <v>10</v>
      </c>
      <c r="AE20" s="17">
        <v>-40176364</v>
      </c>
      <c r="AF20" s="14" t="s">
        <v>127</v>
      </c>
      <c r="AG20" s="20" t="s">
        <v>207</v>
      </c>
      <c r="AH20" s="10">
        <v>-24954124</v>
      </c>
      <c r="AI20" s="24" t="str">
        <f>VLOOKUP(Sales[[#This Row],[Store]],'Store lay bao  cao'!A:B,2,0)</f>
        <v>Lấy BC</v>
      </c>
      <c r="AJ20" s="24" t="str">
        <f>VLOOKUP(Sales[[#This Row],[Associate]],'Associate Status'!B:C,2,0)</f>
        <v>Retired</v>
      </c>
    </row>
    <row r="21" spans="1:36" x14ac:dyDescent="0.25">
      <c r="A21" s="7">
        <v>2019</v>
      </c>
      <c r="B21" s="8">
        <v>6</v>
      </c>
      <c r="C21" s="8">
        <v>26</v>
      </c>
      <c r="D21" s="8" t="s">
        <v>33</v>
      </c>
      <c r="E21" s="8" t="s">
        <v>43</v>
      </c>
      <c r="F21" s="8" t="s">
        <v>33</v>
      </c>
      <c r="G21" s="9">
        <v>15222240</v>
      </c>
      <c r="H21" s="10">
        <v>15222240</v>
      </c>
      <c r="I21" s="11">
        <v>43644</v>
      </c>
      <c r="J21" s="12">
        <v>117951</v>
      </c>
      <c r="K21" s="13" t="s">
        <v>418</v>
      </c>
      <c r="L21" s="14" t="s">
        <v>19</v>
      </c>
      <c r="M21" s="11" t="s">
        <v>17</v>
      </c>
      <c r="N21" s="14" t="s">
        <v>11</v>
      </c>
      <c r="O21" s="15">
        <v>1313</v>
      </c>
      <c r="P21" s="12">
        <v>1</v>
      </c>
      <c r="Q21" s="13" t="s">
        <v>156</v>
      </c>
      <c r="R21" s="16">
        <v>41984300</v>
      </c>
      <c r="S21" s="17">
        <v>38167545</v>
      </c>
      <c r="T21" s="12">
        <v>5</v>
      </c>
      <c r="U21" s="18">
        <v>2008818</v>
      </c>
      <c r="V21" s="19">
        <v>2209700</v>
      </c>
      <c r="W21" s="13" t="s">
        <v>122</v>
      </c>
      <c r="X21" s="14" t="s">
        <v>416</v>
      </c>
      <c r="Y21" s="13" t="s">
        <v>206</v>
      </c>
      <c r="Z21" s="14" t="s">
        <v>417</v>
      </c>
      <c r="AA21" s="17">
        <v>16</v>
      </c>
      <c r="AB21" s="14" t="s">
        <v>373</v>
      </c>
      <c r="AC21" s="17">
        <v>44194000</v>
      </c>
      <c r="AD21" s="14">
        <v>10</v>
      </c>
      <c r="AE21" s="17">
        <v>40176364</v>
      </c>
      <c r="AF21" s="14" t="s">
        <v>127</v>
      </c>
      <c r="AG21" s="21" t="s">
        <v>207</v>
      </c>
      <c r="AH21" s="10">
        <v>22945305</v>
      </c>
      <c r="AI21" s="24" t="str">
        <f>VLOOKUP(Sales[[#This Row],[Store]],'Store lay bao  cao'!A:B,2,0)</f>
        <v>Lấy BC</v>
      </c>
      <c r="AJ21" s="24" t="str">
        <f>VLOOKUP(Sales[[#This Row],[Associate]],'Associate Status'!B:C,2,0)</f>
        <v>Retired</v>
      </c>
    </row>
    <row r="22" spans="1:36" x14ac:dyDescent="0.25">
      <c r="A22" s="7">
        <v>2019</v>
      </c>
      <c r="B22" s="8">
        <v>6</v>
      </c>
      <c r="C22" s="8">
        <v>26</v>
      </c>
      <c r="D22" s="8" t="s">
        <v>33</v>
      </c>
      <c r="E22" s="8" t="s">
        <v>43</v>
      </c>
      <c r="F22" s="8" t="s">
        <v>33</v>
      </c>
      <c r="G22" s="9">
        <v>-15222240</v>
      </c>
      <c r="H22" s="10">
        <v>-15222240</v>
      </c>
      <c r="I22" s="11">
        <v>43644</v>
      </c>
      <c r="J22" s="12">
        <v>117951</v>
      </c>
      <c r="K22" s="13" t="s">
        <v>419</v>
      </c>
      <c r="L22" s="14" t="s">
        <v>19</v>
      </c>
      <c r="M22" s="11" t="s">
        <v>17</v>
      </c>
      <c r="N22" s="14" t="s">
        <v>11</v>
      </c>
      <c r="O22" s="15">
        <v>1311</v>
      </c>
      <c r="P22" s="12">
        <v>-1</v>
      </c>
      <c r="Q22" s="13" t="s">
        <v>156</v>
      </c>
      <c r="R22" s="16">
        <v>-44194000</v>
      </c>
      <c r="S22" s="17">
        <v>-40176364</v>
      </c>
      <c r="T22" s="12">
        <v>0</v>
      </c>
      <c r="U22" s="18">
        <v>0</v>
      </c>
      <c r="V22" s="19">
        <v>0</v>
      </c>
      <c r="W22" s="13" t="s">
        <v>122</v>
      </c>
      <c r="X22" s="14" t="s">
        <v>416</v>
      </c>
      <c r="Y22" s="13" t="s">
        <v>206</v>
      </c>
      <c r="Z22" s="14" t="s">
        <v>417</v>
      </c>
      <c r="AA22" s="17">
        <v>16</v>
      </c>
      <c r="AB22" s="14" t="s">
        <v>373</v>
      </c>
      <c r="AC22" s="17">
        <v>-44194000</v>
      </c>
      <c r="AD22" s="14">
        <v>10</v>
      </c>
      <c r="AE22" s="17">
        <v>-40176364</v>
      </c>
      <c r="AF22" s="14" t="s">
        <v>127</v>
      </c>
      <c r="AG22" s="20" t="s">
        <v>207</v>
      </c>
      <c r="AH22" s="10">
        <v>-24954124</v>
      </c>
      <c r="AI22" s="24" t="str">
        <f>VLOOKUP(Sales[[#This Row],[Store]],'Store lay bao  cao'!A:B,2,0)</f>
        <v>Lấy BC</v>
      </c>
      <c r="AJ22" s="24" t="str">
        <f>VLOOKUP(Sales[[#This Row],[Associate]],'Associate Status'!B:C,2,0)</f>
        <v>Retired</v>
      </c>
    </row>
    <row r="23" spans="1:36" x14ac:dyDescent="0.25">
      <c r="A23" s="7">
        <v>2019</v>
      </c>
      <c r="B23" s="8">
        <v>6</v>
      </c>
      <c r="C23" s="8">
        <v>26</v>
      </c>
      <c r="D23" s="8" t="s">
        <v>33</v>
      </c>
      <c r="E23" s="8" t="s">
        <v>43</v>
      </c>
      <c r="F23" s="8" t="s">
        <v>33</v>
      </c>
      <c r="G23" s="9">
        <v>15222240</v>
      </c>
      <c r="H23" s="10">
        <v>15222240</v>
      </c>
      <c r="I23" s="11">
        <v>43644</v>
      </c>
      <c r="J23" s="12">
        <v>117951</v>
      </c>
      <c r="K23" s="13" t="s">
        <v>419</v>
      </c>
      <c r="L23" s="14" t="s">
        <v>19</v>
      </c>
      <c r="M23" s="11" t="s">
        <v>17</v>
      </c>
      <c r="N23" s="14" t="s">
        <v>11</v>
      </c>
      <c r="O23" s="15">
        <v>1311</v>
      </c>
      <c r="P23" s="12">
        <v>1</v>
      </c>
      <c r="Q23" s="13" t="s">
        <v>156</v>
      </c>
      <c r="R23" s="16">
        <v>41984300</v>
      </c>
      <c r="S23" s="17">
        <v>38167545</v>
      </c>
      <c r="T23" s="12">
        <v>5</v>
      </c>
      <c r="U23" s="18">
        <v>2008818</v>
      </c>
      <c r="V23" s="19">
        <v>2209700</v>
      </c>
      <c r="W23" s="13" t="s">
        <v>122</v>
      </c>
      <c r="X23" s="14" t="s">
        <v>416</v>
      </c>
      <c r="Y23" s="13" t="s">
        <v>206</v>
      </c>
      <c r="Z23" s="14" t="s">
        <v>417</v>
      </c>
      <c r="AA23" s="17">
        <v>16</v>
      </c>
      <c r="AB23" s="14" t="s">
        <v>373</v>
      </c>
      <c r="AC23" s="17">
        <v>44194000</v>
      </c>
      <c r="AD23" s="14">
        <v>10</v>
      </c>
      <c r="AE23" s="17">
        <v>40176364</v>
      </c>
      <c r="AF23" s="14" t="s">
        <v>356</v>
      </c>
      <c r="AG23" s="21" t="s">
        <v>207</v>
      </c>
      <c r="AH23" s="10">
        <v>22945305</v>
      </c>
      <c r="AI23" s="24" t="str">
        <f>VLOOKUP(Sales[[#This Row],[Store]],'Store lay bao  cao'!A:B,2,0)</f>
        <v>Lấy BC</v>
      </c>
      <c r="AJ23" s="24" t="str">
        <f>VLOOKUP(Sales[[#This Row],[Associate]],'Associate Status'!B:C,2,0)</f>
        <v>Retired</v>
      </c>
    </row>
    <row r="24" spans="1:36" x14ac:dyDescent="0.25">
      <c r="A24" s="7">
        <v>2019</v>
      </c>
      <c r="B24" s="8">
        <v>6</v>
      </c>
      <c r="C24" s="8">
        <v>26</v>
      </c>
      <c r="D24" s="8" t="s">
        <v>33</v>
      </c>
      <c r="E24" s="8" t="s">
        <v>43</v>
      </c>
      <c r="F24" s="8" t="s">
        <v>33</v>
      </c>
      <c r="G24" s="9">
        <v>15222240</v>
      </c>
      <c r="H24" s="10">
        <v>15222240</v>
      </c>
      <c r="I24" s="11">
        <v>43644</v>
      </c>
      <c r="J24" s="12">
        <v>117951</v>
      </c>
      <c r="K24" s="13" t="s">
        <v>420</v>
      </c>
      <c r="L24" s="14" t="s">
        <v>19</v>
      </c>
      <c r="M24" s="11" t="s">
        <v>17</v>
      </c>
      <c r="N24" s="14" t="s">
        <v>11</v>
      </c>
      <c r="O24" s="15">
        <v>1312</v>
      </c>
      <c r="P24" s="12">
        <v>1</v>
      </c>
      <c r="Q24" s="13" t="s">
        <v>175</v>
      </c>
      <c r="R24" s="16">
        <v>44194000</v>
      </c>
      <c r="S24" s="17">
        <v>40176364</v>
      </c>
      <c r="T24" s="12">
        <v>0</v>
      </c>
      <c r="U24" s="18">
        <v>0</v>
      </c>
      <c r="V24" s="19">
        <v>0</v>
      </c>
      <c r="W24" s="13" t="s">
        <v>122</v>
      </c>
      <c r="X24" s="14" t="s">
        <v>416</v>
      </c>
      <c r="Y24" s="13" t="s">
        <v>206</v>
      </c>
      <c r="Z24" s="14" t="s">
        <v>417</v>
      </c>
      <c r="AA24" s="17">
        <v>16</v>
      </c>
      <c r="AB24" s="14" t="s">
        <v>373</v>
      </c>
      <c r="AC24" s="17">
        <v>44194000</v>
      </c>
      <c r="AD24" s="14">
        <v>10</v>
      </c>
      <c r="AE24" s="17">
        <v>40176364</v>
      </c>
      <c r="AF24" s="14" t="s">
        <v>127</v>
      </c>
      <c r="AG24" s="20" t="s">
        <v>207</v>
      </c>
      <c r="AH24" s="10">
        <v>24954124</v>
      </c>
      <c r="AI24" s="24" t="str">
        <f>VLOOKUP(Sales[[#This Row],[Store]],'Store lay bao  cao'!A:B,2,0)</f>
        <v>Lấy BC</v>
      </c>
      <c r="AJ24" s="24" t="str">
        <f>VLOOKUP(Sales[[#This Row],[Associate]],'Associate Status'!B:C,2,0)</f>
        <v>Retired</v>
      </c>
    </row>
    <row r="25" spans="1:36" x14ac:dyDescent="0.25">
      <c r="A25" s="7">
        <v>2019</v>
      </c>
      <c r="B25" s="8">
        <v>6</v>
      </c>
      <c r="C25" s="8">
        <v>26</v>
      </c>
      <c r="D25" s="8" t="s">
        <v>33</v>
      </c>
      <c r="E25" s="8" t="s">
        <v>43</v>
      </c>
      <c r="F25" s="8" t="s">
        <v>33</v>
      </c>
      <c r="G25" s="9">
        <v>-15222240</v>
      </c>
      <c r="H25" s="10">
        <v>-15222240</v>
      </c>
      <c r="I25" s="11">
        <v>43644</v>
      </c>
      <c r="J25" s="12">
        <v>117951</v>
      </c>
      <c r="K25" s="13" t="s">
        <v>420</v>
      </c>
      <c r="L25" s="14" t="s">
        <v>19</v>
      </c>
      <c r="M25" s="11" t="s">
        <v>17</v>
      </c>
      <c r="N25" s="14" t="s">
        <v>11</v>
      </c>
      <c r="O25" s="15">
        <v>1312</v>
      </c>
      <c r="P25" s="12">
        <v>-1</v>
      </c>
      <c r="Q25" s="13" t="s">
        <v>175</v>
      </c>
      <c r="R25" s="16">
        <v>-41984300</v>
      </c>
      <c r="S25" s="17">
        <v>-38167545</v>
      </c>
      <c r="T25" s="12">
        <v>5</v>
      </c>
      <c r="U25" s="18">
        <v>-2008818</v>
      </c>
      <c r="V25" s="19">
        <v>-2209700</v>
      </c>
      <c r="W25" s="13" t="s">
        <v>122</v>
      </c>
      <c r="X25" s="14" t="s">
        <v>416</v>
      </c>
      <c r="Y25" s="13" t="s">
        <v>206</v>
      </c>
      <c r="Z25" s="14" t="s">
        <v>417</v>
      </c>
      <c r="AA25" s="17">
        <v>16</v>
      </c>
      <c r="AB25" s="14" t="s">
        <v>373</v>
      </c>
      <c r="AC25" s="17">
        <v>-44194000</v>
      </c>
      <c r="AD25" s="14">
        <v>10</v>
      </c>
      <c r="AE25" s="17">
        <v>-40176364</v>
      </c>
      <c r="AF25" s="14" t="s">
        <v>356</v>
      </c>
      <c r="AG25" s="21" t="s">
        <v>207</v>
      </c>
      <c r="AH25" s="10">
        <v>-22945305</v>
      </c>
      <c r="AI25" s="24" t="str">
        <f>VLOOKUP(Sales[[#This Row],[Store]],'Store lay bao  cao'!A:B,2,0)</f>
        <v>Lấy BC</v>
      </c>
      <c r="AJ25" s="24" t="str">
        <f>VLOOKUP(Sales[[#This Row],[Associate]],'Associate Status'!B:C,2,0)</f>
        <v>Retired</v>
      </c>
    </row>
    <row r="26" spans="1:36" x14ac:dyDescent="0.25">
      <c r="A26" s="7">
        <v>2019</v>
      </c>
      <c r="B26" s="8">
        <v>8</v>
      </c>
      <c r="C26" s="8">
        <v>32</v>
      </c>
      <c r="D26" s="8" t="s">
        <v>33</v>
      </c>
      <c r="E26" s="8" t="s">
        <v>34</v>
      </c>
      <c r="F26" s="8" t="s">
        <v>33</v>
      </c>
      <c r="G26" s="9">
        <v>3080160</v>
      </c>
      <c r="H26" s="10">
        <v>3080160</v>
      </c>
      <c r="I26" s="11">
        <v>43688</v>
      </c>
      <c r="J26" s="12">
        <v>117921</v>
      </c>
      <c r="K26" s="13" t="s">
        <v>468</v>
      </c>
      <c r="L26" s="14" t="s">
        <v>19</v>
      </c>
      <c r="M26" s="11" t="s">
        <v>15</v>
      </c>
      <c r="N26" s="14" t="s">
        <v>11</v>
      </c>
      <c r="O26" s="15">
        <v>2944</v>
      </c>
      <c r="P26" s="12">
        <v>1</v>
      </c>
      <c r="Q26" s="13" t="s">
        <v>101</v>
      </c>
      <c r="R26" s="16">
        <v>8943000</v>
      </c>
      <c r="S26" s="17">
        <v>8130000</v>
      </c>
      <c r="T26" s="12">
        <v>0</v>
      </c>
      <c r="U26" s="18">
        <v>0</v>
      </c>
      <c r="V26" s="19">
        <v>0</v>
      </c>
      <c r="W26" s="13" t="s">
        <v>104</v>
      </c>
      <c r="X26" s="14" t="s">
        <v>469</v>
      </c>
      <c r="Y26" s="13" t="s">
        <v>233</v>
      </c>
      <c r="Z26" s="14" t="s">
        <v>470</v>
      </c>
      <c r="AA26" s="17">
        <v>18</v>
      </c>
      <c r="AB26" s="14" t="s">
        <v>471</v>
      </c>
      <c r="AC26" s="17">
        <v>8943000</v>
      </c>
      <c r="AD26" s="14" t="s">
        <v>108</v>
      </c>
      <c r="AE26" s="17">
        <v>8130000</v>
      </c>
      <c r="AF26" s="14" t="s">
        <v>2648</v>
      </c>
      <c r="AG26" s="20" t="s">
        <v>234</v>
      </c>
      <c r="AH26" s="10">
        <v>5049840</v>
      </c>
      <c r="AI26" s="24" t="str">
        <f>VLOOKUP(Sales[[#This Row],[Store]],'Store lay bao  cao'!A:B,2,0)</f>
        <v>Lấy BC</v>
      </c>
      <c r="AJ26" s="24" t="e">
        <f>VLOOKUP(Sales[[#This Row],[Associate]],'Associate Status'!B:C,2,0)</f>
        <v>#N/A</v>
      </c>
    </row>
    <row r="27" spans="1:36" x14ac:dyDescent="0.25">
      <c r="A27" s="7">
        <v>2019</v>
      </c>
      <c r="B27" s="8">
        <v>8</v>
      </c>
      <c r="C27" s="8">
        <v>35</v>
      </c>
      <c r="D27" s="8" t="s">
        <v>33</v>
      </c>
      <c r="E27" s="8" t="s">
        <v>34</v>
      </c>
      <c r="F27" s="8" t="s">
        <v>33</v>
      </c>
      <c r="G27" s="9">
        <v>848160</v>
      </c>
      <c r="H27" s="10">
        <v>848160.00000000012</v>
      </c>
      <c r="I27" s="11">
        <v>43707</v>
      </c>
      <c r="J27" s="12">
        <v>117922</v>
      </c>
      <c r="K27" s="13" t="s">
        <v>487</v>
      </c>
      <c r="L27" s="14" t="s">
        <v>19</v>
      </c>
      <c r="M27" s="11" t="s">
        <v>17</v>
      </c>
      <c r="N27" s="14" t="s">
        <v>11</v>
      </c>
      <c r="O27" s="15">
        <v>1628</v>
      </c>
      <c r="P27" s="12">
        <v>1</v>
      </c>
      <c r="Q27" s="13" t="s">
        <v>101</v>
      </c>
      <c r="R27" s="16">
        <v>2463000</v>
      </c>
      <c r="S27" s="17">
        <v>2239091</v>
      </c>
      <c r="T27" s="12">
        <v>0</v>
      </c>
      <c r="U27" s="18">
        <v>0</v>
      </c>
      <c r="V27" s="19">
        <v>0</v>
      </c>
      <c r="W27" s="13" t="s">
        <v>122</v>
      </c>
      <c r="X27" s="14" t="s">
        <v>488</v>
      </c>
      <c r="Y27" s="13" t="s">
        <v>383</v>
      </c>
      <c r="Z27" s="14" t="s">
        <v>489</v>
      </c>
      <c r="AA27" s="17">
        <v>13</v>
      </c>
      <c r="AB27" s="14" t="s">
        <v>220</v>
      </c>
      <c r="AC27" s="17">
        <v>2463000</v>
      </c>
      <c r="AD27" s="14" t="s">
        <v>108</v>
      </c>
      <c r="AE27" s="17">
        <v>2239091</v>
      </c>
      <c r="AF27" s="14" t="s">
        <v>127</v>
      </c>
      <c r="AG27" s="21" t="s">
        <v>384</v>
      </c>
      <c r="AH27" s="10">
        <v>1390931</v>
      </c>
      <c r="AI27" s="24" t="str">
        <f>VLOOKUP(Sales[[#This Row],[Store]],'Store lay bao  cao'!A:B,2,0)</f>
        <v>Lấy BC</v>
      </c>
      <c r="AJ27" s="24" t="str">
        <f>VLOOKUP(Sales[[#This Row],[Associate]],'Associate Status'!B:C,2,0)</f>
        <v>Retired</v>
      </c>
    </row>
    <row r="28" spans="1:36" x14ac:dyDescent="0.25">
      <c r="A28" s="7">
        <v>2019</v>
      </c>
      <c r="B28" s="8">
        <v>9</v>
      </c>
      <c r="C28" s="8">
        <v>35</v>
      </c>
      <c r="D28" s="8" t="s">
        <v>33</v>
      </c>
      <c r="E28" s="8" t="s">
        <v>53</v>
      </c>
      <c r="F28" s="8" t="s">
        <v>33</v>
      </c>
      <c r="G28" s="9">
        <v>2268629</v>
      </c>
      <c r="H28" s="10">
        <v>2232000</v>
      </c>
      <c r="I28" s="11">
        <v>43709</v>
      </c>
      <c r="J28" s="12">
        <v>117930</v>
      </c>
      <c r="K28" s="13" t="s">
        <v>492</v>
      </c>
      <c r="L28" s="14" t="s">
        <v>19</v>
      </c>
      <c r="M28" s="11" t="s">
        <v>15</v>
      </c>
      <c r="N28" s="14" t="s">
        <v>11</v>
      </c>
      <c r="O28" s="15">
        <v>3079</v>
      </c>
      <c r="P28" s="12">
        <v>1</v>
      </c>
      <c r="Q28" s="13" t="s">
        <v>101</v>
      </c>
      <c r="R28" s="16">
        <v>6480000</v>
      </c>
      <c r="S28" s="17">
        <v>5890909</v>
      </c>
      <c r="T28" s="12">
        <v>0</v>
      </c>
      <c r="U28" s="18">
        <v>0</v>
      </c>
      <c r="V28" s="19">
        <v>0</v>
      </c>
      <c r="W28" s="13" t="s">
        <v>104</v>
      </c>
      <c r="X28" s="14" t="s">
        <v>493</v>
      </c>
      <c r="Y28" s="13" t="s">
        <v>165</v>
      </c>
      <c r="Z28" s="14" t="s">
        <v>494</v>
      </c>
      <c r="AA28" s="17">
        <v>14</v>
      </c>
      <c r="AB28" s="14" t="s">
        <v>192</v>
      </c>
      <c r="AC28" s="17">
        <v>6480000</v>
      </c>
      <c r="AD28" s="14" t="s">
        <v>115</v>
      </c>
      <c r="AE28" s="17">
        <v>5890909</v>
      </c>
      <c r="AF28" s="14" t="s">
        <v>109</v>
      </c>
      <c r="AG28" s="20" t="s">
        <v>166</v>
      </c>
      <c r="AH28" s="10">
        <v>3622280</v>
      </c>
      <c r="AI28" s="24" t="str">
        <f>VLOOKUP(Sales[[#This Row],[Store]],'Store lay bao  cao'!A:B,2,0)</f>
        <v>Lấy BC</v>
      </c>
      <c r="AJ28" s="24" t="str">
        <f>VLOOKUP(Sales[[#This Row],[Associate]],'Associate Status'!B:C,2,0)</f>
        <v>Active</v>
      </c>
    </row>
    <row r="29" spans="1:36" x14ac:dyDescent="0.25">
      <c r="A29" s="7">
        <v>2019</v>
      </c>
      <c r="B29" s="8">
        <v>10</v>
      </c>
      <c r="C29" s="8">
        <v>40</v>
      </c>
      <c r="D29" s="8" t="s">
        <v>33</v>
      </c>
      <c r="E29" s="8" t="s">
        <v>34</v>
      </c>
      <c r="F29" s="8" t="s">
        <v>33</v>
      </c>
      <c r="G29" s="9">
        <v>6428160</v>
      </c>
      <c r="H29" s="10">
        <v>6428160.0000000009</v>
      </c>
      <c r="I29" s="11">
        <v>43740</v>
      </c>
      <c r="J29" s="12">
        <v>117917</v>
      </c>
      <c r="K29" s="13" t="s">
        <v>514</v>
      </c>
      <c r="L29" s="14" t="s">
        <v>19</v>
      </c>
      <c r="M29" s="11" t="s">
        <v>15</v>
      </c>
      <c r="N29" s="14" t="s">
        <v>11</v>
      </c>
      <c r="O29" s="15">
        <v>3285</v>
      </c>
      <c r="P29" s="12">
        <v>1</v>
      </c>
      <c r="Q29" s="13" t="s">
        <v>101</v>
      </c>
      <c r="R29" s="16">
        <v>18663000</v>
      </c>
      <c r="S29" s="17">
        <v>16966364</v>
      </c>
      <c r="T29" s="12">
        <v>0</v>
      </c>
      <c r="U29" s="18">
        <v>0</v>
      </c>
      <c r="V29" s="19">
        <v>0</v>
      </c>
      <c r="W29" s="13" t="s">
        <v>104</v>
      </c>
      <c r="X29" s="14" t="s">
        <v>515</v>
      </c>
      <c r="Y29" s="13" t="s">
        <v>211</v>
      </c>
      <c r="Z29" s="14" t="s">
        <v>516</v>
      </c>
      <c r="AA29" s="17">
        <v>13</v>
      </c>
      <c r="AB29" s="14" t="s">
        <v>517</v>
      </c>
      <c r="AC29" s="17">
        <v>18663000</v>
      </c>
      <c r="AD29" s="14" t="s">
        <v>108</v>
      </c>
      <c r="AE29" s="17">
        <v>16966364</v>
      </c>
      <c r="AF29" s="14" t="s">
        <v>106</v>
      </c>
      <c r="AG29" s="21" t="s">
        <v>212</v>
      </c>
      <c r="AH29" s="10">
        <v>10538204</v>
      </c>
      <c r="AI29" s="24" t="str">
        <f>VLOOKUP(Sales[[#This Row],[Store]],'Store lay bao  cao'!A:B,2,0)</f>
        <v>Lấy BC</v>
      </c>
      <c r="AJ29" s="24" t="str">
        <f>VLOOKUP(Sales[[#This Row],[Associate]],'Associate Status'!B:C,2,0)</f>
        <v>Active</v>
      </c>
    </row>
    <row r="30" spans="1:36" x14ac:dyDescent="0.25">
      <c r="A30" s="7">
        <v>2019</v>
      </c>
      <c r="B30" s="8">
        <v>10</v>
      </c>
      <c r="C30" s="8">
        <v>40</v>
      </c>
      <c r="D30" s="8" t="s">
        <v>30</v>
      </c>
      <c r="E30" s="8" t="s">
        <v>12</v>
      </c>
      <c r="F30" s="8" t="s">
        <v>30</v>
      </c>
      <c r="G30" s="9">
        <v>20619638</v>
      </c>
      <c r="H30" s="10">
        <v>15956500</v>
      </c>
      <c r="I30" s="11">
        <v>43743</v>
      </c>
      <c r="J30" s="12">
        <v>108993</v>
      </c>
      <c r="K30" s="13" t="s">
        <v>523</v>
      </c>
      <c r="L30" s="14" t="s">
        <v>59</v>
      </c>
      <c r="M30" s="11" t="s">
        <v>17</v>
      </c>
      <c r="N30" s="14" t="s">
        <v>11</v>
      </c>
      <c r="O30" s="15">
        <v>1784</v>
      </c>
      <c r="P30" s="12">
        <v>1</v>
      </c>
      <c r="Q30" s="13" t="s">
        <v>101</v>
      </c>
      <c r="R30" s="16">
        <v>41125000</v>
      </c>
      <c r="S30" s="17">
        <v>37386364</v>
      </c>
      <c r="T30" s="12">
        <v>0</v>
      </c>
      <c r="U30" s="18">
        <v>0</v>
      </c>
      <c r="V30" s="19">
        <v>0</v>
      </c>
      <c r="W30" s="13" t="s">
        <v>122</v>
      </c>
      <c r="X30" s="14" t="s">
        <v>524</v>
      </c>
      <c r="Y30" s="13" t="s">
        <v>306</v>
      </c>
      <c r="Z30" s="14" t="s">
        <v>525</v>
      </c>
      <c r="AA30" s="17">
        <v>14</v>
      </c>
      <c r="AB30" s="14" t="s">
        <v>526</v>
      </c>
      <c r="AC30" s="17">
        <v>41125000</v>
      </c>
      <c r="AD30" s="14">
        <v>5.5</v>
      </c>
      <c r="AE30" s="17">
        <v>37386364</v>
      </c>
      <c r="AF30" s="14" t="s">
        <v>141</v>
      </c>
      <c r="AG30" s="20" t="s">
        <v>307</v>
      </c>
      <c r="AH30" s="10">
        <v>16766726</v>
      </c>
      <c r="AI30" s="24" t="str">
        <f>VLOOKUP(Sales[[#This Row],[Store]],'Store lay bao  cao'!A:B,2,0)</f>
        <v>Lấy BC</v>
      </c>
      <c r="AJ30" s="24" t="str">
        <f>VLOOKUP(Sales[[#This Row],[Associate]],'Associate Status'!B:C,2,0)</f>
        <v>Retired</v>
      </c>
    </row>
    <row r="31" spans="1:36" x14ac:dyDescent="0.25">
      <c r="A31" s="7">
        <v>2019</v>
      </c>
      <c r="B31" s="8">
        <v>12</v>
      </c>
      <c r="C31" s="8">
        <v>48</v>
      </c>
      <c r="D31" s="8" t="s">
        <v>18</v>
      </c>
      <c r="E31" s="8" t="s">
        <v>12</v>
      </c>
      <c r="F31" s="8" t="s">
        <v>18</v>
      </c>
      <c r="G31" s="9">
        <v>6009974</v>
      </c>
      <c r="H31" s="10">
        <v>6009974.0899999999</v>
      </c>
      <c r="I31" s="11">
        <v>43800</v>
      </c>
      <c r="J31" s="12">
        <v>30028</v>
      </c>
      <c r="K31" s="13" t="s">
        <v>578</v>
      </c>
      <c r="L31" s="14" t="s">
        <v>19</v>
      </c>
      <c r="M31" s="11" t="s">
        <v>15</v>
      </c>
      <c r="N31" s="14" t="s">
        <v>11</v>
      </c>
      <c r="O31" s="15">
        <v>3903</v>
      </c>
      <c r="P31" s="12">
        <v>1</v>
      </c>
      <c r="Q31" s="13" t="s">
        <v>101</v>
      </c>
      <c r="R31" s="16">
        <v>21456000</v>
      </c>
      <c r="S31" s="17">
        <v>19505455</v>
      </c>
      <c r="T31" s="12">
        <v>0</v>
      </c>
      <c r="U31" s="18">
        <v>0</v>
      </c>
      <c r="V31" s="19">
        <v>0</v>
      </c>
      <c r="W31" s="13" t="s">
        <v>134</v>
      </c>
      <c r="X31" s="14" t="s">
        <v>579</v>
      </c>
      <c r="Y31" s="13" t="s">
        <v>185</v>
      </c>
      <c r="Z31" s="14" t="s">
        <v>580</v>
      </c>
      <c r="AA31" s="17">
        <v>14</v>
      </c>
      <c r="AB31" s="14" t="s">
        <v>581</v>
      </c>
      <c r="AC31" s="17">
        <v>21456000</v>
      </c>
      <c r="AD31" s="14">
        <v>10</v>
      </c>
      <c r="AE31" s="17">
        <v>19505455</v>
      </c>
      <c r="AF31" s="14" t="s">
        <v>2596</v>
      </c>
      <c r="AG31" s="21" t="s">
        <v>186</v>
      </c>
      <c r="AH31" s="10">
        <v>13495481</v>
      </c>
      <c r="AI31" s="24" t="str">
        <f>VLOOKUP(Sales[[#This Row],[Store]],'Store lay bao  cao'!A:B,2,0)</f>
        <v>Lấy BC</v>
      </c>
      <c r="AJ31" s="24" t="e">
        <f>VLOOKUP(Sales[[#This Row],[Associate]],'Associate Status'!B:C,2,0)</f>
        <v>#N/A</v>
      </c>
    </row>
    <row r="32" spans="1:36" x14ac:dyDescent="0.25">
      <c r="A32" s="7">
        <v>2019</v>
      </c>
      <c r="B32" s="8">
        <v>12</v>
      </c>
      <c r="C32" s="8">
        <v>48</v>
      </c>
      <c r="D32" s="8" t="s">
        <v>18</v>
      </c>
      <c r="E32" s="8" t="s">
        <v>12</v>
      </c>
      <c r="F32" s="8" t="s">
        <v>18</v>
      </c>
      <c r="G32" s="9">
        <v>5316516</v>
      </c>
      <c r="H32" s="10">
        <v>5316515.54</v>
      </c>
      <c r="I32" s="11">
        <v>43800</v>
      </c>
      <c r="J32" s="12">
        <v>30031</v>
      </c>
      <c r="K32" s="13" t="s">
        <v>578</v>
      </c>
      <c r="L32" s="14" t="s">
        <v>19</v>
      </c>
      <c r="M32" s="11" t="s">
        <v>15</v>
      </c>
      <c r="N32" s="14" t="s">
        <v>11</v>
      </c>
      <c r="O32" s="15">
        <v>3903</v>
      </c>
      <c r="P32" s="12">
        <v>1</v>
      </c>
      <c r="Q32" s="13" t="s">
        <v>101</v>
      </c>
      <c r="R32" s="16">
        <v>18980000</v>
      </c>
      <c r="S32" s="17">
        <v>17254545</v>
      </c>
      <c r="T32" s="12">
        <v>0</v>
      </c>
      <c r="U32" s="18">
        <v>0</v>
      </c>
      <c r="V32" s="19">
        <v>0</v>
      </c>
      <c r="W32" s="13" t="s">
        <v>134</v>
      </c>
      <c r="X32" s="14" t="s">
        <v>582</v>
      </c>
      <c r="Y32" s="13" t="s">
        <v>185</v>
      </c>
      <c r="Z32" s="14" t="s">
        <v>583</v>
      </c>
      <c r="AA32" s="17">
        <v>14</v>
      </c>
      <c r="AB32" s="14" t="s">
        <v>584</v>
      </c>
      <c r="AC32" s="17">
        <v>18980000</v>
      </c>
      <c r="AD32" s="14">
        <v>11</v>
      </c>
      <c r="AE32" s="17">
        <v>17254545</v>
      </c>
      <c r="AF32" s="14" t="s">
        <v>2596</v>
      </c>
      <c r="AG32" s="20" t="s">
        <v>186</v>
      </c>
      <c r="AH32" s="10">
        <v>11938029</v>
      </c>
      <c r="AI32" s="24" t="str">
        <f>VLOOKUP(Sales[[#This Row],[Store]],'Store lay bao  cao'!A:B,2,0)</f>
        <v>Lấy BC</v>
      </c>
      <c r="AJ32" s="24" t="e">
        <f>VLOOKUP(Sales[[#This Row],[Associate]],'Associate Status'!B:C,2,0)</f>
        <v>#N/A</v>
      </c>
    </row>
    <row r="33" spans="1:36" x14ac:dyDescent="0.25">
      <c r="A33" s="7">
        <v>2019</v>
      </c>
      <c r="B33" s="8">
        <v>12</v>
      </c>
      <c r="C33" s="8">
        <v>48</v>
      </c>
      <c r="D33" s="8" t="s">
        <v>18</v>
      </c>
      <c r="E33" s="8" t="s">
        <v>12</v>
      </c>
      <c r="F33" s="8" t="s">
        <v>18</v>
      </c>
      <c r="G33" s="9">
        <v>0</v>
      </c>
      <c r="H33" s="10">
        <v>5501437.8200000003</v>
      </c>
      <c r="I33" s="11">
        <v>43800</v>
      </c>
      <c r="J33" s="12">
        <v>30032</v>
      </c>
      <c r="K33" s="13" t="s">
        <v>578</v>
      </c>
      <c r="L33" s="14" t="s">
        <v>19</v>
      </c>
      <c r="M33" s="11" t="s">
        <v>15</v>
      </c>
      <c r="N33" s="14" t="s">
        <v>11</v>
      </c>
      <c r="O33" s="15">
        <v>3903</v>
      </c>
      <c r="P33" s="12">
        <v>1</v>
      </c>
      <c r="Q33" s="13" t="s">
        <v>101</v>
      </c>
      <c r="R33" s="16">
        <v>19641000</v>
      </c>
      <c r="S33" s="17">
        <v>17855455</v>
      </c>
      <c r="T33" s="12">
        <v>0</v>
      </c>
      <c r="U33" s="18">
        <v>0</v>
      </c>
      <c r="V33" s="19">
        <v>0</v>
      </c>
      <c r="W33" s="13" t="s">
        <v>134</v>
      </c>
      <c r="X33" s="14" t="s">
        <v>585</v>
      </c>
      <c r="Y33" s="13" t="s">
        <v>185</v>
      </c>
      <c r="Z33" s="14" t="s">
        <v>586</v>
      </c>
      <c r="AA33" s="17">
        <v>14</v>
      </c>
      <c r="AB33" s="14" t="s">
        <v>587</v>
      </c>
      <c r="AC33" s="17">
        <v>19641000</v>
      </c>
      <c r="AD33" s="14">
        <v>10</v>
      </c>
      <c r="AE33" s="17">
        <v>17855455</v>
      </c>
      <c r="AF33" s="14" t="s">
        <v>2596</v>
      </c>
      <c r="AG33" s="21" t="s">
        <v>186</v>
      </c>
      <c r="AH33" s="10">
        <v>17855455</v>
      </c>
      <c r="AI33" s="24" t="str">
        <f>VLOOKUP(Sales[[#This Row],[Store]],'Store lay bao  cao'!A:B,2,0)</f>
        <v>Lấy BC</v>
      </c>
      <c r="AJ33" s="24" t="e">
        <f>VLOOKUP(Sales[[#This Row],[Associate]],'Associate Status'!B:C,2,0)</f>
        <v>#N/A</v>
      </c>
    </row>
    <row r="34" spans="1:36" x14ac:dyDescent="0.25">
      <c r="A34" s="7">
        <v>2019</v>
      </c>
      <c r="B34" s="8">
        <v>12</v>
      </c>
      <c r="C34" s="8">
        <v>53</v>
      </c>
      <c r="D34" s="8" t="s">
        <v>25</v>
      </c>
      <c r="E34" s="8" t="s">
        <v>12</v>
      </c>
      <c r="F34" s="8" t="s">
        <v>25</v>
      </c>
      <c r="G34" s="9">
        <v>9714650</v>
      </c>
      <c r="H34" s="10">
        <v>9714649.7799999993</v>
      </c>
      <c r="I34" s="11">
        <v>43830</v>
      </c>
      <c r="J34" s="12">
        <v>52834</v>
      </c>
      <c r="K34" s="13" t="s">
        <v>611</v>
      </c>
      <c r="L34" s="14" t="s">
        <v>19</v>
      </c>
      <c r="M34" s="11" t="s">
        <v>17</v>
      </c>
      <c r="N34" s="14" t="s">
        <v>11</v>
      </c>
      <c r="O34" s="15">
        <v>2285</v>
      </c>
      <c r="P34" s="12">
        <v>1</v>
      </c>
      <c r="Q34" s="13" t="s">
        <v>101</v>
      </c>
      <c r="R34" s="16">
        <v>32379000</v>
      </c>
      <c r="S34" s="17">
        <v>29435455</v>
      </c>
      <c r="T34" s="12">
        <v>0</v>
      </c>
      <c r="U34" s="18">
        <v>0</v>
      </c>
      <c r="V34" s="19">
        <v>0</v>
      </c>
      <c r="W34" s="13" t="s">
        <v>122</v>
      </c>
      <c r="X34" s="14" t="s">
        <v>612</v>
      </c>
      <c r="Y34" s="13" t="s">
        <v>206</v>
      </c>
      <c r="Z34" s="14" t="s">
        <v>613</v>
      </c>
      <c r="AA34" s="17">
        <v>19</v>
      </c>
      <c r="AB34" s="14" t="s">
        <v>614</v>
      </c>
      <c r="AC34" s="17">
        <v>32379000</v>
      </c>
      <c r="AD34" s="14">
        <v>11</v>
      </c>
      <c r="AE34" s="17">
        <v>29435455</v>
      </c>
      <c r="AF34" s="14" t="s">
        <v>181</v>
      </c>
      <c r="AG34" s="20"/>
      <c r="AH34" s="10">
        <v>19720805</v>
      </c>
      <c r="AI34" s="24" t="str">
        <f>VLOOKUP(Sales[[#This Row],[Store]],'Store lay bao  cao'!A:B,2,0)</f>
        <v>Lấy BC</v>
      </c>
      <c r="AJ34" s="24" t="str">
        <f>VLOOKUP(Sales[[#This Row],[Associate]],'Associate Status'!B:C,2,0)</f>
        <v>Retired</v>
      </c>
    </row>
    <row r="35" spans="1:36" x14ac:dyDescent="0.25">
      <c r="A35" s="7">
        <v>2020</v>
      </c>
      <c r="B35" s="8">
        <v>2</v>
      </c>
      <c r="C35" s="8">
        <v>5</v>
      </c>
      <c r="D35" s="8" t="s">
        <v>20</v>
      </c>
      <c r="E35" s="8" t="s">
        <v>12</v>
      </c>
      <c r="F35" s="8" t="s">
        <v>20</v>
      </c>
      <c r="G35" s="9">
        <v>6573600</v>
      </c>
      <c r="H35" s="10">
        <v>6573600</v>
      </c>
      <c r="I35" s="11">
        <v>43863</v>
      </c>
      <c r="J35" s="12">
        <v>37108</v>
      </c>
      <c r="K35" s="13" t="s">
        <v>656</v>
      </c>
      <c r="L35" s="14" t="s">
        <v>19</v>
      </c>
      <c r="M35" s="11" t="s">
        <v>15</v>
      </c>
      <c r="N35" s="14" t="s">
        <v>11</v>
      </c>
      <c r="O35" s="15">
        <v>4665</v>
      </c>
      <c r="P35" s="12">
        <v>1</v>
      </c>
      <c r="Q35" s="13" t="s">
        <v>101</v>
      </c>
      <c r="R35" s="16">
        <v>24586000</v>
      </c>
      <c r="S35" s="17">
        <v>22350909</v>
      </c>
      <c r="T35" s="12">
        <v>0</v>
      </c>
      <c r="U35" s="18">
        <v>0</v>
      </c>
      <c r="V35" s="19">
        <v>0</v>
      </c>
      <c r="W35" s="13" t="s">
        <v>104</v>
      </c>
      <c r="X35" s="14" t="s">
        <v>657</v>
      </c>
      <c r="Y35" s="13" t="s">
        <v>185</v>
      </c>
      <c r="Z35" s="14" t="s">
        <v>658</v>
      </c>
      <c r="AA35" s="17">
        <v>11</v>
      </c>
      <c r="AB35" s="14" t="s">
        <v>220</v>
      </c>
      <c r="AC35" s="17">
        <v>24586000</v>
      </c>
      <c r="AD35" s="14">
        <v>11</v>
      </c>
      <c r="AE35" s="17">
        <v>22350909</v>
      </c>
      <c r="AF35" s="14" t="s">
        <v>112</v>
      </c>
      <c r="AG35" s="21" t="s">
        <v>186</v>
      </c>
      <c r="AH35" s="10">
        <v>15777309</v>
      </c>
      <c r="AI35" s="24" t="str">
        <f>VLOOKUP(Sales[[#This Row],[Store]],'Store lay bao  cao'!A:B,2,0)</f>
        <v>Lấy BC</v>
      </c>
      <c r="AJ35" s="24" t="str">
        <f>VLOOKUP(Sales[[#This Row],[Associate]],'Associate Status'!B:C,2,0)</f>
        <v>Retired</v>
      </c>
    </row>
    <row r="36" spans="1:36" x14ac:dyDescent="0.25">
      <c r="A36" s="7">
        <v>2020</v>
      </c>
      <c r="B36" s="8">
        <v>2</v>
      </c>
      <c r="C36" s="8">
        <v>5</v>
      </c>
      <c r="D36" s="8" t="s">
        <v>20</v>
      </c>
      <c r="E36" s="8" t="s">
        <v>12</v>
      </c>
      <c r="F36" s="8" t="s">
        <v>20</v>
      </c>
      <c r="G36" s="9">
        <v>4712400</v>
      </c>
      <c r="H36" s="10">
        <v>6490260</v>
      </c>
      <c r="I36" s="11">
        <v>43863</v>
      </c>
      <c r="J36" s="12">
        <v>37083</v>
      </c>
      <c r="K36" s="13" t="s">
        <v>656</v>
      </c>
      <c r="L36" s="14" t="s">
        <v>19</v>
      </c>
      <c r="M36" s="11" t="s">
        <v>15</v>
      </c>
      <c r="N36" s="14" t="s">
        <v>11</v>
      </c>
      <c r="O36" s="15">
        <v>4665</v>
      </c>
      <c r="P36" s="12">
        <v>1</v>
      </c>
      <c r="Q36" s="13" t="s">
        <v>101</v>
      </c>
      <c r="R36" s="16">
        <v>17625000</v>
      </c>
      <c r="S36" s="17">
        <v>16022727</v>
      </c>
      <c r="T36" s="12">
        <v>0</v>
      </c>
      <c r="U36" s="18">
        <v>0</v>
      </c>
      <c r="V36" s="19">
        <v>0</v>
      </c>
      <c r="W36" s="13" t="s">
        <v>104</v>
      </c>
      <c r="X36" s="14" t="s">
        <v>659</v>
      </c>
      <c r="Y36" s="13" t="s">
        <v>185</v>
      </c>
      <c r="Z36" s="14" t="s">
        <v>660</v>
      </c>
      <c r="AA36" s="17">
        <v>11</v>
      </c>
      <c r="AB36" s="14" t="s">
        <v>220</v>
      </c>
      <c r="AC36" s="17">
        <v>17625000</v>
      </c>
      <c r="AD36" s="14">
        <v>10</v>
      </c>
      <c r="AE36" s="17">
        <v>16022727</v>
      </c>
      <c r="AF36" s="14" t="s">
        <v>112</v>
      </c>
      <c r="AG36" s="20" t="s">
        <v>186</v>
      </c>
      <c r="AH36" s="10">
        <v>11310327</v>
      </c>
      <c r="AI36" s="24" t="str">
        <f>VLOOKUP(Sales[[#This Row],[Store]],'Store lay bao  cao'!A:B,2,0)</f>
        <v>Lấy BC</v>
      </c>
      <c r="AJ36" s="24" t="str">
        <f>VLOOKUP(Sales[[#This Row],[Associate]],'Associate Status'!B:C,2,0)</f>
        <v>Retired</v>
      </c>
    </row>
    <row r="37" spans="1:36" x14ac:dyDescent="0.25">
      <c r="A37" s="7">
        <v>2020</v>
      </c>
      <c r="B37" s="8">
        <v>2</v>
      </c>
      <c r="C37" s="8">
        <v>6</v>
      </c>
      <c r="D37" s="8" t="s">
        <v>18</v>
      </c>
      <c r="E37" s="8" t="s">
        <v>12</v>
      </c>
      <c r="F37" s="8" t="s">
        <v>18</v>
      </c>
      <c r="G37" s="9">
        <v>5316516</v>
      </c>
      <c r="H37" s="10">
        <v>5316515.54</v>
      </c>
      <c r="I37" s="11">
        <v>43868</v>
      </c>
      <c r="J37" s="12">
        <v>30030</v>
      </c>
      <c r="K37" s="13" t="s">
        <v>663</v>
      </c>
      <c r="L37" s="14" t="s">
        <v>19</v>
      </c>
      <c r="M37" s="11" t="s">
        <v>15</v>
      </c>
      <c r="N37" s="14" t="s">
        <v>11</v>
      </c>
      <c r="O37" s="15">
        <v>4703</v>
      </c>
      <c r="P37" s="12">
        <v>1</v>
      </c>
      <c r="Q37" s="13" t="s">
        <v>144</v>
      </c>
      <c r="R37" s="16">
        <v>18031000</v>
      </c>
      <c r="S37" s="17">
        <v>16391818</v>
      </c>
      <c r="T37" s="12">
        <v>5</v>
      </c>
      <c r="U37" s="18">
        <v>862727</v>
      </c>
      <c r="V37" s="19">
        <v>949000</v>
      </c>
      <c r="W37" s="13" t="s">
        <v>104</v>
      </c>
      <c r="X37" s="14" t="s">
        <v>582</v>
      </c>
      <c r="Y37" s="13" t="s">
        <v>228</v>
      </c>
      <c r="Z37" s="14" t="s">
        <v>583</v>
      </c>
      <c r="AA37" s="17">
        <v>17</v>
      </c>
      <c r="AB37" s="14" t="s">
        <v>584</v>
      </c>
      <c r="AC37" s="17">
        <v>18980000</v>
      </c>
      <c r="AD37" s="14">
        <v>10</v>
      </c>
      <c r="AE37" s="17">
        <v>17254545</v>
      </c>
      <c r="AF37" s="14" t="s">
        <v>136</v>
      </c>
      <c r="AG37" s="21" t="s">
        <v>229</v>
      </c>
      <c r="AH37" s="10">
        <v>11075302</v>
      </c>
      <c r="AI37" s="24" t="str">
        <f>VLOOKUP(Sales[[#This Row],[Store]],'Store lay bao  cao'!A:B,2,0)</f>
        <v>Lấy BC</v>
      </c>
      <c r="AJ37" s="24" t="str">
        <f>VLOOKUP(Sales[[#This Row],[Associate]],'Associate Status'!B:C,2,0)</f>
        <v>Active</v>
      </c>
    </row>
    <row r="38" spans="1:36" x14ac:dyDescent="0.25">
      <c r="A38" s="7">
        <v>2020</v>
      </c>
      <c r="B38" s="8">
        <v>2</v>
      </c>
      <c r="C38" s="8">
        <v>6</v>
      </c>
      <c r="D38" s="8" t="s">
        <v>33</v>
      </c>
      <c r="E38" s="8" t="s">
        <v>53</v>
      </c>
      <c r="F38" s="8" t="s">
        <v>33</v>
      </c>
      <c r="G38" s="9">
        <v>4196160</v>
      </c>
      <c r="H38" s="10">
        <v>4196160</v>
      </c>
      <c r="I38" s="11">
        <v>43868</v>
      </c>
      <c r="J38" s="12">
        <v>117926</v>
      </c>
      <c r="K38" s="13" t="s">
        <v>663</v>
      </c>
      <c r="L38" s="14" t="s">
        <v>19</v>
      </c>
      <c r="M38" s="11" t="s">
        <v>15</v>
      </c>
      <c r="N38" s="14" t="s">
        <v>11</v>
      </c>
      <c r="O38" s="15">
        <v>4703</v>
      </c>
      <c r="P38" s="12">
        <v>1</v>
      </c>
      <c r="Q38" s="13" t="s">
        <v>144</v>
      </c>
      <c r="R38" s="16">
        <v>11573850</v>
      </c>
      <c r="S38" s="17">
        <v>10521682</v>
      </c>
      <c r="T38" s="12">
        <v>5</v>
      </c>
      <c r="U38" s="18">
        <v>553773</v>
      </c>
      <c r="V38" s="19">
        <v>609150</v>
      </c>
      <c r="W38" s="13" t="s">
        <v>104</v>
      </c>
      <c r="X38" s="14" t="s">
        <v>664</v>
      </c>
      <c r="Y38" s="13" t="s">
        <v>228</v>
      </c>
      <c r="Z38" s="14" t="s">
        <v>665</v>
      </c>
      <c r="AA38" s="17">
        <v>17</v>
      </c>
      <c r="AB38" s="14" t="s">
        <v>666</v>
      </c>
      <c r="AC38" s="17">
        <v>12183000</v>
      </c>
      <c r="AD38" s="14" t="s">
        <v>115</v>
      </c>
      <c r="AE38" s="17">
        <v>11075455</v>
      </c>
      <c r="AF38" s="14" t="s">
        <v>136</v>
      </c>
      <c r="AG38" s="20" t="s">
        <v>229</v>
      </c>
      <c r="AH38" s="10">
        <v>6325522</v>
      </c>
      <c r="AI38" s="24" t="str">
        <f>VLOOKUP(Sales[[#This Row],[Store]],'Store lay bao  cao'!A:B,2,0)</f>
        <v>Lấy BC</v>
      </c>
      <c r="AJ38" s="24" t="str">
        <f>VLOOKUP(Sales[[#This Row],[Associate]],'Associate Status'!B:C,2,0)</f>
        <v>Active</v>
      </c>
    </row>
    <row r="39" spans="1:36" x14ac:dyDescent="0.25">
      <c r="A39" s="7">
        <v>2020</v>
      </c>
      <c r="B39" s="8">
        <v>2</v>
      </c>
      <c r="C39" s="8">
        <v>6</v>
      </c>
      <c r="D39" s="8" t="s">
        <v>30</v>
      </c>
      <c r="E39" s="8" t="s">
        <v>12</v>
      </c>
      <c r="F39" s="8" t="s">
        <v>30</v>
      </c>
      <c r="G39" s="9">
        <v>43211883</v>
      </c>
      <c r="H39" s="10">
        <v>33628500</v>
      </c>
      <c r="I39" s="11">
        <v>43868</v>
      </c>
      <c r="J39" s="12">
        <v>109934</v>
      </c>
      <c r="K39" s="13" t="s">
        <v>667</v>
      </c>
      <c r="L39" s="14" t="s">
        <v>44</v>
      </c>
      <c r="M39" s="11" t="s">
        <v>15</v>
      </c>
      <c r="N39" s="14" t="s">
        <v>11</v>
      </c>
      <c r="O39" s="15">
        <v>4707</v>
      </c>
      <c r="P39" s="12">
        <v>1</v>
      </c>
      <c r="Q39" s="13" t="s">
        <v>101</v>
      </c>
      <c r="R39" s="16">
        <v>93413000</v>
      </c>
      <c r="S39" s="17">
        <v>84920909</v>
      </c>
      <c r="T39" s="12">
        <v>0</v>
      </c>
      <c r="U39" s="18">
        <v>0</v>
      </c>
      <c r="V39" s="19">
        <v>0</v>
      </c>
      <c r="W39" s="13" t="s">
        <v>104</v>
      </c>
      <c r="X39" s="14" t="s">
        <v>668</v>
      </c>
      <c r="Y39" s="13" t="s">
        <v>178</v>
      </c>
      <c r="Z39" s="14" t="s">
        <v>669</v>
      </c>
      <c r="AA39" s="17">
        <v>18</v>
      </c>
      <c r="AB39" s="14" t="s">
        <v>263</v>
      </c>
      <c r="AC39" s="17">
        <v>93413000</v>
      </c>
      <c r="AD39" s="14" t="s">
        <v>108</v>
      </c>
      <c r="AE39" s="17">
        <v>84920909</v>
      </c>
      <c r="AF39" s="14" t="s">
        <v>2648</v>
      </c>
      <c r="AG39" s="21" t="s">
        <v>179</v>
      </c>
      <c r="AH39" s="10">
        <v>41709026</v>
      </c>
      <c r="AI39" s="24" t="str">
        <f>VLOOKUP(Sales[[#This Row],[Store]],'Store lay bao  cao'!A:B,2,0)</f>
        <v>Lấy BC</v>
      </c>
      <c r="AJ39" s="24" t="e">
        <f>VLOOKUP(Sales[[#This Row],[Associate]],'Associate Status'!B:C,2,0)</f>
        <v>#N/A</v>
      </c>
    </row>
    <row r="40" spans="1:36" x14ac:dyDescent="0.25">
      <c r="A40" s="7">
        <v>2020</v>
      </c>
      <c r="B40" s="8">
        <v>3</v>
      </c>
      <c r="C40" s="8">
        <v>13</v>
      </c>
      <c r="D40" s="8" t="s">
        <v>30</v>
      </c>
      <c r="E40" s="8" t="s">
        <v>12</v>
      </c>
      <c r="F40" s="8" t="s">
        <v>30</v>
      </c>
      <c r="G40" s="9">
        <v>-42124791</v>
      </c>
      <c r="H40" s="10">
        <v>-32782500</v>
      </c>
      <c r="I40" s="11">
        <v>43913</v>
      </c>
      <c r="J40" s="12">
        <v>109922</v>
      </c>
      <c r="K40" s="13" t="s">
        <v>699</v>
      </c>
      <c r="L40" s="14" t="s">
        <v>44</v>
      </c>
      <c r="M40" s="11" t="s">
        <v>17</v>
      </c>
      <c r="N40" s="14" t="s">
        <v>11</v>
      </c>
      <c r="O40" s="15">
        <v>2672</v>
      </c>
      <c r="P40" s="12">
        <v>-1</v>
      </c>
      <c r="Q40" s="13" t="s">
        <v>101</v>
      </c>
      <c r="R40" s="16">
        <v>-91063000</v>
      </c>
      <c r="S40" s="17">
        <v>-82784545</v>
      </c>
      <c r="T40" s="12">
        <v>0</v>
      </c>
      <c r="U40" s="18">
        <v>0</v>
      </c>
      <c r="V40" s="19">
        <v>0</v>
      </c>
      <c r="W40" s="13" t="s">
        <v>122</v>
      </c>
      <c r="X40" s="14" t="s">
        <v>700</v>
      </c>
      <c r="Y40" s="13" t="s">
        <v>353</v>
      </c>
      <c r="Z40" s="14" t="s">
        <v>701</v>
      </c>
      <c r="AA40" s="17">
        <v>19</v>
      </c>
      <c r="AB40" s="14" t="s">
        <v>263</v>
      </c>
      <c r="AC40" s="17">
        <v>-91063000</v>
      </c>
      <c r="AD40" s="14" t="s">
        <v>108</v>
      </c>
      <c r="AE40" s="17">
        <v>-82784545</v>
      </c>
      <c r="AF40" s="14" t="s">
        <v>181</v>
      </c>
      <c r="AG40" s="20" t="s">
        <v>354</v>
      </c>
      <c r="AH40" s="10">
        <v>-40659754</v>
      </c>
      <c r="AI40" s="24" t="str">
        <f>VLOOKUP(Sales[[#This Row],[Store]],'Store lay bao  cao'!A:B,2,0)</f>
        <v>Lấy BC</v>
      </c>
      <c r="AJ40" s="24" t="str">
        <f>VLOOKUP(Sales[[#This Row],[Associate]],'Associate Status'!B:C,2,0)</f>
        <v>Retired</v>
      </c>
    </row>
    <row r="41" spans="1:36" x14ac:dyDescent="0.25">
      <c r="A41" s="7">
        <v>2020</v>
      </c>
      <c r="B41" s="8">
        <v>3</v>
      </c>
      <c r="C41" s="8">
        <v>13</v>
      </c>
      <c r="D41" s="8" t="s">
        <v>30</v>
      </c>
      <c r="E41" s="8" t="s">
        <v>12</v>
      </c>
      <c r="F41" s="8" t="s">
        <v>30</v>
      </c>
      <c r="G41" s="9">
        <v>42124791</v>
      </c>
      <c r="H41" s="10">
        <v>32782500</v>
      </c>
      <c r="I41" s="11">
        <v>43913</v>
      </c>
      <c r="J41" s="12">
        <v>109922</v>
      </c>
      <c r="K41" s="13" t="s">
        <v>702</v>
      </c>
      <c r="L41" s="14" t="s">
        <v>44</v>
      </c>
      <c r="M41" s="11" t="s">
        <v>17</v>
      </c>
      <c r="N41" s="14" t="s">
        <v>11</v>
      </c>
      <c r="O41" s="15">
        <v>2668</v>
      </c>
      <c r="P41" s="12">
        <v>1</v>
      </c>
      <c r="Q41" s="13" t="s">
        <v>101</v>
      </c>
      <c r="R41" s="16">
        <v>91063000</v>
      </c>
      <c r="S41" s="17">
        <v>82784545</v>
      </c>
      <c r="T41" s="12">
        <v>0</v>
      </c>
      <c r="U41" s="18">
        <v>0</v>
      </c>
      <c r="V41" s="19">
        <v>0</v>
      </c>
      <c r="W41" s="13" t="s">
        <v>140</v>
      </c>
      <c r="X41" s="14" t="s">
        <v>700</v>
      </c>
      <c r="Y41" s="13" t="s">
        <v>353</v>
      </c>
      <c r="Z41" s="14" t="s">
        <v>701</v>
      </c>
      <c r="AA41" s="17">
        <v>11</v>
      </c>
      <c r="AB41" s="14" t="s">
        <v>263</v>
      </c>
      <c r="AC41" s="17">
        <v>91063000</v>
      </c>
      <c r="AD41" s="14" t="s">
        <v>108</v>
      </c>
      <c r="AE41" s="17">
        <v>82784545</v>
      </c>
      <c r="AF41" s="14" t="s">
        <v>181</v>
      </c>
      <c r="AG41" s="21" t="s">
        <v>354</v>
      </c>
      <c r="AH41" s="10">
        <v>40659754</v>
      </c>
      <c r="AI41" s="24" t="str">
        <f>VLOOKUP(Sales[[#This Row],[Store]],'Store lay bao  cao'!A:B,2,0)</f>
        <v>Lấy BC</v>
      </c>
      <c r="AJ41" s="24" t="str">
        <f>VLOOKUP(Sales[[#This Row],[Associate]],'Associate Status'!B:C,2,0)</f>
        <v>Retired</v>
      </c>
    </row>
    <row r="42" spans="1:36" x14ac:dyDescent="0.25">
      <c r="A42" s="7">
        <v>2020</v>
      </c>
      <c r="B42" s="8">
        <v>10</v>
      </c>
      <c r="C42" s="8">
        <v>42</v>
      </c>
      <c r="D42" s="8" t="s">
        <v>23</v>
      </c>
      <c r="E42" s="8" t="s">
        <v>12</v>
      </c>
      <c r="F42" s="8" t="s">
        <v>23</v>
      </c>
      <c r="G42" s="9">
        <v>17531100</v>
      </c>
      <c r="H42" s="10">
        <v>17531100</v>
      </c>
      <c r="I42" s="11">
        <v>44117</v>
      </c>
      <c r="J42" s="12">
        <v>42534</v>
      </c>
      <c r="K42" s="13" t="s">
        <v>762</v>
      </c>
      <c r="L42" s="14" t="s">
        <v>19</v>
      </c>
      <c r="M42" s="11" t="s">
        <v>15</v>
      </c>
      <c r="N42" s="14" t="s">
        <v>11</v>
      </c>
      <c r="O42" s="15">
        <v>6302</v>
      </c>
      <c r="P42" s="12">
        <v>1</v>
      </c>
      <c r="Q42" s="13" t="s">
        <v>175</v>
      </c>
      <c r="R42" s="16">
        <v>58437000</v>
      </c>
      <c r="S42" s="17">
        <v>53124545</v>
      </c>
      <c r="T42" s="12">
        <v>0</v>
      </c>
      <c r="U42" s="18">
        <v>0</v>
      </c>
      <c r="V42" s="19">
        <v>0</v>
      </c>
      <c r="W42" s="13" t="s">
        <v>104</v>
      </c>
      <c r="X42" s="14" t="s">
        <v>395</v>
      </c>
      <c r="Y42" s="13" t="s">
        <v>758</v>
      </c>
      <c r="Z42" s="14" t="s">
        <v>396</v>
      </c>
      <c r="AA42" s="17">
        <v>10</v>
      </c>
      <c r="AB42" s="14" t="s">
        <v>220</v>
      </c>
      <c r="AC42" s="17">
        <v>58437000</v>
      </c>
      <c r="AD42" s="14">
        <v>11</v>
      </c>
      <c r="AE42" s="17">
        <v>53124545</v>
      </c>
      <c r="AF42" s="14" t="s">
        <v>2648</v>
      </c>
      <c r="AG42" s="20" t="s">
        <v>759</v>
      </c>
      <c r="AH42" s="10">
        <v>35593445</v>
      </c>
      <c r="AI42" s="24" t="str">
        <f>VLOOKUP(Sales[[#This Row],[Store]],'Store lay bao  cao'!A:B,2,0)</f>
        <v>Lấy BC</v>
      </c>
      <c r="AJ42" s="24" t="e">
        <f>VLOOKUP(Sales[[#This Row],[Associate]],'Associate Status'!B:C,2,0)</f>
        <v>#N/A</v>
      </c>
    </row>
    <row r="43" spans="1:36" x14ac:dyDescent="0.25">
      <c r="A43" s="7">
        <v>2020</v>
      </c>
      <c r="B43" s="8">
        <v>10</v>
      </c>
      <c r="C43" s="8">
        <v>42</v>
      </c>
      <c r="D43" s="8" t="s">
        <v>31</v>
      </c>
      <c r="E43" s="8" t="s">
        <v>12</v>
      </c>
      <c r="F43" s="8" t="s">
        <v>31</v>
      </c>
      <c r="G43" s="9">
        <v>30000000</v>
      </c>
      <c r="H43" s="10">
        <v>0</v>
      </c>
      <c r="I43" s="11">
        <v>44120</v>
      </c>
      <c r="J43" s="12">
        <v>116329</v>
      </c>
      <c r="K43" s="13" t="s">
        <v>764</v>
      </c>
      <c r="L43" s="14" t="s">
        <v>32</v>
      </c>
      <c r="M43" s="11" t="s">
        <v>41</v>
      </c>
      <c r="N43" s="14" t="s">
        <v>11</v>
      </c>
      <c r="O43" s="15">
        <v>134</v>
      </c>
      <c r="P43" s="12">
        <v>1</v>
      </c>
      <c r="Q43" s="13" t="s">
        <v>156</v>
      </c>
      <c r="R43" s="16">
        <v>0</v>
      </c>
      <c r="S43" s="17">
        <v>0</v>
      </c>
      <c r="T43" s="12">
        <v>100</v>
      </c>
      <c r="U43" s="18">
        <v>27272727</v>
      </c>
      <c r="V43" s="19">
        <v>30000000</v>
      </c>
      <c r="W43" s="13" t="s">
        <v>195</v>
      </c>
      <c r="X43" s="14" t="s">
        <v>766</v>
      </c>
      <c r="Y43" s="13" t="s">
        <v>765</v>
      </c>
      <c r="Z43" s="14" t="s">
        <v>767</v>
      </c>
      <c r="AA43" s="17">
        <v>10</v>
      </c>
      <c r="AB43" s="14"/>
      <c r="AC43" s="17">
        <v>30000000</v>
      </c>
      <c r="AD43" s="14" t="s">
        <v>108</v>
      </c>
      <c r="AE43" s="17">
        <v>27272727</v>
      </c>
      <c r="AF43" s="14" t="s">
        <v>117</v>
      </c>
      <c r="AG43" s="21"/>
      <c r="AH43" s="10">
        <v>-30000000</v>
      </c>
      <c r="AI43" s="24" t="str">
        <f>VLOOKUP(Sales[[#This Row],[Store]],'Store lay bao  cao'!A:B,2,0)</f>
        <v>Không lấy  BC</v>
      </c>
      <c r="AJ43" s="24" t="str">
        <f>VLOOKUP(Sales[[#This Row],[Associate]],'Associate Status'!B:C,2,0)</f>
        <v>Retired</v>
      </c>
    </row>
    <row r="44" spans="1:36" x14ac:dyDescent="0.25">
      <c r="A44" s="7">
        <v>2020</v>
      </c>
      <c r="B44" s="8">
        <v>10</v>
      </c>
      <c r="C44" s="8">
        <v>42</v>
      </c>
      <c r="D44" s="8" t="s">
        <v>30</v>
      </c>
      <c r="E44" s="8" t="s">
        <v>12</v>
      </c>
      <c r="F44" s="8" t="s">
        <v>30</v>
      </c>
      <c r="G44" s="9">
        <v>13991896</v>
      </c>
      <c r="H44" s="10">
        <v>10827625</v>
      </c>
      <c r="I44" s="11">
        <v>44120</v>
      </c>
      <c r="J44" s="12">
        <v>109008</v>
      </c>
      <c r="K44" s="13" t="s">
        <v>768</v>
      </c>
      <c r="L44" s="14" t="s">
        <v>59</v>
      </c>
      <c r="M44" s="11" t="s">
        <v>22</v>
      </c>
      <c r="N44" s="14" t="s">
        <v>11</v>
      </c>
      <c r="O44" s="15">
        <v>135</v>
      </c>
      <c r="P44" s="12">
        <v>1</v>
      </c>
      <c r="Q44" s="13" t="s">
        <v>144</v>
      </c>
      <c r="R44" s="16">
        <v>27907000</v>
      </c>
      <c r="S44" s="17">
        <v>25370000</v>
      </c>
      <c r="T44" s="12">
        <v>0</v>
      </c>
      <c r="U44" s="18">
        <v>0</v>
      </c>
      <c r="V44" s="19">
        <v>0</v>
      </c>
      <c r="W44" s="13" t="s">
        <v>195</v>
      </c>
      <c r="X44" s="14" t="s">
        <v>214</v>
      </c>
      <c r="Y44" s="13" t="s">
        <v>390</v>
      </c>
      <c r="Z44" s="14" t="s">
        <v>215</v>
      </c>
      <c r="AA44" s="17">
        <v>15</v>
      </c>
      <c r="AB44" s="14" t="s">
        <v>173</v>
      </c>
      <c r="AC44" s="17">
        <v>27907000</v>
      </c>
      <c r="AD44" s="14">
        <v>6.5</v>
      </c>
      <c r="AE44" s="17">
        <v>25370000</v>
      </c>
      <c r="AF44" s="14" t="s">
        <v>117</v>
      </c>
      <c r="AG44" s="20" t="s">
        <v>391</v>
      </c>
      <c r="AH44" s="10">
        <v>11378104</v>
      </c>
      <c r="AI44" s="24" t="str">
        <f>VLOOKUP(Sales[[#This Row],[Store]],'Store lay bao  cao'!A:B,2,0)</f>
        <v>Không lấy  BC</v>
      </c>
      <c r="AJ44" s="24" t="str">
        <f>VLOOKUP(Sales[[#This Row],[Associate]],'Associate Status'!B:C,2,0)</f>
        <v>Retired</v>
      </c>
    </row>
    <row r="45" spans="1:36" x14ac:dyDescent="0.25">
      <c r="A45" s="7">
        <v>2020</v>
      </c>
      <c r="B45" s="8">
        <v>10</v>
      </c>
      <c r="C45" s="8">
        <v>44</v>
      </c>
      <c r="D45" s="8" t="s">
        <v>33</v>
      </c>
      <c r="E45" s="8" t="s">
        <v>43</v>
      </c>
      <c r="F45" s="8" t="s">
        <v>33</v>
      </c>
      <c r="G45" s="9">
        <v>6026400</v>
      </c>
      <c r="H45" s="10">
        <v>6026400.0000000009</v>
      </c>
      <c r="I45" s="11">
        <v>44132</v>
      </c>
      <c r="J45" s="12">
        <v>117957</v>
      </c>
      <c r="K45" s="13" t="s">
        <v>770</v>
      </c>
      <c r="L45" s="14" t="s">
        <v>19</v>
      </c>
      <c r="M45" s="11" t="s">
        <v>22</v>
      </c>
      <c r="N45" s="14" t="s">
        <v>11</v>
      </c>
      <c r="O45" s="15">
        <v>136</v>
      </c>
      <c r="P45" s="12">
        <v>1</v>
      </c>
      <c r="Q45" s="13" t="s">
        <v>175</v>
      </c>
      <c r="R45" s="16">
        <v>6026392.2199999997</v>
      </c>
      <c r="S45" s="17">
        <v>5478538</v>
      </c>
      <c r="T45" s="12">
        <v>65.56</v>
      </c>
      <c r="U45" s="18">
        <v>10426916</v>
      </c>
      <c r="V45" s="19">
        <v>11469607.779999999</v>
      </c>
      <c r="W45" s="13" t="s">
        <v>195</v>
      </c>
      <c r="X45" s="14" t="s">
        <v>771</v>
      </c>
      <c r="Y45" s="13" t="s">
        <v>216</v>
      </c>
      <c r="Z45" s="14" t="s">
        <v>772</v>
      </c>
      <c r="AA45" s="17">
        <v>11</v>
      </c>
      <c r="AB45" s="14" t="s">
        <v>773</v>
      </c>
      <c r="AC45" s="17">
        <v>17496000</v>
      </c>
      <c r="AD45" s="14">
        <v>11</v>
      </c>
      <c r="AE45" s="17">
        <v>15905455</v>
      </c>
      <c r="AF45" s="14" t="s">
        <v>117</v>
      </c>
      <c r="AG45" s="21" t="s">
        <v>217</v>
      </c>
      <c r="AH45" s="10">
        <v>-547862</v>
      </c>
      <c r="AI45" s="24" t="str">
        <f>VLOOKUP(Sales[[#This Row],[Store]],'Store lay bao  cao'!A:B,2,0)</f>
        <v>Không lấy  BC</v>
      </c>
      <c r="AJ45" s="24" t="str">
        <f>VLOOKUP(Sales[[#This Row],[Associate]],'Associate Status'!B:C,2,0)</f>
        <v>Retired</v>
      </c>
    </row>
    <row r="46" spans="1:36" x14ac:dyDescent="0.25">
      <c r="A46" s="7">
        <v>2020</v>
      </c>
      <c r="B46" s="8">
        <v>10</v>
      </c>
      <c r="C46" s="8">
        <v>44</v>
      </c>
      <c r="D46" s="8" t="s">
        <v>33</v>
      </c>
      <c r="E46" s="8" t="s">
        <v>43</v>
      </c>
      <c r="F46" s="8" t="s">
        <v>33</v>
      </c>
      <c r="G46" s="9">
        <v>7365600</v>
      </c>
      <c r="H46" s="10">
        <v>7365600.0000000009</v>
      </c>
      <c r="I46" s="11">
        <v>44132</v>
      </c>
      <c r="J46" s="12">
        <v>117959</v>
      </c>
      <c r="K46" s="13" t="s">
        <v>770</v>
      </c>
      <c r="L46" s="14" t="s">
        <v>19</v>
      </c>
      <c r="M46" s="11" t="s">
        <v>22</v>
      </c>
      <c r="N46" s="14" t="s">
        <v>11</v>
      </c>
      <c r="O46" s="15">
        <v>136</v>
      </c>
      <c r="P46" s="12">
        <v>1</v>
      </c>
      <c r="Q46" s="13" t="s">
        <v>175</v>
      </c>
      <c r="R46" s="16">
        <v>7365718.7999999998</v>
      </c>
      <c r="S46" s="17">
        <v>6696108</v>
      </c>
      <c r="T46" s="12">
        <v>65.55</v>
      </c>
      <c r="U46" s="18">
        <v>12743892</v>
      </c>
      <c r="V46" s="19">
        <v>14018281.199999999</v>
      </c>
      <c r="W46" s="13" t="s">
        <v>195</v>
      </c>
      <c r="X46" s="14" t="s">
        <v>335</v>
      </c>
      <c r="Y46" s="13" t="s">
        <v>216</v>
      </c>
      <c r="Z46" s="14" t="s">
        <v>336</v>
      </c>
      <c r="AA46" s="17">
        <v>11</v>
      </c>
      <c r="AB46" s="14" t="s">
        <v>220</v>
      </c>
      <c r="AC46" s="17">
        <v>21384000</v>
      </c>
      <c r="AD46" s="14">
        <v>12</v>
      </c>
      <c r="AE46" s="17">
        <v>19440000</v>
      </c>
      <c r="AF46" s="14" t="s">
        <v>117</v>
      </c>
      <c r="AG46" s="20" t="s">
        <v>217</v>
      </c>
      <c r="AH46" s="10">
        <v>-669492</v>
      </c>
      <c r="AI46" s="24" t="str">
        <f>VLOOKUP(Sales[[#This Row],[Store]],'Store lay bao  cao'!A:B,2,0)</f>
        <v>Không lấy  BC</v>
      </c>
      <c r="AJ46" s="24" t="str">
        <f>VLOOKUP(Sales[[#This Row],[Associate]],'Associate Status'!B:C,2,0)</f>
        <v>Retired</v>
      </c>
    </row>
    <row r="47" spans="1:36" x14ac:dyDescent="0.25">
      <c r="A47" s="7">
        <v>2021</v>
      </c>
      <c r="B47" s="8">
        <v>1</v>
      </c>
      <c r="C47" s="8">
        <v>3</v>
      </c>
      <c r="D47" s="8" t="s">
        <v>33</v>
      </c>
      <c r="E47" s="8" t="s">
        <v>34</v>
      </c>
      <c r="F47" s="8" t="s">
        <v>33</v>
      </c>
      <c r="G47" s="9">
        <v>848160</v>
      </c>
      <c r="H47" s="10">
        <v>848160.00000000012</v>
      </c>
      <c r="I47" s="11">
        <v>44210</v>
      </c>
      <c r="J47" s="12">
        <v>117922</v>
      </c>
      <c r="K47" s="13" t="s">
        <v>793</v>
      </c>
      <c r="L47" s="14" t="s">
        <v>19</v>
      </c>
      <c r="M47" s="11" t="s">
        <v>17</v>
      </c>
      <c r="N47" s="14" t="s">
        <v>11</v>
      </c>
      <c r="O47" s="15">
        <v>3812</v>
      </c>
      <c r="P47" s="12">
        <v>1</v>
      </c>
      <c r="Q47" s="13" t="s">
        <v>110</v>
      </c>
      <c r="R47" s="16">
        <v>2463000</v>
      </c>
      <c r="S47" s="17">
        <v>2239091</v>
      </c>
      <c r="T47" s="12">
        <v>0</v>
      </c>
      <c r="U47" s="18">
        <v>0</v>
      </c>
      <c r="V47" s="19">
        <v>0</v>
      </c>
      <c r="W47" s="13" t="s">
        <v>140</v>
      </c>
      <c r="X47" s="14" t="s">
        <v>488</v>
      </c>
      <c r="Y47" s="13" t="s">
        <v>680</v>
      </c>
      <c r="Z47" s="14" t="s">
        <v>489</v>
      </c>
      <c r="AA47" s="17">
        <v>14</v>
      </c>
      <c r="AB47" s="14" t="s">
        <v>220</v>
      </c>
      <c r="AC47" s="17">
        <v>2463000</v>
      </c>
      <c r="AD47" s="14" t="s">
        <v>108</v>
      </c>
      <c r="AE47" s="17">
        <v>2239091</v>
      </c>
      <c r="AF47" s="14" t="s">
        <v>117</v>
      </c>
      <c r="AG47" s="21" t="s">
        <v>681</v>
      </c>
      <c r="AH47" s="10">
        <v>1390931</v>
      </c>
      <c r="AI47" s="24" t="str">
        <f>VLOOKUP(Sales[[#This Row],[Store]],'Store lay bao  cao'!A:B,2,0)</f>
        <v>Lấy BC</v>
      </c>
      <c r="AJ47" s="24" t="str">
        <f>VLOOKUP(Sales[[#This Row],[Associate]],'Associate Status'!B:C,2,0)</f>
        <v>Retired</v>
      </c>
    </row>
    <row r="48" spans="1:36" x14ac:dyDescent="0.25">
      <c r="A48" s="7">
        <v>2021</v>
      </c>
      <c r="B48" s="8">
        <v>1</v>
      </c>
      <c r="C48" s="8">
        <v>3</v>
      </c>
      <c r="D48" s="8" t="s">
        <v>29</v>
      </c>
      <c r="E48" s="8" t="s">
        <v>12</v>
      </c>
      <c r="F48" s="8" t="s">
        <v>29</v>
      </c>
      <c r="G48" s="9">
        <v>2284200</v>
      </c>
      <c r="H48" s="10">
        <v>2284200</v>
      </c>
      <c r="I48" s="11">
        <v>44212</v>
      </c>
      <c r="J48" s="12">
        <v>90589</v>
      </c>
      <c r="K48" s="13" t="s">
        <v>794</v>
      </c>
      <c r="L48" s="14" t="s">
        <v>19</v>
      </c>
      <c r="M48" s="11" t="s">
        <v>17</v>
      </c>
      <c r="N48" s="14" t="s">
        <v>11</v>
      </c>
      <c r="O48" s="15">
        <v>3823</v>
      </c>
      <c r="P48" s="12">
        <v>1</v>
      </c>
      <c r="Q48" s="13" t="s">
        <v>101</v>
      </c>
      <c r="R48" s="16">
        <v>7614000</v>
      </c>
      <c r="S48" s="17">
        <v>6921818</v>
      </c>
      <c r="T48" s="12">
        <v>0</v>
      </c>
      <c r="U48" s="18">
        <v>0</v>
      </c>
      <c r="V48" s="19">
        <v>0</v>
      </c>
      <c r="W48" s="13" t="s">
        <v>140</v>
      </c>
      <c r="X48" s="14" t="s">
        <v>339</v>
      </c>
      <c r="Y48" s="13" t="s">
        <v>429</v>
      </c>
      <c r="Z48" s="14" t="s">
        <v>340</v>
      </c>
      <c r="AA48" s="17">
        <v>20</v>
      </c>
      <c r="AB48" s="14"/>
      <c r="AC48" s="17">
        <v>7614000</v>
      </c>
      <c r="AD48" s="14">
        <v>13</v>
      </c>
      <c r="AE48" s="17">
        <v>6921818</v>
      </c>
      <c r="AF48" s="14" t="s">
        <v>129</v>
      </c>
      <c r="AG48" s="20" t="s">
        <v>795</v>
      </c>
      <c r="AH48" s="10">
        <v>4637618</v>
      </c>
      <c r="AI48" s="24" t="str">
        <f>VLOOKUP(Sales[[#This Row],[Store]],'Store lay bao  cao'!A:B,2,0)</f>
        <v>Lấy BC</v>
      </c>
      <c r="AJ48" s="24" t="str">
        <f>VLOOKUP(Sales[[#This Row],[Associate]],'Associate Status'!B:C,2,0)</f>
        <v>Active</v>
      </c>
    </row>
    <row r="49" spans="1:36" x14ac:dyDescent="0.25">
      <c r="A49" s="7">
        <v>2021</v>
      </c>
      <c r="B49" s="8">
        <v>1</v>
      </c>
      <c r="C49" s="8">
        <v>5</v>
      </c>
      <c r="D49" s="8" t="s">
        <v>31</v>
      </c>
      <c r="E49" s="8" t="s">
        <v>12</v>
      </c>
      <c r="F49" s="8" t="s">
        <v>31</v>
      </c>
      <c r="G49" s="9">
        <v>12102500</v>
      </c>
      <c r="H49" s="10">
        <v>12102500</v>
      </c>
      <c r="I49" s="11">
        <v>44223</v>
      </c>
      <c r="J49" s="12">
        <v>117905</v>
      </c>
      <c r="K49" s="13" t="s">
        <v>798</v>
      </c>
      <c r="L49" s="14" t="s">
        <v>19</v>
      </c>
      <c r="M49" s="11" t="s">
        <v>15</v>
      </c>
      <c r="N49" s="14" t="s">
        <v>11</v>
      </c>
      <c r="O49" s="15">
        <v>7226</v>
      </c>
      <c r="P49" s="12">
        <v>1</v>
      </c>
      <c r="Q49" s="13" t="s">
        <v>110</v>
      </c>
      <c r="R49" s="16">
        <v>36308000</v>
      </c>
      <c r="S49" s="17">
        <v>33007273</v>
      </c>
      <c r="T49" s="12">
        <v>0</v>
      </c>
      <c r="U49" s="18">
        <v>0</v>
      </c>
      <c r="V49" s="19">
        <v>0</v>
      </c>
      <c r="W49" s="13" t="s">
        <v>135</v>
      </c>
      <c r="X49" s="14" t="s">
        <v>799</v>
      </c>
      <c r="Y49" s="13" t="s">
        <v>536</v>
      </c>
      <c r="Z49" s="14" t="s">
        <v>800</v>
      </c>
      <c r="AA49" s="17">
        <v>18</v>
      </c>
      <c r="AB49" s="14" t="s">
        <v>801</v>
      </c>
      <c r="AC49" s="17">
        <v>36308000</v>
      </c>
      <c r="AD49" s="14" t="s">
        <v>108</v>
      </c>
      <c r="AE49" s="17">
        <v>33007273</v>
      </c>
      <c r="AF49" s="14" t="s">
        <v>136</v>
      </c>
      <c r="AG49" s="21" t="s">
        <v>537</v>
      </c>
      <c r="AH49" s="10">
        <v>20904773</v>
      </c>
      <c r="AI49" s="24" t="str">
        <f>VLOOKUP(Sales[[#This Row],[Store]],'Store lay bao  cao'!A:B,2,0)</f>
        <v>Lấy BC</v>
      </c>
      <c r="AJ49" s="24" t="str">
        <f>VLOOKUP(Sales[[#This Row],[Associate]],'Associate Status'!B:C,2,0)</f>
        <v>Active</v>
      </c>
    </row>
    <row r="50" spans="1:36" x14ac:dyDescent="0.25">
      <c r="A50" s="7">
        <v>2021</v>
      </c>
      <c r="B50" s="8">
        <v>2</v>
      </c>
      <c r="C50" s="8">
        <v>9</v>
      </c>
      <c r="D50" s="8" t="s">
        <v>26</v>
      </c>
      <c r="E50" s="8" t="s">
        <v>12</v>
      </c>
      <c r="F50" s="8" t="s">
        <v>26</v>
      </c>
      <c r="G50" s="9">
        <v>8591400</v>
      </c>
      <c r="H50" s="10">
        <v>8591400</v>
      </c>
      <c r="I50" s="11">
        <v>44254</v>
      </c>
      <c r="J50" s="12">
        <v>53343</v>
      </c>
      <c r="K50" s="13" t="s">
        <v>811</v>
      </c>
      <c r="L50" s="14" t="s">
        <v>19</v>
      </c>
      <c r="M50" s="11" t="s">
        <v>15</v>
      </c>
      <c r="N50" s="14" t="s">
        <v>11</v>
      </c>
      <c r="O50" s="15">
        <v>7386</v>
      </c>
      <c r="P50" s="12">
        <v>1</v>
      </c>
      <c r="Q50" s="13" t="s">
        <v>101</v>
      </c>
      <c r="R50" s="16">
        <v>29593000</v>
      </c>
      <c r="S50" s="17">
        <v>26902727</v>
      </c>
      <c r="T50" s="12">
        <v>0</v>
      </c>
      <c r="U50" s="18">
        <v>0</v>
      </c>
      <c r="V50" s="19">
        <v>0</v>
      </c>
      <c r="W50" s="13" t="s">
        <v>104</v>
      </c>
      <c r="X50" s="14" t="s">
        <v>812</v>
      </c>
      <c r="Y50" s="13" t="s">
        <v>211</v>
      </c>
      <c r="Z50" s="14" t="s">
        <v>813</v>
      </c>
      <c r="AA50" s="17">
        <v>14</v>
      </c>
      <c r="AB50" s="14" t="s">
        <v>154</v>
      </c>
      <c r="AC50" s="17">
        <v>29593000</v>
      </c>
      <c r="AD50" s="14">
        <v>12</v>
      </c>
      <c r="AE50" s="17">
        <v>26902727</v>
      </c>
      <c r="AF50" s="14" t="s">
        <v>109</v>
      </c>
      <c r="AG50" s="20" t="s">
        <v>212</v>
      </c>
      <c r="AH50" s="10">
        <v>18311327</v>
      </c>
      <c r="AI50" s="24" t="str">
        <f>VLOOKUP(Sales[[#This Row],[Store]],'Store lay bao  cao'!A:B,2,0)</f>
        <v>Lấy BC</v>
      </c>
      <c r="AJ50" s="24" t="str">
        <f>VLOOKUP(Sales[[#This Row],[Associate]],'Associate Status'!B:C,2,0)</f>
        <v>Active</v>
      </c>
    </row>
    <row r="51" spans="1:36" x14ac:dyDescent="0.25">
      <c r="A51" s="7">
        <v>2021</v>
      </c>
      <c r="B51" s="8">
        <v>2</v>
      </c>
      <c r="C51" s="8">
        <v>9</v>
      </c>
      <c r="D51" s="8" t="s">
        <v>20</v>
      </c>
      <c r="E51" s="8" t="s">
        <v>12</v>
      </c>
      <c r="F51" s="8" t="s">
        <v>20</v>
      </c>
      <c r="G51" s="9">
        <v>4712400</v>
      </c>
      <c r="H51" s="10">
        <v>6490260</v>
      </c>
      <c r="I51" s="11">
        <v>44254</v>
      </c>
      <c r="J51" s="12">
        <v>37084</v>
      </c>
      <c r="K51" s="13" t="s">
        <v>811</v>
      </c>
      <c r="L51" s="14" t="s">
        <v>19</v>
      </c>
      <c r="M51" s="11" t="s">
        <v>15</v>
      </c>
      <c r="N51" s="14" t="s">
        <v>11</v>
      </c>
      <c r="O51" s="15">
        <v>7386</v>
      </c>
      <c r="P51" s="12">
        <v>1</v>
      </c>
      <c r="Q51" s="13" t="s">
        <v>101</v>
      </c>
      <c r="R51" s="16">
        <v>17625000</v>
      </c>
      <c r="S51" s="17">
        <v>16022727</v>
      </c>
      <c r="T51" s="12">
        <v>0</v>
      </c>
      <c r="U51" s="18">
        <v>0</v>
      </c>
      <c r="V51" s="19">
        <v>0</v>
      </c>
      <c r="W51" s="13" t="s">
        <v>104</v>
      </c>
      <c r="X51" s="14" t="s">
        <v>659</v>
      </c>
      <c r="Y51" s="13" t="s">
        <v>211</v>
      </c>
      <c r="Z51" s="14" t="s">
        <v>660</v>
      </c>
      <c r="AA51" s="17">
        <v>14</v>
      </c>
      <c r="AB51" s="14" t="s">
        <v>220</v>
      </c>
      <c r="AC51" s="17">
        <v>17625000</v>
      </c>
      <c r="AD51" s="14">
        <v>11</v>
      </c>
      <c r="AE51" s="17">
        <v>16022727</v>
      </c>
      <c r="AF51" s="14" t="s">
        <v>109</v>
      </c>
      <c r="AG51" s="21" t="s">
        <v>212</v>
      </c>
      <c r="AH51" s="10">
        <v>11310327</v>
      </c>
      <c r="AI51" s="24" t="str">
        <f>VLOOKUP(Sales[[#This Row],[Store]],'Store lay bao  cao'!A:B,2,0)</f>
        <v>Lấy BC</v>
      </c>
      <c r="AJ51" s="24" t="str">
        <f>VLOOKUP(Sales[[#This Row],[Associate]],'Associate Status'!B:C,2,0)</f>
        <v>Active</v>
      </c>
    </row>
    <row r="52" spans="1:36" x14ac:dyDescent="0.25">
      <c r="A52" s="7">
        <v>2021</v>
      </c>
      <c r="B52" s="8">
        <v>3</v>
      </c>
      <c r="C52" s="8">
        <v>12</v>
      </c>
      <c r="D52" s="8" t="s">
        <v>31</v>
      </c>
      <c r="E52" s="8" t="s">
        <v>12</v>
      </c>
      <c r="F52" s="8" t="s">
        <v>31</v>
      </c>
      <c r="G52" s="9">
        <v>34662000</v>
      </c>
      <c r="H52" s="10">
        <v>34662000</v>
      </c>
      <c r="I52" s="11">
        <v>44272</v>
      </c>
      <c r="J52" s="12">
        <v>116338</v>
      </c>
      <c r="K52" s="13" t="s">
        <v>817</v>
      </c>
      <c r="L52" s="14" t="s">
        <v>32</v>
      </c>
      <c r="M52" s="11" t="s">
        <v>17</v>
      </c>
      <c r="N52" s="14" t="s">
        <v>11</v>
      </c>
      <c r="O52" s="15">
        <v>4019</v>
      </c>
      <c r="P52" s="12">
        <v>1</v>
      </c>
      <c r="Q52" s="13" t="s">
        <v>101</v>
      </c>
      <c r="R52" s="16">
        <v>47088000</v>
      </c>
      <c r="S52" s="17">
        <v>42807273</v>
      </c>
      <c r="T52" s="12">
        <v>0</v>
      </c>
      <c r="U52" s="18">
        <v>0</v>
      </c>
      <c r="V52" s="19">
        <v>0</v>
      </c>
      <c r="W52" s="13" t="s">
        <v>140</v>
      </c>
      <c r="X52" s="14" t="s">
        <v>818</v>
      </c>
      <c r="Y52" s="13" t="s">
        <v>450</v>
      </c>
      <c r="Z52" s="14" t="s">
        <v>819</v>
      </c>
      <c r="AA52" s="17">
        <v>19</v>
      </c>
      <c r="AB52" s="14" t="s">
        <v>820</v>
      </c>
      <c r="AC52" s="17">
        <v>47088000</v>
      </c>
      <c r="AD52" s="14" t="s">
        <v>108</v>
      </c>
      <c r="AE52" s="17">
        <v>42807273</v>
      </c>
      <c r="AF52" s="14" t="s">
        <v>125</v>
      </c>
      <c r="AG52" s="20" t="s">
        <v>451</v>
      </c>
      <c r="AH52" s="10">
        <v>8145273</v>
      </c>
      <c r="AI52" s="24" t="str">
        <f>VLOOKUP(Sales[[#This Row],[Store]],'Store lay bao  cao'!A:B,2,0)</f>
        <v>Lấy BC</v>
      </c>
      <c r="AJ52" s="24" t="str">
        <f>VLOOKUP(Sales[[#This Row],[Associate]],'Associate Status'!B:C,2,0)</f>
        <v>Active</v>
      </c>
    </row>
    <row r="53" spans="1:36" x14ac:dyDescent="0.25">
      <c r="A53" s="7">
        <v>2021</v>
      </c>
      <c r="B53" s="8">
        <v>5</v>
      </c>
      <c r="C53" s="8">
        <v>20</v>
      </c>
      <c r="D53" s="8" t="s">
        <v>30</v>
      </c>
      <c r="E53" s="8" t="s">
        <v>12</v>
      </c>
      <c r="F53" s="8" t="s">
        <v>30</v>
      </c>
      <c r="G53" s="9">
        <v>13255481</v>
      </c>
      <c r="H53" s="10">
        <v>10257750</v>
      </c>
      <c r="I53" s="11">
        <v>44328</v>
      </c>
      <c r="J53" s="12">
        <v>108996</v>
      </c>
      <c r="K53" s="13" t="s">
        <v>830</v>
      </c>
      <c r="L53" s="14" t="s">
        <v>59</v>
      </c>
      <c r="M53" s="11" t="s">
        <v>17</v>
      </c>
      <c r="N53" s="14" t="s">
        <v>11</v>
      </c>
      <c r="O53" s="15">
        <v>4269</v>
      </c>
      <c r="P53" s="12">
        <v>1</v>
      </c>
      <c r="Q53" s="13" t="s">
        <v>101</v>
      </c>
      <c r="R53" s="16">
        <v>26438000</v>
      </c>
      <c r="S53" s="17">
        <v>24034545</v>
      </c>
      <c r="T53" s="12">
        <v>0</v>
      </c>
      <c r="U53" s="18">
        <v>0</v>
      </c>
      <c r="V53" s="19">
        <v>0</v>
      </c>
      <c r="W53" s="13" t="s">
        <v>140</v>
      </c>
      <c r="X53" s="14" t="s">
        <v>831</v>
      </c>
      <c r="Y53" s="13" t="s">
        <v>271</v>
      </c>
      <c r="Z53" s="14" t="s">
        <v>832</v>
      </c>
      <c r="AA53" s="17">
        <v>12</v>
      </c>
      <c r="AB53" s="14" t="s">
        <v>173</v>
      </c>
      <c r="AC53" s="17">
        <v>26438000</v>
      </c>
      <c r="AD53" s="14">
        <v>6</v>
      </c>
      <c r="AE53" s="17">
        <v>24034545</v>
      </c>
      <c r="AF53" s="14" t="s">
        <v>125</v>
      </c>
      <c r="AG53" s="21" t="s">
        <v>272</v>
      </c>
      <c r="AH53" s="10">
        <v>10779064</v>
      </c>
      <c r="AI53" s="24" t="str">
        <f>VLOOKUP(Sales[[#This Row],[Store]],'Store lay bao  cao'!A:B,2,0)</f>
        <v>Lấy BC</v>
      </c>
      <c r="AJ53" s="24" t="str">
        <f>VLOOKUP(Sales[[#This Row],[Associate]],'Associate Status'!B:C,2,0)</f>
        <v>Active</v>
      </c>
    </row>
    <row r="54" spans="1:36" x14ac:dyDescent="0.25">
      <c r="A54" s="7">
        <v>2021</v>
      </c>
      <c r="B54" s="8">
        <v>5</v>
      </c>
      <c r="C54" s="8">
        <v>20</v>
      </c>
      <c r="D54" s="8" t="s">
        <v>30</v>
      </c>
      <c r="E54" s="8" t="s">
        <v>12</v>
      </c>
      <c r="F54" s="8" t="s">
        <v>30</v>
      </c>
      <c r="G54" s="9">
        <v>7364157</v>
      </c>
      <c r="H54" s="10">
        <v>5698750</v>
      </c>
      <c r="I54" s="11">
        <v>44328</v>
      </c>
      <c r="J54" s="12">
        <v>108991</v>
      </c>
      <c r="K54" s="13" t="s">
        <v>833</v>
      </c>
      <c r="L54" s="14" t="s">
        <v>59</v>
      </c>
      <c r="M54" s="11" t="s">
        <v>17</v>
      </c>
      <c r="N54" s="14" t="s">
        <v>11</v>
      </c>
      <c r="O54" s="15">
        <v>4270</v>
      </c>
      <c r="P54" s="12">
        <v>1</v>
      </c>
      <c r="Q54" s="13" t="s">
        <v>101</v>
      </c>
      <c r="R54" s="16">
        <v>14688000</v>
      </c>
      <c r="S54" s="17">
        <v>13352727</v>
      </c>
      <c r="T54" s="12">
        <v>0</v>
      </c>
      <c r="U54" s="18">
        <v>0</v>
      </c>
      <c r="V54" s="19">
        <v>0</v>
      </c>
      <c r="W54" s="13" t="s">
        <v>140</v>
      </c>
      <c r="X54" s="14" t="s">
        <v>834</v>
      </c>
      <c r="Y54" s="13" t="s">
        <v>271</v>
      </c>
      <c r="Z54" s="14" t="s">
        <v>835</v>
      </c>
      <c r="AA54" s="17">
        <v>13</v>
      </c>
      <c r="AB54" s="14" t="s">
        <v>220</v>
      </c>
      <c r="AC54" s="17">
        <v>14688000</v>
      </c>
      <c r="AD54" s="14">
        <v>6.5</v>
      </c>
      <c r="AE54" s="17">
        <v>13352727</v>
      </c>
      <c r="AF54" s="14" t="s">
        <v>125</v>
      </c>
      <c r="AG54" s="20" t="s">
        <v>272</v>
      </c>
      <c r="AH54" s="10">
        <v>5988570</v>
      </c>
      <c r="AI54" s="24" t="str">
        <f>VLOOKUP(Sales[[#This Row],[Store]],'Store lay bao  cao'!A:B,2,0)</f>
        <v>Lấy BC</v>
      </c>
      <c r="AJ54" s="24" t="str">
        <f>VLOOKUP(Sales[[#This Row],[Associate]],'Associate Status'!B:C,2,0)</f>
        <v>Active</v>
      </c>
    </row>
    <row r="55" spans="1:36" x14ac:dyDescent="0.25">
      <c r="A55" s="7">
        <v>2021</v>
      </c>
      <c r="B55" s="8">
        <v>6</v>
      </c>
      <c r="C55" s="8">
        <v>25</v>
      </c>
      <c r="D55" s="8" t="s">
        <v>29</v>
      </c>
      <c r="E55" s="8" t="s">
        <v>12</v>
      </c>
      <c r="F55" s="8" t="s">
        <v>29</v>
      </c>
      <c r="G55" s="9">
        <v>2030400</v>
      </c>
      <c r="H55" s="10">
        <v>2030400.0000000002</v>
      </c>
      <c r="I55" s="11">
        <v>44366</v>
      </c>
      <c r="J55" s="12">
        <v>90562</v>
      </c>
      <c r="K55" s="13" t="s">
        <v>836</v>
      </c>
      <c r="L55" s="14" t="s">
        <v>19</v>
      </c>
      <c r="M55" s="11" t="s">
        <v>15</v>
      </c>
      <c r="N55" s="14" t="s">
        <v>11</v>
      </c>
      <c r="O55" s="15">
        <v>8070</v>
      </c>
      <c r="P55" s="12">
        <v>1</v>
      </c>
      <c r="Q55" s="13" t="s">
        <v>101</v>
      </c>
      <c r="R55" s="16">
        <v>6768000</v>
      </c>
      <c r="S55" s="17">
        <v>6152727</v>
      </c>
      <c r="T55" s="12">
        <v>0</v>
      </c>
      <c r="U55" s="18">
        <v>0</v>
      </c>
      <c r="V55" s="19">
        <v>0</v>
      </c>
      <c r="W55" s="13" t="s">
        <v>104</v>
      </c>
      <c r="X55" s="14" t="s">
        <v>837</v>
      </c>
      <c r="Y55" s="13" t="s">
        <v>211</v>
      </c>
      <c r="Z55" s="14" t="s">
        <v>838</v>
      </c>
      <c r="AA55" s="17">
        <v>13</v>
      </c>
      <c r="AB55" s="14" t="s">
        <v>839</v>
      </c>
      <c r="AC55" s="17">
        <v>6768000</v>
      </c>
      <c r="AD55" s="14">
        <v>12</v>
      </c>
      <c r="AE55" s="17">
        <v>6152727</v>
      </c>
      <c r="AF55" s="14" t="s">
        <v>106</v>
      </c>
      <c r="AG55" s="21" t="s">
        <v>212</v>
      </c>
      <c r="AH55" s="10">
        <v>4122327</v>
      </c>
      <c r="AI55" s="24" t="str">
        <f>VLOOKUP(Sales[[#This Row],[Store]],'Store lay bao  cao'!A:B,2,0)</f>
        <v>Lấy BC</v>
      </c>
      <c r="AJ55" s="24" t="str">
        <f>VLOOKUP(Sales[[#This Row],[Associate]],'Associate Status'!B:C,2,0)</f>
        <v>Active</v>
      </c>
    </row>
    <row r="56" spans="1:36" x14ac:dyDescent="0.25">
      <c r="A56" s="7">
        <v>2021</v>
      </c>
      <c r="B56" s="8">
        <v>6</v>
      </c>
      <c r="C56" s="8">
        <v>25</v>
      </c>
      <c r="D56" s="8" t="s">
        <v>29</v>
      </c>
      <c r="E56" s="8" t="s">
        <v>12</v>
      </c>
      <c r="F56" s="8" t="s">
        <v>29</v>
      </c>
      <c r="G56" s="9">
        <v>3595500</v>
      </c>
      <c r="H56" s="10">
        <v>3595500</v>
      </c>
      <c r="I56" s="11">
        <v>44366</v>
      </c>
      <c r="J56" s="12">
        <v>90556</v>
      </c>
      <c r="K56" s="13" t="s">
        <v>840</v>
      </c>
      <c r="L56" s="14" t="s">
        <v>19</v>
      </c>
      <c r="M56" s="11" t="s">
        <v>15</v>
      </c>
      <c r="N56" s="14" t="s">
        <v>11</v>
      </c>
      <c r="O56" s="15">
        <v>8071</v>
      </c>
      <c r="P56" s="12">
        <v>1</v>
      </c>
      <c r="Q56" s="13" t="s">
        <v>101</v>
      </c>
      <c r="R56" s="16">
        <v>11985000</v>
      </c>
      <c r="S56" s="17">
        <v>10895455</v>
      </c>
      <c r="T56" s="12">
        <v>0</v>
      </c>
      <c r="U56" s="18">
        <v>0</v>
      </c>
      <c r="V56" s="19">
        <v>0</v>
      </c>
      <c r="W56" s="13" t="s">
        <v>104</v>
      </c>
      <c r="X56" s="14" t="s">
        <v>841</v>
      </c>
      <c r="Y56" s="13" t="s">
        <v>211</v>
      </c>
      <c r="Z56" s="14" t="s">
        <v>842</v>
      </c>
      <c r="AA56" s="17">
        <v>13</v>
      </c>
      <c r="AB56" s="14" t="s">
        <v>137</v>
      </c>
      <c r="AC56" s="17">
        <v>11985000</v>
      </c>
      <c r="AD56" s="14">
        <v>13</v>
      </c>
      <c r="AE56" s="17">
        <v>10895455</v>
      </c>
      <c r="AF56" s="14" t="s">
        <v>2648</v>
      </c>
      <c r="AG56" s="20" t="s">
        <v>212</v>
      </c>
      <c r="AH56" s="10">
        <v>7299955</v>
      </c>
      <c r="AI56" s="24" t="str">
        <f>VLOOKUP(Sales[[#This Row],[Store]],'Store lay bao  cao'!A:B,2,0)</f>
        <v>Lấy BC</v>
      </c>
      <c r="AJ56" s="24" t="e">
        <f>VLOOKUP(Sales[[#This Row],[Associate]],'Associate Status'!B:C,2,0)</f>
        <v>#N/A</v>
      </c>
    </row>
    <row r="57" spans="1:36" x14ac:dyDescent="0.25">
      <c r="A57" s="7">
        <v>2021</v>
      </c>
      <c r="B57" s="8">
        <v>12</v>
      </c>
      <c r="C57" s="8">
        <v>52</v>
      </c>
      <c r="D57" s="8" t="s">
        <v>29</v>
      </c>
      <c r="E57" s="8" t="s">
        <v>12</v>
      </c>
      <c r="F57" s="8" t="s">
        <v>29</v>
      </c>
      <c r="G57" s="9">
        <v>9475200</v>
      </c>
      <c r="H57" s="10">
        <v>9475200</v>
      </c>
      <c r="I57" s="11">
        <v>44552</v>
      </c>
      <c r="J57" s="12">
        <v>90573</v>
      </c>
      <c r="K57" s="13" t="s">
        <v>852</v>
      </c>
      <c r="L57" s="14" t="s">
        <v>19</v>
      </c>
      <c r="M57" s="11" t="s">
        <v>22</v>
      </c>
      <c r="N57" s="14" t="s">
        <v>11</v>
      </c>
      <c r="O57" s="15">
        <v>199</v>
      </c>
      <c r="P57" s="12">
        <v>1</v>
      </c>
      <c r="Q57" s="13" t="s">
        <v>156</v>
      </c>
      <c r="R57" s="16">
        <v>0</v>
      </c>
      <c r="S57" s="17">
        <v>0</v>
      </c>
      <c r="T57" s="12">
        <v>100</v>
      </c>
      <c r="U57" s="18">
        <v>28712727</v>
      </c>
      <c r="V57" s="19">
        <v>31584000</v>
      </c>
      <c r="W57" s="13" t="s">
        <v>425</v>
      </c>
      <c r="X57" s="14" t="s">
        <v>853</v>
      </c>
      <c r="Y57" s="13" t="s">
        <v>765</v>
      </c>
      <c r="Z57" s="14" t="s">
        <v>854</v>
      </c>
      <c r="AA57" s="17">
        <v>15</v>
      </c>
      <c r="AB57" s="14" t="s">
        <v>855</v>
      </c>
      <c r="AC57" s="17">
        <v>31584000</v>
      </c>
      <c r="AD57" s="14">
        <v>12</v>
      </c>
      <c r="AE57" s="17">
        <v>28712727</v>
      </c>
      <c r="AF57" s="14" t="s">
        <v>426</v>
      </c>
      <c r="AG57" s="21"/>
      <c r="AH57" s="10">
        <v>-9475200</v>
      </c>
      <c r="AI57" s="24" t="str">
        <f>VLOOKUP(Sales[[#This Row],[Store]],'Store lay bao  cao'!A:B,2,0)</f>
        <v>Không lấy  BC</v>
      </c>
      <c r="AJ57" s="24" t="e">
        <f>VLOOKUP(Sales[[#This Row],[Associate]],'Associate Status'!B:C,2,0)</f>
        <v>#N/A</v>
      </c>
    </row>
    <row r="58" spans="1:36" x14ac:dyDescent="0.25">
      <c r="A58" s="7">
        <v>2021</v>
      </c>
      <c r="B58" s="8">
        <v>12</v>
      </c>
      <c r="C58" s="8">
        <v>52</v>
      </c>
      <c r="D58" s="8" t="s">
        <v>29</v>
      </c>
      <c r="E58" s="8" t="s">
        <v>12</v>
      </c>
      <c r="F58" s="8" t="s">
        <v>29</v>
      </c>
      <c r="G58" s="9">
        <v>9771300</v>
      </c>
      <c r="H58" s="10">
        <v>9771300</v>
      </c>
      <c r="I58" s="11">
        <v>44552</v>
      </c>
      <c r="J58" s="12">
        <v>90572</v>
      </c>
      <c r="K58" s="13" t="s">
        <v>852</v>
      </c>
      <c r="L58" s="14" t="s">
        <v>19</v>
      </c>
      <c r="M58" s="11" t="s">
        <v>22</v>
      </c>
      <c r="N58" s="14" t="s">
        <v>11</v>
      </c>
      <c r="O58" s="15">
        <v>199</v>
      </c>
      <c r="P58" s="12">
        <v>1</v>
      </c>
      <c r="Q58" s="13" t="s">
        <v>156</v>
      </c>
      <c r="R58" s="16">
        <v>0</v>
      </c>
      <c r="S58" s="17">
        <v>0</v>
      </c>
      <c r="T58" s="12">
        <v>100</v>
      </c>
      <c r="U58" s="18">
        <v>29610000</v>
      </c>
      <c r="V58" s="19">
        <v>32571000</v>
      </c>
      <c r="W58" s="13" t="s">
        <v>425</v>
      </c>
      <c r="X58" s="14" t="s">
        <v>856</v>
      </c>
      <c r="Y58" s="13" t="s">
        <v>765</v>
      </c>
      <c r="Z58" s="14" t="s">
        <v>857</v>
      </c>
      <c r="AA58" s="17">
        <v>15</v>
      </c>
      <c r="AB58" s="14" t="s">
        <v>858</v>
      </c>
      <c r="AC58" s="17">
        <v>32571000</v>
      </c>
      <c r="AD58" s="14">
        <v>12</v>
      </c>
      <c r="AE58" s="17">
        <v>29610000</v>
      </c>
      <c r="AF58" s="14" t="s">
        <v>426</v>
      </c>
      <c r="AG58" s="20"/>
      <c r="AH58" s="10">
        <v>-9771300</v>
      </c>
      <c r="AI58" s="24" t="str">
        <f>VLOOKUP(Sales[[#This Row],[Store]],'Store lay bao  cao'!A:B,2,0)</f>
        <v>Không lấy  BC</v>
      </c>
      <c r="AJ58" s="24" t="e">
        <f>VLOOKUP(Sales[[#This Row],[Associate]],'Associate Status'!B:C,2,0)</f>
        <v>#N/A</v>
      </c>
    </row>
    <row r="59" spans="1:36" x14ac:dyDescent="0.25">
      <c r="A59" s="7">
        <v>2022</v>
      </c>
      <c r="B59" s="8">
        <v>1</v>
      </c>
      <c r="C59" s="8">
        <v>3</v>
      </c>
      <c r="D59" s="8" t="s">
        <v>30</v>
      </c>
      <c r="E59" s="8" t="s">
        <v>12</v>
      </c>
      <c r="F59" s="8" t="s">
        <v>30</v>
      </c>
      <c r="G59" s="9">
        <v>13255481</v>
      </c>
      <c r="H59" s="10">
        <v>10257750</v>
      </c>
      <c r="I59" s="11">
        <v>44574</v>
      </c>
      <c r="J59" s="12">
        <v>108999</v>
      </c>
      <c r="K59" s="13" t="s">
        <v>859</v>
      </c>
      <c r="L59" s="14" t="s">
        <v>59</v>
      </c>
      <c r="M59" s="11" t="s">
        <v>17</v>
      </c>
      <c r="N59" s="14" t="s">
        <v>11</v>
      </c>
      <c r="O59" s="15">
        <v>4724</v>
      </c>
      <c r="P59" s="12">
        <v>1</v>
      </c>
      <c r="Q59" s="13" t="s">
        <v>110</v>
      </c>
      <c r="R59" s="16">
        <v>26438000</v>
      </c>
      <c r="S59" s="17">
        <v>24034545</v>
      </c>
      <c r="T59" s="12">
        <v>0</v>
      </c>
      <c r="U59" s="18">
        <v>0</v>
      </c>
      <c r="V59" s="19">
        <v>0</v>
      </c>
      <c r="W59" s="13" t="s">
        <v>427</v>
      </c>
      <c r="X59" s="14" t="s">
        <v>831</v>
      </c>
      <c r="Y59" s="13" t="s">
        <v>185</v>
      </c>
      <c r="Z59" s="14" t="s">
        <v>832</v>
      </c>
      <c r="AA59" s="17">
        <v>13</v>
      </c>
      <c r="AB59" s="14" t="s">
        <v>173</v>
      </c>
      <c r="AC59" s="17">
        <v>26438000</v>
      </c>
      <c r="AD59" s="14">
        <v>7.5</v>
      </c>
      <c r="AE59" s="17">
        <v>24034545</v>
      </c>
      <c r="AF59" s="14" t="s">
        <v>119</v>
      </c>
      <c r="AG59" s="21" t="s">
        <v>186</v>
      </c>
      <c r="AH59" s="10">
        <v>10779064</v>
      </c>
      <c r="AI59" s="24" t="str">
        <f>VLOOKUP(Sales[[#This Row],[Store]],'Store lay bao  cao'!A:B,2,0)</f>
        <v>Lấy BC</v>
      </c>
      <c r="AJ59" s="24" t="str">
        <f>VLOOKUP(Sales[[#This Row],[Associate]],'Associate Status'!B:C,2,0)</f>
        <v>Retired</v>
      </c>
    </row>
    <row r="60" spans="1:36" x14ac:dyDescent="0.25">
      <c r="A60" s="7">
        <v>2022</v>
      </c>
      <c r="B60" s="8">
        <v>2</v>
      </c>
      <c r="C60" s="8">
        <v>7</v>
      </c>
      <c r="D60" s="8" t="s">
        <v>33</v>
      </c>
      <c r="E60" s="8" t="s">
        <v>43</v>
      </c>
      <c r="F60" s="8" t="s">
        <v>33</v>
      </c>
      <c r="G60" s="9">
        <v>6026400</v>
      </c>
      <c r="H60" s="10">
        <v>6026400.0000000009</v>
      </c>
      <c r="I60" s="11">
        <v>44604</v>
      </c>
      <c r="J60" s="12">
        <v>117947</v>
      </c>
      <c r="K60" s="13" t="s">
        <v>866</v>
      </c>
      <c r="L60" s="14" t="s">
        <v>19</v>
      </c>
      <c r="M60" s="11" t="s">
        <v>17</v>
      </c>
      <c r="N60" s="14" t="s">
        <v>11</v>
      </c>
      <c r="O60" s="15">
        <v>4911</v>
      </c>
      <c r="P60" s="12">
        <v>1</v>
      </c>
      <c r="Q60" s="13" t="s">
        <v>101</v>
      </c>
      <c r="R60" s="16">
        <v>15746400</v>
      </c>
      <c r="S60" s="17">
        <v>14580000</v>
      </c>
      <c r="T60" s="12">
        <v>10</v>
      </c>
      <c r="U60" s="18">
        <v>1620000</v>
      </c>
      <c r="V60" s="19">
        <v>1749600</v>
      </c>
      <c r="W60" s="13" t="s">
        <v>140</v>
      </c>
      <c r="X60" s="14" t="s">
        <v>867</v>
      </c>
      <c r="Y60" s="13" t="s">
        <v>293</v>
      </c>
      <c r="Z60" s="14" t="s">
        <v>868</v>
      </c>
      <c r="AA60" s="17">
        <v>16</v>
      </c>
      <c r="AB60" s="14" t="s">
        <v>869</v>
      </c>
      <c r="AC60" s="17">
        <v>17496000</v>
      </c>
      <c r="AD60" s="14">
        <v>12</v>
      </c>
      <c r="AE60" s="17">
        <v>16200000</v>
      </c>
      <c r="AF60" s="14" t="s">
        <v>129</v>
      </c>
      <c r="AG60" s="20" t="s">
        <v>294</v>
      </c>
      <c r="AH60" s="10">
        <v>8553600</v>
      </c>
      <c r="AI60" s="24" t="str">
        <f>VLOOKUP(Sales[[#This Row],[Store]],'Store lay bao  cao'!A:B,2,0)</f>
        <v>Lấy BC</v>
      </c>
      <c r="AJ60" s="24" t="str">
        <f>VLOOKUP(Sales[[#This Row],[Associate]],'Associate Status'!B:C,2,0)</f>
        <v>Active</v>
      </c>
    </row>
    <row r="61" spans="1:36" x14ac:dyDescent="0.25">
      <c r="A61" s="7">
        <v>2022</v>
      </c>
      <c r="B61" s="8">
        <v>2</v>
      </c>
      <c r="C61" s="8">
        <v>8</v>
      </c>
      <c r="D61" s="8" t="s">
        <v>33</v>
      </c>
      <c r="E61" s="8" t="s">
        <v>34</v>
      </c>
      <c r="F61" s="8" t="s">
        <v>33</v>
      </c>
      <c r="G61" s="9">
        <v>16293600</v>
      </c>
      <c r="H61" s="10">
        <v>16293600.000000002</v>
      </c>
      <c r="I61" s="11">
        <v>44606</v>
      </c>
      <c r="J61" s="12">
        <v>117918</v>
      </c>
      <c r="K61" s="13" t="s">
        <v>871</v>
      </c>
      <c r="L61" s="14" t="s">
        <v>19</v>
      </c>
      <c r="M61" s="11" t="s">
        <v>15</v>
      </c>
      <c r="N61" s="14" t="s">
        <v>11</v>
      </c>
      <c r="O61" s="15">
        <v>9184</v>
      </c>
      <c r="P61" s="12">
        <v>1</v>
      </c>
      <c r="Q61" s="13" t="s">
        <v>101</v>
      </c>
      <c r="R61" s="16">
        <v>42573600</v>
      </c>
      <c r="S61" s="17">
        <v>39420000</v>
      </c>
      <c r="T61" s="12">
        <v>10</v>
      </c>
      <c r="U61" s="18">
        <v>4380000</v>
      </c>
      <c r="V61" s="19">
        <v>4730400</v>
      </c>
      <c r="W61" s="13" t="s">
        <v>427</v>
      </c>
      <c r="X61" s="14" t="s">
        <v>872</v>
      </c>
      <c r="Y61" s="13" t="s">
        <v>204</v>
      </c>
      <c r="Z61" s="14" t="s">
        <v>873</v>
      </c>
      <c r="AA61" s="17">
        <v>13</v>
      </c>
      <c r="AB61" s="14" t="s">
        <v>874</v>
      </c>
      <c r="AC61" s="17">
        <v>47304000</v>
      </c>
      <c r="AD61" s="14" t="s">
        <v>108</v>
      </c>
      <c r="AE61" s="17">
        <v>43800000</v>
      </c>
      <c r="AF61" s="14" t="s">
        <v>136</v>
      </c>
      <c r="AG61" s="21" t="s">
        <v>205</v>
      </c>
      <c r="AH61" s="10">
        <v>23126400</v>
      </c>
      <c r="AI61" s="24" t="str">
        <f>VLOOKUP(Sales[[#This Row],[Store]],'Store lay bao  cao'!A:B,2,0)</f>
        <v>Lấy BC</v>
      </c>
      <c r="AJ61" s="24" t="str">
        <f>VLOOKUP(Sales[[#This Row],[Associate]],'Associate Status'!B:C,2,0)</f>
        <v>Active</v>
      </c>
    </row>
    <row r="62" spans="1:36" x14ac:dyDescent="0.25">
      <c r="A62" s="7">
        <v>2022</v>
      </c>
      <c r="B62" s="8">
        <v>4</v>
      </c>
      <c r="C62" s="8">
        <v>16</v>
      </c>
      <c r="D62" s="8" t="s">
        <v>29</v>
      </c>
      <c r="E62" s="8" t="s">
        <v>12</v>
      </c>
      <c r="F62" s="8" t="s">
        <v>29</v>
      </c>
      <c r="G62" s="9">
        <v>-9771300</v>
      </c>
      <c r="H62" s="10">
        <v>-9771300</v>
      </c>
      <c r="I62" s="11">
        <v>44664</v>
      </c>
      <c r="J62" s="12">
        <v>90572</v>
      </c>
      <c r="K62" s="13" t="s">
        <v>900</v>
      </c>
      <c r="L62" s="14" t="s">
        <v>19</v>
      </c>
      <c r="M62" s="11" t="s">
        <v>22</v>
      </c>
      <c r="N62" s="14" t="s">
        <v>11</v>
      </c>
      <c r="O62" s="15">
        <v>290</v>
      </c>
      <c r="P62" s="12">
        <v>-1</v>
      </c>
      <c r="Q62" s="13" t="s">
        <v>156</v>
      </c>
      <c r="R62" s="16">
        <v>0</v>
      </c>
      <c r="S62" s="17">
        <v>0</v>
      </c>
      <c r="T62" s="12">
        <v>100</v>
      </c>
      <c r="U62" s="18">
        <v>-30158333</v>
      </c>
      <c r="V62" s="19">
        <v>-32571000</v>
      </c>
      <c r="W62" s="13" t="s">
        <v>901</v>
      </c>
      <c r="X62" s="14" t="s">
        <v>856</v>
      </c>
      <c r="Y62" s="13" t="s">
        <v>765</v>
      </c>
      <c r="Z62" s="14" t="s">
        <v>857</v>
      </c>
      <c r="AA62" s="17">
        <v>10</v>
      </c>
      <c r="AB62" s="14" t="s">
        <v>858</v>
      </c>
      <c r="AC62" s="17">
        <v>-32571000</v>
      </c>
      <c r="AD62" s="14">
        <v>12</v>
      </c>
      <c r="AE62" s="17">
        <v>-30158333</v>
      </c>
      <c r="AF62" s="14" t="s">
        <v>426</v>
      </c>
      <c r="AG62" s="20"/>
      <c r="AH62" s="10">
        <v>9771300</v>
      </c>
      <c r="AI62" s="24" t="str">
        <f>VLOOKUP(Sales[[#This Row],[Store]],'Store lay bao  cao'!A:B,2,0)</f>
        <v>Không lấy  BC</v>
      </c>
      <c r="AJ62" s="24" t="e">
        <f>VLOOKUP(Sales[[#This Row],[Associate]],'Associate Status'!B:C,2,0)</f>
        <v>#N/A</v>
      </c>
    </row>
    <row r="63" spans="1:36" x14ac:dyDescent="0.25">
      <c r="A63" s="7">
        <v>2022</v>
      </c>
      <c r="B63" s="8">
        <v>4</v>
      </c>
      <c r="C63" s="8">
        <v>16</v>
      </c>
      <c r="D63" s="8" t="s">
        <v>29</v>
      </c>
      <c r="E63" s="8" t="s">
        <v>12</v>
      </c>
      <c r="F63" s="8" t="s">
        <v>29</v>
      </c>
      <c r="G63" s="9">
        <v>-9475200</v>
      </c>
      <c r="H63" s="10">
        <v>-9475200</v>
      </c>
      <c r="I63" s="11">
        <v>44664</v>
      </c>
      <c r="J63" s="12">
        <v>90573</v>
      </c>
      <c r="K63" s="13" t="s">
        <v>902</v>
      </c>
      <c r="L63" s="14" t="s">
        <v>19</v>
      </c>
      <c r="M63" s="11" t="s">
        <v>22</v>
      </c>
      <c r="N63" s="14" t="s">
        <v>11</v>
      </c>
      <c r="O63" s="15">
        <v>289</v>
      </c>
      <c r="P63" s="12">
        <v>-1</v>
      </c>
      <c r="Q63" s="13" t="s">
        <v>156</v>
      </c>
      <c r="R63" s="16">
        <v>0</v>
      </c>
      <c r="S63" s="17">
        <v>0</v>
      </c>
      <c r="T63" s="12">
        <v>100</v>
      </c>
      <c r="U63" s="18">
        <v>-29244444</v>
      </c>
      <c r="V63" s="19">
        <v>-31584000</v>
      </c>
      <c r="W63" s="13" t="s">
        <v>901</v>
      </c>
      <c r="X63" s="14" t="s">
        <v>853</v>
      </c>
      <c r="Y63" s="13" t="s">
        <v>765</v>
      </c>
      <c r="Z63" s="14" t="s">
        <v>854</v>
      </c>
      <c r="AA63" s="17">
        <v>10</v>
      </c>
      <c r="AB63" s="14" t="s">
        <v>855</v>
      </c>
      <c r="AC63" s="17">
        <v>-31584000</v>
      </c>
      <c r="AD63" s="14">
        <v>12</v>
      </c>
      <c r="AE63" s="17">
        <v>-29244444</v>
      </c>
      <c r="AF63" s="14" t="s">
        <v>426</v>
      </c>
      <c r="AG63" s="21"/>
      <c r="AH63" s="10">
        <v>9475200</v>
      </c>
      <c r="AI63" s="24" t="str">
        <f>VLOOKUP(Sales[[#This Row],[Store]],'Store lay bao  cao'!A:B,2,0)</f>
        <v>Không lấy  BC</v>
      </c>
      <c r="AJ63" s="24" t="e">
        <f>VLOOKUP(Sales[[#This Row],[Associate]],'Associate Status'!B:C,2,0)</f>
        <v>#N/A</v>
      </c>
    </row>
    <row r="64" spans="1:36" x14ac:dyDescent="0.25">
      <c r="A64" s="7">
        <v>2022</v>
      </c>
      <c r="B64" s="8">
        <v>4</v>
      </c>
      <c r="C64" s="8">
        <v>18</v>
      </c>
      <c r="D64" s="8" t="s">
        <v>20</v>
      </c>
      <c r="E64" s="8" t="s">
        <v>12</v>
      </c>
      <c r="F64" s="8" t="s">
        <v>20</v>
      </c>
      <c r="G64" s="9">
        <v>6177600</v>
      </c>
      <c r="H64" s="10">
        <v>6177600</v>
      </c>
      <c r="I64" s="11">
        <v>44676</v>
      </c>
      <c r="J64" s="12">
        <v>37073</v>
      </c>
      <c r="K64" s="13" t="s">
        <v>907</v>
      </c>
      <c r="L64" s="14" t="s">
        <v>19</v>
      </c>
      <c r="M64" s="11" t="s">
        <v>15</v>
      </c>
      <c r="N64" s="14" t="s">
        <v>11</v>
      </c>
      <c r="O64" s="15">
        <v>174</v>
      </c>
      <c r="P64" s="12">
        <v>1</v>
      </c>
      <c r="Q64" s="13" t="s">
        <v>101</v>
      </c>
      <c r="R64" s="16">
        <v>23105000</v>
      </c>
      <c r="S64" s="17">
        <v>21393519</v>
      </c>
      <c r="T64" s="12">
        <v>0</v>
      </c>
      <c r="U64" s="18">
        <v>0</v>
      </c>
      <c r="V64" s="19">
        <v>0</v>
      </c>
      <c r="W64" s="13" t="s">
        <v>104</v>
      </c>
      <c r="X64" s="14" t="s">
        <v>908</v>
      </c>
      <c r="Y64" s="13" t="s">
        <v>211</v>
      </c>
      <c r="Z64" s="14" t="s">
        <v>909</v>
      </c>
      <c r="AA64" s="17">
        <v>15</v>
      </c>
      <c r="AB64" s="14" t="s">
        <v>910</v>
      </c>
      <c r="AC64" s="17">
        <v>23105000</v>
      </c>
      <c r="AD64" s="14">
        <v>10</v>
      </c>
      <c r="AE64" s="17">
        <v>21393519</v>
      </c>
      <c r="AF64" s="14" t="s">
        <v>106</v>
      </c>
      <c r="AG64" s="20" t="s">
        <v>212</v>
      </c>
      <c r="AH64" s="10">
        <v>15215919</v>
      </c>
      <c r="AI64" s="24" t="str">
        <f>VLOOKUP(Sales[[#This Row],[Store]],'Store lay bao  cao'!A:B,2,0)</f>
        <v>Lấy BC</v>
      </c>
      <c r="AJ64" s="24" t="str">
        <f>VLOOKUP(Sales[[#This Row],[Associate]],'Associate Status'!B:C,2,0)</f>
        <v>Active</v>
      </c>
    </row>
    <row r="65" spans="1:36" x14ac:dyDescent="0.25">
      <c r="A65" s="7">
        <v>2022</v>
      </c>
      <c r="B65" s="8">
        <v>5</v>
      </c>
      <c r="C65" s="8">
        <v>21</v>
      </c>
      <c r="D65" s="8" t="s">
        <v>30</v>
      </c>
      <c r="E65" s="8" t="s">
        <v>12</v>
      </c>
      <c r="F65" s="8" t="s">
        <v>30</v>
      </c>
      <c r="G65" s="9">
        <v>-26510963</v>
      </c>
      <c r="H65" s="10">
        <v>-20515500</v>
      </c>
      <c r="I65" s="11">
        <v>44700</v>
      </c>
      <c r="J65" s="12">
        <v>109005</v>
      </c>
      <c r="K65" s="13" t="s">
        <v>916</v>
      </c>
      <c r="L65" s="14" t="s">
        <v>59</v>
      </c>
      <c r="M65" s="11" t="s">
        <v>41</v>
      </c>
      <c r="N65" s="14" t="s">
        <v>11</v>
      </c>
      <c r="O65" s="15">
        <v>297</v>
      </c>
      <c r="P65" s="12">
        <v>-1</v>
      </c>
      <c r="Q65" s="13" t="s">
        <v>156</v>
      </c>
      <c r="R65" s="16">
        <v>0</v>
      </c>
      <c r="S65" s="17">
        <v>0</v>
      </c>
      <c r="T65" s="12">
        <v>100</v>
      </c>
      <c r="U65" s="18">
        <v>-48958333</v>
      </c>
      <c r="V65" s="19">
        <v>-52875000</v>
      </c>
      <c r="W65" s="13" t="s">
        <v>901</v>
      </c>
      <c r="X65" s="14" t="s">
        <v>258</v>
      </c>
      <c r="Y65" s="13" t="s">
        <v>256</v>
      </c>
      <c r="Z65" s="14" t="s">
        <v>259</v>
      </c>
      <c r="AA65" s="17">
        <v>14</v>
      </c>
      <c r="AB65" s="14" t="s">
        <v>173</v>
      </c>
      <c r="AC65" s="17">
        <v>-52875000</v>
      </c>
      <c r="AD65" s="14">
        <v>7</v>
      </c>
      <c r="AE65" s="17">
        <v>-48958333</v>
      </c>
      <c r="AF65" s="14" t="s">
        <v>117</v>
      </c>
      <c r="AG65" s="21"/>
      <c r="AH65" s="10">
        <v>26510963</v>
      </c>
      <c r="AI65" s="24" t="str">
        <f>VLOOKUP(Sales[[#This Row],[Store]],'Store lay bao  cao'!A:B,2,0)</f>
        <v>Không lấy  BC</v>
      </c>
      <c r="AJ65" s="24" t="str">
        <f>VLOOKUP(Sales[[#This Row],[Associate]],'Associate Status'!B:C,2,0)</f>
        <v>Retired</v>
      </c>
    </row>
    <row r="66" spans="1:36" x14ac:dyDescent="0.25">
      <c r="A66" s="7">
        <v>2022</v>
      </c>
      <c r="B66" s="8">
        <v>7</v>
      </c>
      <c r="C66" s="8">
        <v>28</v>
      </c>
      <c r="D66" s="8" t="s">
        <v>51</v>
      </c>
      <c r="E66" s="8" t="s">
        <v>37</v>
      </c>
      <c r="F66" s="8" t="s">
        <v>51</v>
      </c>
      <c r="G66" s="9">
        <v>1641228</v>
      </c>
      <c r="H66" s="10">
        <v>1430750</v>
      </c>
      <c r="I66" s="11">
        <v>44748</v>
      </c>
      <c r="J66" s="12">
        <v>174875</v>
      </c>
      <c r="K66" s="13" t="s">
        <v>926</v>
      </c>
      <c r="L66" s="14" t="s">
        <v>47</v>
      </c>
      <c r="M66" s="11" t="s">
        <v>17</v>
      </c>
      <c r="N66" s="14" t="s">
        <v>11</v>
      </c>
      <c r="O66" s="15">
        <v>5495</v>
      </c>
      <c r="P66" s="12">
        <v>1</v>
      </c>
      <c r="Q66" s="13" t="s">
        <v>143</v>
      </c>
      <c r="R66" s="16">
        <v>7168500</v>
      </c>
      <c r="S66" s="17">
        <v>6637500</v>
      </c>
      <c r="T66" s="12">
        <v>10</v>
      </c>
      <c r="U66" s="18">
        <v>737500</v>
      </c>
      <c r="V66" s="19">
        <v>796500</v>
      </c>
      <c r="W66" s="13" t="s">
        <v>427</v>
      </c>
      <c r="X66" s="14" t="s">
        <v>927</v>
      </c>
      <c r="Y66" s="13" t="s">
        <v>251</v>
      </c>
      <c r="Z66" s="14" t="s">
        <v>928</v>
      </c>
      <c r="AA66" s="17">
        <v>13</v>
      </c>
      <c r="AB66" s="14" t="s">
        <v>929</v>
      </c>
      <c r="AC66" s="17">
        <v>7965000</v>
      </c>
      <c r="AD66" s="14" t="s">
        <v>849</v>
      </c>
      <c r="AE66" s="17">
        <v>7375000</v>
      </c>
      <c r="AF66" s="14" t="s">
        <v>119</v>
      </c>
      <c r="AG66" s="20" t="s">
        <v>252</v>
      </c>
      <c r="AH66" s="10">
        <v>4996272</v>
      </c>
      <c r="AI66" s="24" t="str">
        <f>VLOOKUP(Sales[[#This Row],[Store]],'Store lay bao  cao'!A:B,2,0)</f>
        <v>Lấy BC</v>
      </c>
      <c r="AJ66" s="24" t="str">
        <f>VLOOKUP(Sales[[#This Row],[Associate]],'Associate Status'!B:C,2,0)</f>
        <v>Retired</v>
      </c>
    </row>
    <row r="67" spans="1:36" x14ac:dyDescent="0.25">
      <c r="A67" s="7">
        <v>2022</v>
      </c>
      <c r="B67" s="8">
        <v>7</v>
      </c>
      <c r="C67" s="8">
        <v>29</v>
      </c>
      <c r="D67" s="8" t="s">
        <v>51</v>
      </c>
      <c r="E67" s="8" t="s">
        <v>37</v>
      </c>
      <c r="F67" s="8" t="s">
        <v>51</v>
      </c>
      <c r="G67" s="9">
        <v>1279142</v>
      </c>
      <c r="H67" s="10">
        <v>1115100</v>
      </c>
      <c r="I67" s="11">
        <v>44754</v>
      </c>
      <c r="J67" s="12">
        <v>174869</v>
      </c>
      <c r="K67" s="13" t="s">
        <v>226</v>
      </c>
      <c r="L67" s="14" t="s">
        <v>47</v>
      </c>
      <c r="M67" s="11" t="s">
        <v>15</v>
      </c>
      <c r="N67" s="14" t="s">
        <v>11</v>
      </c>
      <c r="O67" s="15">
        <v>580</v>
      </c>
      <c r="P67" s="12">
        <v>1</v>
      </c>
      <c r="Q67" s="13" t="s">
        <v>110</v>
      </c>
      <c r="R67" s="16">
        <v>5575500</v>
      </c>
      <c r="S67" s="17">
        <v>5162500</v>
      </c>
      <c r="T67" s="12">
        <v>10</v>
      </c>
      <c r="U67" s="18">
        <v>573611</v>
      </c>
      <c r="V67" s="19">
        <v>619500</v>
      </c>
      <c r="W67" s="13" t="s">
        <v>104</v>
      </c>
      <c r="X67" s="14" t="s">
        <v>932</v>
      </c>
      <c r="Y67" s="13" t="s">
        <v>228</v>
      </c>
      <c r="Z67" s="14" t="s">
        <v>933</v>
      </c>
      <c r="AA67" s="17">
        <v>18</v>
      </c>
      <c r="AB67" s="14" t="s">
        <v>161</v>
      </c>
      <c r="AC67" s="17">
        <v>6195000</v>
      </c>
      <c r="AD67" s="14" t="s">
        <v>849</v>
      </c>
      <c r="AE67" s="17">
        <v>5736111</v>
      </c>
      <c r="AF67" s="14" t="s">
        <v>2594</v>
      </c>
      <c r="AG67" s="21" t="s">
        <v>229</v>
      </c>
      <c r="AH67" s="10">
        <v>3883358</v>
      </c>
      <c r="AI67" s="24" t="str">
        <f>VLOOKUP(Sales[[#This Row],[Store]],'Store lay bao  cao'!A:B,2,0)</f>
        <v>Lấy BC</v>
      </c>
      <c r="AJ67" s="24" t="e">
        <f>VLOOKUP(Sales[[#This Row],[Associate]],'Associate Status'!B:C,2,0)</f>
        <v>#N/A</v>
      </c>
    </row>
    <row r="68" spans="1:36" x14ac:dyDescent="0.25">
      <c r="A68" s="7">
        <v>2022</v>
      </c>
      <c r="B68" s="8">
        <v>7</v>
      </c>
      <c r="C68" s="8">
        <v>29</v>
      </c>
      <c r="D68" s="8" t="s">
        <v>51</v>
      </c>
      <c r="E68" s="8" t="s">
        <v>37</v>
      </c>
      <c r="F68" s="8" t="s">
        <v>51</v>
      </c>
      <c r="G68" s="9">
        <v>1759667</v>
      </c>
      <c r="H68" s="10">
        <v>1534000</v>
      </c>
      <c r="I68" s="11">
        <v>44754</v>
      </c>
      <c r="J68" s="12">
        <v>174880</v>
      </c>
      <c r="K68" s="13" t="s">
        <v>226</v>
      </c>
      <c r="L68" s="14" t="s">
        <v>47</v>
      </c>
      <c r="M68" s="11" t="s">
        <v>15</v>
      </c>
      <c r="N68" s="14" t="s">
        <v>11</v>
      </c>
      <c r="O68" s="15">
        <v>580</v>
      </c>
      <c r="P68" s="12">
        <v>1</v>
      </c>
      <c r="Q68" s="13" t="s">
        <v>110</v>
      </c>
      <c r="R68" s="16">
        <v>7699500</v>
      </c>
      <c r="S68" s="17">
        <v>7129167</v>
      </c>
      <c r="T68" s="12">
        <v>10</v>
      </c>
      <c r="U68" s="18">
        <v>792130</v>
      </c>
      <c r="V68" s="19">
        <v>855500</v>
      </c>
      <c r="W68" s="13" t="s">
        <v>104</v>
      </c>
      <c r="X68" s="14" t="s">
        <v>934</v>
      </c>
      <c r="Y68" s="13" t="s">
        <v>228</v>
      </c>
      <c r="Z68" s="14" t="s">
        <v>935</v>
      </c>
      <c r="AA68" s="17">
        <v>18</v>
      </c>
      <c r="AB68" s="14" t="s">
        <v>438</v>
      </c>
      <c r="AC68" s="17">
        <v>8555000</v>
      </c>
      <c r="AD68" s="14" t="s">
        <v>849</v>
      </c>
      <c r="AE68" s="17">
        <v>7921296</v>
      </c>
      <c r="AF68" s="14" t="s">
        <v>885</v>
      </c>
      <c r="AG68" s="20" t="s">
        <v>229</v>
      </c>
      <c r="AH68" s="10">
        <v>5369500</v>
      </c>
      <c r="AI68" s="24" t="str">
        <f>VLOOKUP(Sales[[#This Row],[Store]],'Store lay bao  cao'!A:B,2,0)</f>
        <v>Lấy BC</v>
      </c>
      <c r="AJ68" s="24" t="str">
        <f>VLOOKUP(Sales[[#This Row],[Associate]],'Associate Status'!B:C,2,0)</f>
        <v>Retired</v>
      </c>
    </row>
    <row r="69" spans="1:36" x14ac:dyDescent="0.25">
      <c r="A69" s="7">
        <v>2022</v>
      </c>
      <c r="B69" s="8">
        <v>7</v>
      </c>
      <c r="C69" s="8">
        <v>29</v>
      </c>
      <c r="D69" s="8" t="s">
        <v>51</v>
      </c>
      <c r="E69" s="8" t="s">
        <v>37</v>
      </c>
      <c r="F69" s="8" t="s">
        <v>51</v>
      </c>
      <c r="G69" s="9">
        <v>2801931</v>
      </c>
      <c r="H69" s="10">
        <v>2442600</v>
      </c>
      <c r="I69" s="11">
        <v>44754</v>
      </c>
      <c r="J69" s="12">
        <v>174896</v>
      </c>
      <c r="K69" s="13" t="s">
        <v>226</v>
      </c>
      <c r="L69" s="14" t="s">
        <v>47</v>
      </c>
      <c r="M69" s="11" t="s">
        <v>15</v>
      </c>
      <c r="N69" s="14" t="s">
        <v>11</v>
      </c>
      <c r="O69" s="15">
        <v>580</v>
      </c>
      <c r="P69" s="12">
        <v>1</v>
      </c>
      <c r="Q69" s="13" t="s">
        <v>110</v>
      </c>
      <c r="R69" s="16">
        <v>12213000</v>
      </c>
      <c r="S69" s="17">
        <v>11308333</v>
      </c>
      <c r="T69" s="12">
        <v>10</v>
      </c>
      <c r="U69" s="18">
        <v>1256481</v>
      </c>
      <c r="V69" s="19">
        <v>1357000</v>
      </c>
      <c r="W69" s="13" t="s">
        <v>104</v>
      </c>
      <c r="X69" s="14" t="s">
        <v>932</v>
      </c>
      <c r="Y69" s="13" t="s">
        <v>228</v>
      </c>
      <c r="Z69" s="14" t="s">
        <v>936</v>
      </c>
      <c r="AA69" s="17">
        <v>18</v>
      </c>
      <c r="AB69" s="14" t="s">
        <v>161</v>
      </c>
      <c r="AC69" s="17">
        <v>13570000</v>
      </c>
      <c r="AD69" s="14" t="s">
        <v>849</v>
      </c>
      <c r="AE69" s="17">
        <v>12564815</v>
      </c>
      <c r="AF69" s="14" t="s">
        <v>885</v>
      </c>
      <c r="AG69" s="21" t="s">
        <v>229</v>
      </c>
      <c r="AH69" s="10">
        <v>8506402</v>
      </c>
      <c r="AI69" s="24" t="str">
        <f>VLOOKUP(Sales[[#This Row],[Store]],'Store lay bao  cao'!A:B,2,0)</f>
        <v>Lấy BC</v>
      </c>
      <c r="AJ69" s="24" t="str">
        <f>VLOOKUP(Sales[[#This Row],[Associate]],'Associate Status'!B:C,2,0)</f>
        <v>Retired</v>
      </c>
    </row>
    <row r="70" spans="1:36" x14ac:dyDescent="0.25">
      <c r="A70" s="7">
        <v>2022</v>
      </c>
      <c r="B70" s="8">
        <v>7</v>
      </c>
      <c r="C70" s="8">
        <v>29</v>
      </c>
      <c r="D70" s="8" t="s">
        <v>51</v>
      </c>
      <c r="E70" s="8" t="s">
        <v>37</v>
      </c>
      <c r="F70" s="8" t="s">
        <v>51</v>
      </c>
      <c r="G70" s="9">
        <v>1641228</v>
      </c>
      <c r="H70" s="10">
        <v>1430750</v>
      </c>
      <c r="I70" s="11">
        <v>44754</v>
      </c>
      <c r="J70" s="12">
        <v>174888</v>
      </c>
      <c r="K70" s="13" t="s">
        <v>226</v>
      </c>
      <c r="L70" s="14" t="s">
        <v>47</v>
      </c>
      <c r="M70" s="11" t="s">
        <v>15</v>
      </c>
      <c r="N70" s="14" t="s">
        <v>11</v>
      </c>
      <c r="O70" s="15">
        <v>580</v>
      </c>
      <c r="P70" s="12">
        <v>1</v>
      </c>
      <c r="Q70" s="13" t="s">
        <v>110</v>
      </c>
      <c r="R70" s="16">
        <v>7168500</v>
      </c>
      <c r="S70" s="17">
        <v>6637500</v>
      </c>
      <c r="T70" s="12">
        <v>10</v>
      </c>
      <c r="U70" s="18">
        <v>737500</v>
      </c>
      <c r="V70" s="19">
        <v>796500</v>
      </c>
      <c r="W70" s="13" t="s">
        <v>104</v>
      </c>
      <c r="X70" s="14" t="s">
        <v>937</v>
      </c>
      <c r="Y70" s="13" t="s">
        <v>228</v>
      </c>
      <c r="Z70" s="14" t="s">
        <v>928</v>
      </c>
      <c r="AA70" s="17">
        <v>18</v>
      </c>
      <c r="AB70" s="14" t="s">
        <v>137</v>
      </c>
      <c r="AC70" s="17">
        <v>7965000</v>
      </c>
      <c r="AD70" s="14" t="s">
        <v>849</v>
      </c>
      <c r="AE70" s="17">
        <v>7375000</v>
      </c>
      <c r="AF70" s="14" t="s">
        <v>885</v>
      </c>
      <c r="AG70" s="20" t="s">
        <v>229</v>
      </c>
      <c r="AH70" s="10">
        <v>4996272</v>
      </c>
      <c r="AI70" s="24" t="str">
        <f>VLOOKUP(Sales[[#This Row],[Store]],'Store lay bao  cao'!A:B,2,0)</f>
        <v>Lấy BC</v>
      </c>
      <c r="AJ70" s="24" t="str">
        <f>VLOOKUP(Sales[[#This Row],[Associate]],'Associate Status'!B:C,2,0)</f>
        <v>Retired</v>
      </c>
    </row>
    <row r="71" spans="1:36" x14ac:dyDescent="0.25">
      <c r="A71" s="7">
        <v>2022</v>
      </c>
      <c r="B71" s="8">
        <v>7</v>
      </c>
      <c r="C71" s="8">
        <v>29</v>
      </c>
      <c r="D71" s="8" t="s">
        <v>51</v>
      </c>
      <c r="E71" s="8" t="s">
        <v>37</v>
      </c>
      <c r="F71" s="8" t="s">
        <v>51</v>
      </c>
      <c r="G71" s="9">
        <v>2368783</v>
      </c>
      <c r="H71" s="10">
        <v>2065000</v>
      </c>
      <c r="I71" s="11">
        <v>44754</v>
      </c>
      <c r="J71" s="12">
        <v>174902</v>
      </c>
      <c r="K71" s="13" t="s">
        <v>226</v>
      </c>
      <c r="L71" s="14" t="s">
        <v>47</v>
      </c>
      <c r="M71" s="11" t="s">
        <v>15</v>
      </c>
      <c r="N71" s="14" t="s">
        <v>11</v>
      </c>
      <c r="O71" s="15">
        <v>580</v>
      </c>
      <c r="P71" s="12">
        <v>1</v>
      </c>
      <c r="Q71" s="13" t="s">
        <v>110</v>
      </c>
      <c r="R71" s="16">
        <v>10354500</v>
      </c>
      <c r="S71" s="17">
        <v>9587500</v>
      </c>
      <c r="T71" s="12">
        <v>10</v>
      </c>
      <c r="U71" s="18">
        <v>1065278</v>
      </c>
      <c r="V71" s="19">
        <v>1150500</v>
      </c>
      <c r="W71" s="13" t="s">
        <v>104</v>
      </c>
      <c r="X71" s="14" t="s">
        <v>938</v>
      </c>
      <c r="Y71" s="13" t="s">
        <v>228</v>
      </c>
      <c r="Z71" s="14" t="s">
        <v>939</v>
      </c>
      <c r="AA71" s="17">
        <v>18</v>
      </c>
      <c r="AB71" s="14" t="s">
        <v>940</v>
      </c>
      <c r="AC71" s="17">
        <v>11505000</v>
      </c>
      <c r="AD71" s="14" t="s">
        <v>849</v>
      </c>
      <c r="AE71" s="17">
        <v>10652778</v>
      </c>
      <c r="AF71" s="14" t="s">
        <v>885</v>
      </c>
      <c r="AG71" s="21" t="s">
        <v>229</v>
      </c>
      <c r="AH71" s="10">
        <v>7218717</v>
      </c>
      <c r="AI71" s="24" t="str">
        <f>VLOOKUP(Sales[[#This Row],[Store]],'Store lay bao  cao'!A:B,2,0)</f>
        <v>Lấy BC</v>
      </c>
      <c r="AJ71" s="24" t="str">
        <f>VLOOKUP(Sales[[#This Row],[Associate]],'Associate Status'!B:C,2,0)</f>
        <v>Retired</v>
      </c>
    </row>
    <row r="72" spans="1:36" x14ac:dyDescent="0.25">
      <c r="A72" s="7">
        <v>2022</v>
      </c>
      <c r="B72" s="8">
        <v>7</v>
      </c>
      <c r="C72" s="8">
        <v>29</v>
      </c>
      <c r="D72" s="8" t="s">
        <v>51</v>
      </c>
      <c r="E72" s="8" t="s">
        <v>37</v>
      </c>
      <c r="F72" s="8" t="s">
        <v>51</v>
      </c>
      <c r="G72" s="9">
        <v>4263807</v>
      </c>
      <c r="H72" s="10">
        <v>3717000</v>
      </c>
      <c r="I72" s="11">
        <v>44754</v>
      </c>
      <c r="J72" s="12">
        <v>174859</v>
      </c>
      <c r="K72" s="13" t="s">
        <v>226</v>
      </c>
      <c r="L72" s="14" t="s">
        <v>47</v>
      </c>
      <c r="M72" s="11" t="s">
        <v>15</v>
      </c>
      <c r="N72" s="14" t="s">
        <v>11</v>
      </c>
      <c r="O72" s="15">
        <v>580</v>
      </c>
      <c r="P72" s="12">
        <v>1</v>
      </c>
      <c r="Q72" s="13" t="s">
        <v>110</v>
      </c>
      <c r="R72" s="16">
        <v>21240000</v>
      </c>
      <c r="S72" s="17">
        <v>19666667</v>
      </c>
      <c r="T72" s="12">
        <v>10</v>
      </c>
      <c r="U72" s="18">
        <v>2185185</v>
      </c>
      <c r="V72" s="19">
        <v>2360000</v>
      </c>
      <c r="W72" s="13" t="s">
        <v>104</v>
      </c>
      <c r="X72" s="14" t="s">
        <v>932</v>
      </c>
      <c r="Y72" s="13" t="s">
        <v>228</v>
      </c>
      <c r="Z72" s="14" t="s">
        <v>941</v>
      </c>
      <c r="AA72" s="17">
        <v>18</v>
      </c>
      <c r="AB72" s="14" t="s">
        <v>161</v>
      </c>
      <c r="AC72" s="17">
        <v>23600000</v>
      </c>
      <c r="AD72" s="14" t="s">
        <v>849</v>
      </c>
      <c r="AE72" s="17">
        <v>21851852</v>
      </c>
      <c r="AF72" s="14" t="s">
        <v>106</v>
      </c>
      <c r="AG72" s="20" t="s">
        <v>229</v>
      </c>
      <c r="AH72" s="10">
        <v>15402860</v>
      </c>
      <c r="AI72" s="24" t="str">
        <f>VLOOKUP(Sales[[#This Row],[Store]],'Store lay bao  cao'!A:B,2,0)</f>
        <v>Lấy BC</v>
      </c>
      <c r="AJ72" s="24" t="str">
        <f>VLOOKUP(Sales[[#This Row],[Associate]],'Associate Status'!B:C,2,0)</f>
        <v>Active</v>
      </c>
    </row>
    <row r="73" spans="1:36" x14ac:dyDescent="0.25">
      <c r="A73" s="7">
        <v>2022</v>
      </c>
      <c r="B73" s="8">
        <v>7</v>
      </c>
      <c r="C73" s="8">
        <v>29</v>
      </c>
      <c r="D73" s="8" t="s">
        <v>51</v>
      </c>
      <c r="E73" s="8" t="s">
        <v>37</v>
      </c>
      <c r="F73" s="8" t="s">
        <v>51</v>
      </c>
      <c r="G73" s="9">
        <v>2554901</v>
      </c>
      <c r="H73" s="10">
        <v>2227250</v>
      </c>
      <c r="I73" s="11">
        <v>44756</v>
      </c>
      <c r="J73" s="12">
        <v>174898</v>
      </c>
      <c r="K73" s="13" t="s">
        <v>227</v>
      </c>
      <c r="L73" s="14" t="s">
        <v>47</v>
      </c>
      <c r="M73" s="11" t="s">
        <v>15</v>
      </c>
      <c r="N73" s="14" t="s">
        <v>11</v>
      </c>
      <c r="O73" s="15">
        <v>588</v>
      </c>
      <c r="P73" s="12">
        <v>1</v>
      </c>
      <c r="Q73" s="13" t="s">
        <v>144</v>
      </c>
      <c r="R73" s="16">
        <v>12390000</v>
      </c>
      <c r="S73" s="17">
        <v>11472222</v>
      </c>
      <c r="T73" s="12">
        <v>0</v>
      </c>
      <c r="U73" s="18">
        <v>0</v>
      </c>
      <c r="V73" s="19">
        <v>0</v>
      </c>
      <c r="W73" s="13" t="s">
        <v>140</v>
      </c>
      <c r="X73" s="14" t="s">
        <v>942</v>
      </c>
      <c r="Y73" s="13" t="s">
        <v>930</v>
      </c>
      <c r="Z73" s="14" t="s">
        <v>943</v>
      </c>
      <c r="AA73" s="17">
        <v>17</v>
      </c>
      <c r="AB73" s="14" t="s">
        <v>944</v>
      </c>
      <c r="AC73" s="17">
        <v>12390000</v>
      </c>
      <c r="AD73" s="14" t="s">
        <v>849</v>
      </c>
      <c r="AE73" s="17">
        <v>11472222</v>
      </c>
      <c r="AF73" s="14" t="s">
        <v>2596</v>
      </c>
      <c r="AG73" s="21" t="s">
        <v>931</v>
      </c>
      <c r="AH73" s="10">
        <v>8917321</v>
      </c>
      <c r="AI73" s="24" t="str">
        <f>VLOOKUP(Sales[[#This Row],[Store]],'Store lay bao  cao'!A:B,2,0)</f>
        <v>Lấy BC</v>
      </c>
      <c r="AJ73" s="24" t="e">
        <f>VLOOKUP(Sales[[#This Row],[Associate]],'Associate Status'!B:C,2,0)</f>
        <v>#N/A</v>
      </c>
    </row>
    <row r="74" spans="1:36" x14ac:dyDescent="0.25">
      <c r="A74" s="7">
        <v>2022</v>
      </c>
      <c r="B74" s="8">
        <v>7</v>
      </c>
      <c r="C74" s="8">
        <v>30</v>
      </c>
      <c r="D74" s="8" t="s">
        <v>51</v>
      </c>
      <c r="E74" s="8" t="s">
        <v>37</v>
      </c>
      <c r="F74" s="8" t="s">
        <v>51</v>
      </c>
      <c r="G74" s="9">
        <v>1759667</v>
      </c>
      <c r="H74" s="10">
        <v>1534000</v>
      </c>
      <c r="I74" s="11">
        <v>44765</v>
      </c>
      <c r="J74" s="12">
        <v>174878</v>
      </c>
      <c r="K74" s="13" t="s">
        <v>232</v>
      </c>
      <c r="L74" s="14" t="s">
        <v>47</v>
      </c>
      <c r="M74" s="11" t="s">
        <v>15</v>
      </c>
      <c r="N74" s="14" t="s">
        <v>11</v>
      </c>
      <c r="O74" s="15">
        <v>644</v>
      </c>
      <c r="P74" s="12">
        <v>1</v>
      </c>
      <c r="Q74" s="13" t="s">
        <v>110</v>
      </c>
      <c r="R74" s="16">
        <v>7699500</v>
      </c>
      <c r="S74" s="17">
        <v>7129167</v>
      </c>
      <c r="T74" s="12">
        <v>10</v>
      </c>
      <c r="U74" s="18">
        <v>792130</v>
      </c>
      <c r="V74" s="19">
        <v>855500</v>
      </c>
      <c r="W74" s="13" t="s">
        <v>135</v>
      </c>
      <c r="X74" s="14" t="s">
        <v>948</v>
      </c>
      <c r="Y74" s="13" t="s">
        <v>594</v>
      </c>
      <c r="Z74" s="14" t="s">
        <v>935</v>
      </c>
      <c r="AA74" s="17">
        <v>15</v>
      </c>
      <c r="AB74" s="14" t="s">
        <v>431</v>
      </c>
      <c r="AC74" s="17">
        <v>8555000</v>
      </c>
      <c r="AD74" s="14" t="s">
        <v>849</v>
      </c>
      <c r="AE74" s="17">
        <v>7921296</v>
      </c>
      <c r="AF74" s="14" t="s">
        <v>106</v>
      </c>
      <c r="AG74" s="20" t="s">
        <v>377</v>
      </c>
      <c r="AH74" s="10">
        <v>5369500</v>
      </c>
      <c r="AI74" s="24" t="str">
        <f>VLOOKUP(Sales[[#This Row],[Store]],'Store lay bao  cao'!A:B,2,0)</f>
        <v>Lấy BC</v>
      </c>
      <c r="AJ74" s="24" t="str">
        <f>VLOOKUP(Sales[[#This Row],[Associate]],'Associate Status'!B:C,2,0)</f>
        <v>Active</v>
      </c>
    </row>
    <row r="75" spans="1:36" x14ac:dyDescent="0.25">
      <c r="A75" s="7">
        <v>2022</v>
      </c>
      <c r="B75" s="8">
        <v>7</v>
      </c>
      <c r="C75" s="8">
        <v>30</v>
      </c>
      <c r="D75" s="8" t="s">
        <v>51</v>
      </c>
      <c r="E75" s="8" t="s">
        <v>37</v>
      </c>
      <c r="F75" s="8" t="s">
        <v>51</v>
      </c>
      <c r="G75" s="9">
        <v>1279142</v>
      </c>
      <c r="H75" s="10">
        <v>1115100</v>
      </c>
      <c r="I75" s="11">
        <v>44765</v>
      </c>
      <c r="J75" s="12">
        <v>174867</v>
      </c>
      <c r="K75" s="13" t="s">
        <v>232</v>
      </c>
      <c r="L75" s="14" t="s">
        <v>47</v>
      </c>
      <c r="M75" s="11" t="s">
        <v>15</v>
      </c>
      <c r="N75" s="14" t="s">
        <v>11</v>
      </c>
      <c r="O75" s="15">
        <v>644</v>
      </c>
      <c r="P75" s="12">
        <v>1</v>
      </c>
      <c r="Q75" s="13" t="s">
        <v>110</v>
      </c>
      <c r="R75" s="16">
        <v>5575500</v>
      </c>
      <c r="S75" s="17">
        <v>5162500</v>
      </c>
      <c r="T75" s="12">
        <v>10</v>
      </c>
      <c r="U75" s="18">
        <v>573611</v>
      </c>
      <c r="V75" s="19">
        <v>619500</v>
      </c>
      <c r="W75" s="13" t="s">
        <v>135</v>
      </c>
      <c r="X75" s="14" t="s">
        <v>949</v>
      </c>
      <c r="Y75" s="13" t="s">
        <v>594</v>
      </c>
      <c r="Z75" s="14" t="s">
        <v>933</v>
      </c>
      <c r="AA75" s="17">
        <v>15</v>
      </c>
      <c r="AB75" s="14" t="s">
        <v>224</v>
      </c>
      <c r="AC75" s="17">
        <v>6195000</v>
      </c>
      <c r="AD75" s="14" t="s">
        <v>849</v>
      </c>
      <c r="AE75" s="17">
        <v>5736111</v>
      </c>
      <c r="AF75" s="14" t="s">
        <v>112</v>
      </c>
      <c r="AG75" s="21" t="s">
        <v>377</v>
      </c>
      <c r="AH75" s="10">
        <v>3883358</v>
      </c>
      <c r="AI75" s="24" t="str">
        <f>VLOOKUP(Sales[[#This Row],[Store]],'Store lay bao  cao'!A:B,2,0)</f>
        <v>Lấy BC</v>
      </c>
      <c r="AJ75" s="24" t="str">
        <f>VLOOKUP(Sales[[#This Row],[Associate]],'Associate Status'!B:C,2,0)</f>
        <v>Retired</v>
      </c>
    </row>
    <row r="76" spans="1:36" x14ac:dyDescent="0.25">
      <c r="A76" s="7">
        <v>2022</v>
      </c>
      <c r="B76" s="8">
        <v>7</v>
      </c>
      <c r="C76" s="8">
        <v>30</v>
      </c>
      <c r="D76" s="8" t="s">
        <v>51</v>
      </c>
      <c r="E76" s="8" t="s">
        <v>34</v>
      </c>
      <c r="F76" s="8" t="s">
        <v>51</v>
      </c>
      <c r="G76" s="9">
        <v>791850</v>
      </c>
      <c r="H76" s="10">
        <v>690300</v>
      </c>
      <c r="I76" s="11">
        <v>44766</v>
      </c>
      <c r="J76" s="12">
        <v>174907</v>
      </c>
      <c r="K76" s="13" t="s">
        <v>235</v>
      </c>
      <c r="L76" s="14" t="s">
        <v>47</v>
      </c>
      <c r="M76" s="11" t="s">
        <v>15</v>
      </c>
      <c r="N76" s="14" t="s">
        <v>11</v>
      </c>
      <c r="O76" s="15">
        <v>650</v>
      </c>
      <c r="P76" s="12">
        <v>1</v>
      </c>
      <c r="Q76" s="13" t="s">
        <v>101</v>
      </c>
      <c r="R76" s="16">
        <v>3451500</v>
      </c>
      <c r="S76" s="17">
        <v>3195833</v>
      </c>
      <c r="T76" s="12">
        <v>10</v>
      </c>
      <c r="U76" s="18">
        <v>355093</v>
      </c>
      <c r="V76" s="19">
        <v>383500</v>
      </c>
      <c r="W76" s="13" t="s">
        <v>135</v>
      </c>
      <c r="X76" s="14" t="s">
        <v>950</v>
      </c>
      <c r="Y76" s="13" t="s">
        <v>178</v>
      </c>
      <c r="Z76" s="14" t="s">
        <v>951</v>
      </c>
      <c r="AA76" s="17">
        <v>18</v>
      </c>
      <c r="AB76" s="14" t="s">
        <v>194</v>
      </c>
      <c r="AC76" s="17">
        <v>3835000</v>
      </c>
      <c r="AD76" s="14" t="s">
        <v>849</v>
      </c>
      <c r="AE76" s="17">
        <v>3550926</v>
      </c>
      <c r="AF76" s="14" t="s">
        <v>2594</v>
      </c>
      <c r="AG76" s="20" t="s">
        <v>179</v>
      </c>
      <c r="AH76" s="10">
        <v>2403983</v>
      </c>
      <c r="AI76" s="24" t="str">
        <f>VLOOKUP(Sales[[#This Row],[Store]],'Store lay bao  cao'!A:B,2,0)</f>
        <v>Lấy BC</v>
      </c>
      <c r="AJ76" s="24" t="e">
        <f>VLOOKUP(Sales[[#This Row],[Associate]],'Associate Status'!B:C,2,0)</f>
        <v>#N/A</v>
      </c>
    </row>
    <row r="77" spans="1:36" x14ac:dyDescent="0.25">
      <c r="A77" s="7">
        <v>2022</v>
      </c>
      <c r="B77" s="8">
        <v>7</v>
      </c>
      <c r="C77" s="8">
        <v>30</v>
      </c>
      <c r="D77" s="8" t="s">
        <v>51</v>
      </c>
      <c r="E77" s="8" t="s">
        <v>37</v>
      </c>
      <c r="F77" s="8" t="s">
        <v>51</v>
      </c>
      <c r="G77" s="9">
        <v>1759667</v>
      </c>
      <c r="H77" s="10">
        <v>1534000</v>
      </c>
      <c r="I77" s="11">
        <v>44766</v>
      </c>
      <c r="J77" s="12">
        <v>174887</v>
      </c>
      <c r="K77" s="13" t="s">
        <v>235</v>
      </c>
      <c r="L77" s="14" t="s">
        <v>47</v>
      </c>
      <c r="M77" s="11" t="s">
        <v>15</v>
      </c>
      <c r="N77" s="14" t="s">
        <v>11</v>
      </c>
      <c r="O77" s="15">
        <v>650</v>
      </c>
      <c r="P77" s="12">
        <v>1</v>
      </c>
      <c r="Q77" s="13" t="s">
        <v>101</v>
      </c>
      <c r="R77" s="16">
        <v>7699500</v>
      </c>
      <c r="S77" s="17">
        <v>7129167</v>
      </c>
      <c r="T77" s="12">
        <v>10</v>
      </c>
      <c r="U77" s="18">
        <v>792130</v>
      </c>
      <c r="V77" s="19">
        <v>855500</v>
      </c>
      <c r="W77" s="13" t="s">
        <v>135</v>
      </c>
      <c r="X77" s="14" t="s">
        <v>952</v>
      </c>
      <c r="Y77" s="13" t="s">
        <v>178</v>
      </c>
      <c r="Z77" s="14" t="s">
        <v>935</v>
      </c>
      <c r="AA77" s="17">
        <v>18</v>
      </c>
      <c r="AB77" s="14" t="s">
        <v>912</v>
      </c>
      <c r="AC77" s="17">
        <v>8555000</v>
      </c>
      <c r="AD77" s="14" t="s">
        <v>849</v>
      </c>
      <c r="AE77" s="17">
        <v>7921296</v>
      </c>
      <c r="AF77" s="14" t="s">
        <v>2594</v>
      </c>
      <c r="AG77" s="21" t="s">
        <v>179</v>
      </c>
      <c r="AH77" s="10">
        <v>5369500</v>
      </c>
      <c r="AI77" s="24" t="str">
        <f>VLOOKUP(Sales[[#This Row],[Store]],'Store lay bao  cao'!A:B,2,0)</f>
        <v>Lấy BC</v>
      </c>
      <c r="AJ77" s="24" t="e">
        <f>VLOOKUP(Sales[[#This Row],[Associate]],'Associate Status'!B:C,2,0)</f>
        <v>#N/A</v>
      </c>
    </row>
    <row r="78" spans="1:36" x14ac:dyDescent="0.25">
      <c r="A78" s="7">
        <v>2022</v>
      </c>
      <c r="B78" s="8">
        <v>8</v>
      </c>
      <c r="C78" s="8">
        <v>32</v>
      </c>
      <c r="D78" s="8" t="s">
        <v>51</v>
      </c>
      <c r="E78" s="8" t="s">
        <v>37</v>
      </c>
      <c r="F78" s="8" t="s">
        <v>51</v>
      </c>
      <c r="G78" s="9">
        <v>2064225</v>
      </c>
      <c r="H78" s="10">
        <v>1799500</v>
      </c>
      <c r="I78" s="11">
        <v>44776</v>
      </c>
      <c r="J78" s="12">
        <v>174892</v>
      </c>
      <c r="K78" s="13" t="s">
        <v>243</v>
      </c>
      <c r="L78" s="14" t="s">
        <v>47</v>
      </c>
      <c r="M78" s="11" t="s">
        <v>15</v>
      </c>
      <c r="N78" s="14" t="s">
        <v>11</v>
      </c>
      <c r="O78" s="15">
        <v>687</v>
      </c>
      <c r="P78" s="12">
        <v>1</v>
      </c>
      <c r="Q78" s="13" t="s">
        <v>110</v>
      </c>
      <c r="R78" s="16">
        <v>9027000</v>
      </c>
      <c r="S78" s="17">
        <v>8358333</v>
      </c>
      <c r="T78" s="12">
        <v>10</v>
      </c>
      <c r="U78" s="18">
        <v>928704</v>
      </c>
      <c r="V78" s="19">
        <v>1003000</v>
      </c>
      <c r="W78" s="13" t="s">
        <v>104</v>
      </c>
      <c r="X78" s="14" t="s">
        <v>932</v>
      </c>
      <c r="Y78" s="13" t="s">
        <v>536</v>
      </c>
      <c r="Z78" s="14" t="s">
        <v>957</v>
      </c>
      <c r="AA78" s="17">
        <v>16</v>
      </c>
      <c r="AB78" s="14" t="s">
        <v>161</v>
      </c>
      <c r="AC78" s="17">
        <v>10030000</v>
      </c>
      <c r="AD78" s="14" t="s">
        <v>849</v>
      </c>
      <c r="AE78" s="17">
        <v>9287037</v>
      </c>
      <c r="AF78" s="14" t="s">
        <v>136</v>
      </c>
      <c r="AG78" s="20" t="s">
        <v>537</v>
      </c>
      <c r="AH78" s="10">
        <v>6294108</v>
      </c>
      <c r="AI78" s="24" t="str">
        <f>VLOOKUP(Sales[[#This Row],[Store]],'Store lay bao  cao'!A:B,2,0)</f>
        <v>Lấy BC</v>
      </c>
      <c r="AJ78" s="24" t="str">
        <f>VLOOKUP(Sales[[#This Row],[Associate]],'Associate Status'!B:C,2,0)</f>
        <v>Active</v>
      </c>
    </row>
    <row r="79" spans="1:36" x14ac:dyDescent="0.25">
      <c r="A79" s="7">
        <v>2022</v>
      </c>
      <c r="B79" s="8">
        <v>8</v>
      </c>
      <c r="C79" s="8">
        <v>32</v>
      </c>
      <c r="D79" s="8" t="s">
        <v>51</v>
      </c>
      <c r="E79" s="8" t="s">
        <v>37</v>
      </c>
      <c r="F79" s="8" t="s">
        <v>51</v>
      </c>
      <c r="G79" s="9">
        <v>2064225</v>
      </c>
      <c r="H79" s="10">
        <v>1799500</v>
      </c>
      <c r="I79" s="11">
        <v>44779</v>
      </c>
      <c r="J79" s="12">
        <v>174894</v>
      </c>
      <c r="K79" s="13" t="s">
        <v>246</v>
      </c>
      <c r="L79" s="14" t="s">
        <v>47</v>
      </c>
      <c r="M79" s="11" t="s">
        <v>15</v>
      </c>
      <c r="N79" s="14" t="s">
        <v>11</v>
      </c>
      <c r="O79" s="15">
        <v>701</v>
      </c>
      <c r="P79" s="12">
        <v>1</v>
      </c>
      <c r="Q79" s="13" t="s">
        <v>102</v>
      </c>
      <c r="R79" s="16">
        <v>9027000</v>
      </c>
      <c r="S79" s="17">
        <v>8358333</v>
      </c>
      <c r="T79" s="12">
        <v>10</v>
      </c>
      <c r="U79" s="18">
        <v>928704</v>
      </c>
      <c r="V79" s="19">
        <v>1003000</v>
      </c>
      <c r="W79" s="13" t="s">
        <v>140</v>
      </c>
      <c r="X79" s="14" t="s">
        <v>948</v>
      </c>
      <c r="Y79" s="13" t="s">
        <v>594</v>
      </c>
      <c r="Z79" s="14" t="s">
        <v>957</v>
      </c>
      <c r="AA79" s="17">
        <v>10</v>
      </c>
      <c r="AB79" s="14" t="s">
        <v>431</v>
      </c>
      <c r="AC79" s="17">
        <v>10030000</v>
      </c>
      <c r="AD79" s="14" t="s">
        <v>849</v>
      </c>
      <c r="AE79" s="17">
        <v>9287037</v>
      </c>
      <c r="AF79" s="14" t="s">
        <v>2594</v>
      </c>
      <c r="AG79" s="21" t="s">
        <v>377</v>
      </c>
      <c r="AH79" s="10">
        <v>6294108</v>
      </c>
      <c r="AI79" s="24" t="str">
        <f>VLOOKUP(Sales[[#This Row],[Store]],'Store lay bao  cao'!A:B,2,0)</f>
        <v>Lấy BC</v>
      </c>
      <c r="AJ79" s="24" t="e">
        <f>VLOOKUP(Sales[[#This Row],[Associate]],'Associate Status'!B:C,2,0)</f>
        <v>#N/A</v>
      </c>
    </row>
    <row r="80" spans="1:36" x14ac:dyDescent="0.25">
      <c r="A80" s="7">
        <v>2022</v>
      </c>
      <c r="B80" s="8">
        <v>8</v>
      </c>
      <c r="C80" s="8">
        <v>32</v>
      </c>
      <c r="D80" s="8" t="s">
        <v>51</v>
      </c>
      <c r="E80" s="8" t="s">
        <v>37</v>
      </c>
      <c r="F80" s="8" t="s">
        <v>51</v>
      </c>
      <c r="G80" s="9">
        <v>1759667</v>
      </c>
      <c r="H80" s="10">
        <v>1534000</v>
      </c>
      <c r="I80" s="11">
        <v>44779</v>
      </c>
      <c r="J80" s="12">
        <v>174884</v>
      </c>
      <c r="K80" s="13" t="s">
        <v>246</v>
      </c>
      <c r="L80" s="14" t="s">
        <v>47</v>
      </c>
      <c r="M80" s="11" t="s">
        <v>15</v>
      </c>
      <c r="N80" s="14" t="s">
        <v>11</v>
      </c>
      <c r="O80" s="15">
        <v>701</v>
      </c>
      <c r="P80" s="12">
        <v>1</v>
      </c>
      <c r="Q80" s="13" t="s">
        <v>102</v>
      </c>
      <c r="R80" s="16">
        <v>7699500</v>
      </c>
      <c r="S80" s="17">
        <v>7129167</v>
      </c>
      <c r="T80" s="12">
        <v>10</v>
      </c>
      <c r="U80" s="18">
        <v>792130</v>
      </c>
      <c r="V80" s="19">
        <v>855500</v>
      </c>
      <c r="W80" s="13" t="s">
        <v>140</v>
      </c>
      <c r="X80" s="14" t="s">
        <v>949</v>
      </c>
      <c r="Y80" s="13" t="s">
        <v>594</v>
      </c>
      <c r="Z80" s="14" t="s">
        <v>935</v>
      </c>
      <c r="AA80" s="17">
        <v>10</v>
      </c>
      <c r="AB80" s="14" t="s">
        <v>224</v>
      </c>
      <c r="AC80" s="17">
        <v>8555000</v>
      </c>
      <c r="AD80" s="14" t="s">
        <v>849</v>
      </c>
      <c r="AE80" s="17">
        <v>7921296</v>
      </c>
      <c r="AF80" s="14" t="s">
        <v>2594</v>
      </c>
      <c r="AG80" s="20" t="s">
        <v>377</v>
      </c>
      <c r="AH80" s="10">
        <v>5369500</v>
      </c>
      <c r="AI80" s="24" t="str">
        <f>VLOOKUP(Sales[[#This Row],[Store]],'Store lay bao  cao'!A:B,2,0)</f>
        <v>Lấy BC</v>
      </c>
      <c r="AJ80" s="24" t="e">
        <f>VLOOKUP(Sales[[#This Row],[Associate]],'Associate Status'!B:C,2,0)</f>
        <v>#N/A</v>
      </c>
    </row>
    <row r="81" spans="1:36" x14ac:dyDescent="0.25">
      <c r="A81" s="7">
        <v>2022</v>
      </c>
      <c r="B81" s="8">
        <v>8</v>
      </c>
      <c r="C81" s="8">
        <v>34</v>
      </c>
      <c r="D81" s="8" t="s">
        <v>51</v>
      </c>
      <c r="E81" s="8" t="s">
        <v>37</v>
      </c>
      <c r="F81" s="8" t="s">
        <v>51</v>
      </c>
      <c r="G81" s="9">
        <v>1759667</v>
      </c>
      <c r="H81" s="10">
        <v>1534000</v>
      </c>
      <c r="I81" s="11">
        <v>44790</v>
      </c>
      <c r="J81" s="12">
        <v>174879</v>
      </c>
      <c r="K81" s="13" t="s">
        <v>960</v>
      </c>
      <c r="L81" s="14" t="s">
        <v>47</v>
      </c>
      <c r="M81" s="11" t="s">
        <v>17</v>
      </c>
      <c r="N81" s="14" t="s">
        <v>11</v>
      </c>
      <c r="O81" s="15">
        <v>5691</v>
      </c>
      <c r="P81" s="12">
        <v>1</v>
      </c>
      <c r="Q81" s="13" t="s">
        <v>101</v>
      </c>
      <c r="R81" s="16">
        <v>7699500</v>
      </c>
      <c r="S81" s="17">
        <v>7129167</v>
      </c>
      <c r="T81" s="12">
        <v>10</v>
      </c>
      <c r="U81" s="18">
        <v>792130</v>
      </c>
      <c r="V81" s="19">
        <v>855500</v>
      </c>
      <c r="W81" s="13" t="s">
        <v>427</v>
      </c>
      <c r="X81" s="14" t="s">
        <v>961</v>
      </c>
      <c r="Y81" s="13" t="s">
        <v>367</v>
      </c>
      <c r="Z81" s="14" t="s">
        <v>962</v>
      </c>
      <c r="AA81" s="17">
        <v>15</v>
      </c>
      <c r="AB81" s="14" t="s">
        <v>963</v>
      </c>
      <c r="AC81" s="17">
        <v>8555000</v>
      </c>
      <c r="AD81" s="14" t="s">
        <v>849</v>
      </c>
      <c r="AE81" s="17">
        <v>7921296</v>
      </c>
      <c r="AF81" s="14" t="s">
        <v>125</v>
      </c>
      <c r="AG81" s="21" t="s">
        <v>368</v>
      </c>
      <c r="AH81" s="10">
        <v>5369500</v>
      </c>
      <c r="AI81" s="24" t="str">
        <f>VLOOKUP(Sales[[#This Row],[Store]],'Store lay bao  cao'!A:B,2,0)</f>
        <v>Lấy BC</v>
      </c>
      <c r="AJ81" s="24" t="str">
        <f>VLOOKUP(Sales[[#This Row],[Associate]],'Associate Status'!B:C,2,0)</f>
        <v>Active</v>
      </c>
    </row>
    <row r="82" spans="1:36" x14ac:dyDescent="0.25">
      <c r="A82" s="7">
        <v>2022</v>
      </c>
      <c r="B82" s="8">
        <v>8</v>
      </c>
      <c r="C82" s="8">
        <v>34</v>
      </c>
      <c r="D82" s="8" t="s">
        <v>51</v>
      </c>
      <c r="E82" s="8" t="s">
        <v>37</v>
      </c>
      <c r="F82" s="8" t="s">
        <v>51</v>
      </c>
      <c r="G82" s="9">
        <v>5414359</v>
      </c>
      <c r="H82" s="10">
        <v>4720000</v>
      </c>
      <c r="I82" s="11">
        <v>44790</v>
      </c>
      <c r="J82" s="12">
        <v>174858</v>
      </c>
      <c r="K82" s="13" t="s">
        <v>960</v>
      </c>
      <c r="L82" s="14" t="s">
        <v>47</v>
      </c>
      <c r="M82" s="11" t="s">
        <v>17</v>
      </c>
      <c r="N82" s="14" t="s">
        <v>11</v>
      </c>
      <c r="O82" s="15">
        <v>5691</v>
      </c>
      <c r="P82" s="12">
        <v>1</v>
      </c>
      <c r="Q82" s="13" t="s">
        <v>101</v>
      </c>
      <c r="R82" s="16">
        <v>26284500</v>
      </c>
      <c r="S82" s="17">
        <v>24337500</v>
      </c>
      <c r="T82" s="12">
        <v>10</v>
      </c>
      <c r="U82" s="18">
        <v>2704167</v>
      </c>
      <c r="V82" s="19">
        <v>2920500</v>
      </c>
      <c r="W82" s="13" t="s">
        <v>427</v>
      </c>
      <c r="X82" s="14" t="s">
        <v>932</v>
      </c>
      <c r="Y82" s="13" t="s">
        <v>367</v>
      </c>
      <c r="Z82" s="14" t="s">
        <v>964</v>
      </c>
      <c r="AA82" s="17">
        <v>15</v>
      </c>
      <c r="AB82" s="14" t="s">
        <v>965</v>
      </c>
      <c r="AC82" s="17">
        <v>29205000</v>
      </c>
      <c r="AD82" s="14" t="s">
        <v>849</v>
      </c>
      <c r="AE82" s="17">
        <v>27041667</v>
      </c>
      <c r="AF82" s="14" t="s">
        <v>125</v>
      </c>
      <c r="AG82" s="20" t="s">
        <v>368</v>
      </c>
      <c r="AH82" s="10">
        <v>18923141</v>
      </c>
      <c r="AI82" s="24" t="str">
        <f>VLOOKUP(Sales[[#This Row],[Store]],'Store lay bao  cao'!A:B,2,0)</f>
        <v>Lấy BC</v>
      </c>
      <c r="AJ82" s="24" t="str">
        <f>VLOOKUP(Sales[[#This Row],[Associate]],'Associate Status'!B:C,2,0)</f>
        <v>Active</v>
      </c>
    </row>
    <row r="83" spans="1:36" x14ac:dyDescent="0.25">
      <c r="A83" s="7">
        <v>2022</v>
      </c>
      <c r="B83" s="8">
        <v>8</v>
      </c>
      <c r="C83" s="8">
        <v>34</v>
      </c>
      <c r="D83" s="8" t="s">
        <v>51</v>
      </c>
      <c r="E83" s="8" t="s">
        <v>37</v>
      </c>
      <c r="F83" s="8" t="s">
        <v>51</v>
      </c>
      <c r="G83" s="9">
        <v>1583701</v>
      </c>
      <c r="H83" s="10">
        <v>1380600</v>
      </c>
      <c r="I83" s="11">
        <v>44790</v>
      </c>
      <c r="J83" s="12">
        <v>174886</v>
      </c>
      <c r="K83" s="13" t="s">
        <v>960</v>
      </c>
      <c r="L83" s="14" t="s">
        <v>47</v>
      </c>
      <c r="M83" s="11" t="s">
        <v>17</v>
      </c>
      <c r="N83" s="14" t="s">
        <v>11</v>
      </c>
      <c r="O83" s="15">
        <v>5691</v>
      </c>
      <c r="P83" s="12">
        <v>1</v>
      </c>
      <c r="Q83" s="13" t="s">
        <v>101</v>
      </c>
      <c r="R83" s="16">
        <v>6903000</v>
      </c>
      <c r="S83" s="17">
        <v>6391667</v>
      </c>
      <c r="T83" s="12">
        <v>10</v>
      </c>
      <c r="U83" s="18">
        <v>710185</v>
      </c>
      <c r="V83" s="19">
        <v>767000</v>
      </c>
      <c r="W83" s="13" t="s">
        <v>427</v>
      </c>
      <c r="X83" s="14" t="s">
        <v>949</v>
      </c>
      <c r="Y83" s="13" t="s">
        <v>367</v>
      </c>
      <c r="Z83" s="14" t="s">
        <v>966</v>
      </c>
      <c r="AA83" s="17">
        <v>15</v>
      </c>
      <c r="AB83" s="14" t="s">
        <v>224</v>
      </c>
      <c r="AC83" s="17">
        <v>7670000</v>
      </c>
      <c r="AD83" s="14" t="s">
        <v>849</v>
      </c>
      <c r="AE83" s="17">
        <v>7101852</v>
      </c>
      <c r="AF83" s="14" t="s">
        <v>125</v>
      </c>
      <c r="AG83" s="21" t="s">
        <v>368</v>
      </c>
      <c r="AH83" s="10">
        <v>4807966</v>
      </c>
      <c r="AI83" s="24" t="str">
        <f>VLOOKUP(Sales[[#This Row],[Store]],'Store lay bao  cao'!A:B,2,0)</f>
        <v>Lấy BC</v>
      </c>
      <c r="AJ83" s="24" t="str">
        <f>VLOOKUP(Sales[[#This Row],[Associate]],'Associate Status'!B:C,2,0)</f>
        <v>Active</v>
      </c>
    </row>
    <row r="84" spans="1:36" x14ac:dyDescent="0.25">
      <c r="A84" s="7">
        <v>2022</v>
      </c>
      <c r="B84" s="8">
        <v>8</v>
      </c>
      <c r="C84" s="8">
        <v>35</v>
      </c>
      <c r="D84" s="8" t="s">
        <v>25</v>
      </c>
      <c r="E84" s="8" t="s">
        <v>12</v>
      </c>
      <c r="F84" s="8" t="s">
        <v>25</v>
      </c>
      <c r="G84" s="9">
        <v>11262801</v>
      </c>
      <c r="H84" s="10">
        <v>11262801.140000001</v>
      </c>
      <c r="I84" s="11">
        <v>44798</v>
      </c>
      <c r="J84" s="12">
        <v>52829</v>
      </c>
      <c r="K84" s="13" t="s">
        <v>970</v>
      </c>
      <c r="L84" s="14" t="s">
        <v>19</v>
      </c>
      <c r="M84" s="11" t="s">
        <v>17</v>
      </c>
      <c r="N84" s="14" t="s">
        <v>11</v>
      </c>
      <c r="O84" s="15">
        <v>5761</v>
      </c>
      <c r="P84" s="12">
        <v>1</v>
      </c>
      <c r="Q84" s="13" t="s">
        <v>101</v>
      </c>
      <c r="R84" s="16">
        <v>33785100</v>
      </c>
      <c r="S84" s="17">
        <v>31282500</v>
      </c>
      <c r="T84" s="12">
        <v>10</v>
      </c>
      <c r="U84" s="18">
        <v>3475833</v>
      </c>
      <c r="V84" s="19">
        <v>3753900</v>
      </c>
      <c r="W84" s="13" t="s">
        <v>427</v>
      </c>
      <c r="X84" s="14" t="s">
        <v>971</v>
      </c>
      <c r="Y84" s="13" t="s">
        <v>293</v>
      </c>
      <c r="Z84" s="14" t="s">
        <v>972</v>
      </c>
      <c r="AA84" s="17">
        <v>13</v>
      </c>
      <c r="AB84" s="14" t="s">
        <v>154</v>
      </c>
      <c r="AC84" s="17">
        <v>37539000</v>
      </c>
      <c r="AD84" s="14">
        <v>10</v>
      </c>
      <c r="AE84" s="17">
        <v>34758333</v>
      </c>
      <c r="AF84" s="14" t="s">
        <v>129</v>
      </c>
      <c r="AG84" s="20" t="s">
        <v>294</v>
      </c>
      <c r="AH84" s="10">
        <v>20019699</v>
      </c>
      <c r="AI84" s="24" t="str">
        <f>VLOOKUP(Sales[[#This Row],[Store]],'Store lay bao  cao'!A:B,2,0)</f>
        <v>Lấy BC</v>
      </c>
      <c r="AJ84" s="24" t="str">
        <f>VLOOKUP(Sales[[#This Row],[Associate]],'Associate Status'!B:C,2,0)</f>
        <v>Active</v>
      </c>
    </row>
    <row r="85" spans="1:36" x14ac:dyDescent="0.25">
      <c r="A85" s="7">
        <v>2022</v>
      </c>
      <c r="B85" s="8">
        <v>8</v>
      </c>
      <c r="C85" s="8">
        <v>35</v>
      </c>
      <c r="D85" s="8" t="s">
        <v>51</v>
      </c>
      <c r="E85" s="8" t="s">
        <v>37</v>
      </c>
      <c r="F85" s="8" t="s">
        <v>51</v>
      </c>
      <c r="G85" s="9">
        <v>3654692</v>
      </c>
      <c r="H85" s="10">
        <v>3186000</v>
      </c>
      <c r="I85" s="11">
        <v>44801</v>
      </c>
      <c r="J85" s="12">
        <v>174856</v>
      </c>
      <c r="K85" s="13" t="s">
        <v>973</v>
      </c>
      <c r="L85" s="14" t="s">
        <v>47</v>
      </c>
      <c r="M85" s="11" t="s">
        <v>17</v>
      </c>
      <c r="N85" s="14" t="s">
        <v>11</v>
      </c>
      <c r="O85" s="15">
        <v>5778</v>
      </c>
      <c r="P85" s="12">
        <v>1</v>
      </c>
      <c r="Q85" s="13" t="s">
        <v>110</v>
      </c>
      <c r="R85" s="16">
        <v>20650000</v>
      </c>
      <c r="S85" s="17">
        <v>19120370</v>
      </c>
      <c r="T85" s="12">
        <v>0</v>
      </c>
      <c r="U85" s="18">
        <v>0</v>
      </c>
      <c r="V85" s="19">
        <v>0</v>
      </c>
      <c r="W85" s="13" t="s">
        <v>427</v>
      </c>
      <c r="X85" s="14" t="s">
        <v>927</v>
      </c>
      <c r="Y85" s="13" t="s">
        <v>575</v>
      </c>
      <c r="Z85" s="14" t="s">
        <v>974</v>
      </c>
      <c r="AA85" s="17">
        <v>10</v>
      </c>
      <c r="AB85" s="14" t="s">
        <v>975</v>
      </c>
      <c r="AC85" s="17">
        <v>20650000</v>
      </c>
      <c r="AD85" s="14" t="s">
        <v>849</v>
      </c>
      <c r="AE85" s="17">
        <v>19120370</v>
      </c>
      <c r="AF85" s="14" t="s">
        <v>145</v>
      </c>
      <c r="AG85" s="21" t="s">
        <v>576</v>
      </c>
      <c r="AH85" s="10">
        <v>15465678</v>
      </c>
      <c r="AI85" s="24" t="str">
        <f>VLOOKUP(Sales[[#This Row],[Store]],'Store lay bao  cao'!A:B,2,0)</f>
        <v>Lấy BC</v>
      </c>
      <c r="AJ85" s="24" t="str">
        <f>VLOOKUP(Sales[[#This Row],[Associate]],'Associate Status'!B:C,2,0)</f>
        <v>Retired</v>
      </c>
    </row>
    <row r="86" spans="1:36" x14ac:dyDescent="0.25">
      <c r="A86" s="7">
        <v>2022</v>
      </c>
      <c r="B86" s="8">
        <v>9</v>
      </c>
      <c r="C86" s="8">
        <v>37</v>
      </c>
      <c r="D86" s="8" t="s">
        <v>51</v>
      </c>
      <c r="E86" s="8" t="s">
        <v>37</v>
      </c>
      <c r="F86" s="8" t="s">
        <v>51</v>
      </c>
      <c r="G86" s="9">
        <v>2064225</v>
      </c>
      <c r="H86" s="10">
        <v>1799500</v>
      </c>
      <c r="I86" s="11">
        <v>44815</v>
      </c>
      <c r="J86" s="12">
        <v>174893</v>
      </c>
      <c r="K86" s="13" t="s">
        <v>978</v>
      </c>
      <c r="L86" s="14" t="s">
        <v>47</v>
      </c>
      <c r="M86" s="11" t="s">
        <v>17</v>
      </c>
      <c r="N86" s="14" t="s">
        <v>11</v>
      </c>
      <c r="O86" s="15">
        <v>5837</v>
      </c>
      <c r="P86" s="12">
        <v>1</v>
      </c>
      <c r="Q86" s="13" t="s">
        <v>101</v>
      </c>
      <c r="R86" s="16">
        <v>10030000</v>
      </c>
      <c r="S86" s="17">
        <v>9287037</v>
      </c>
      <c r="T86" s="12">
        <v>0</v>
      </c>
      <c r="U86" s="18">
        <v>0</v>
      </c>
      <c r="V86" s="19">
        <v>0</v>
      </c>
      <c r="W86" s="13" t="s">
        <v>427</v>
      </c>
      <c r="X86" s="14" t="s">
        <v>932</v>
      </c>
      <c r="Y86" s="13" t="s">
        <v>976</v>
      </c>
      <c r="Z86" s="14" t="s">
        <v>979</v>
      </c>
      <c r="AA86" s="17">
        <v>16</v>
      </c>
      <c r="AB86" s="14" t="s">
        <v>980</v>
      </c>
      <c r="AC86" s="17">
        <v>10030000</v>
      </c>
      <c r="AD86" s="14" t="s">
        <v>849</v>
      </c>
      <c r="AE86" s="17">
        <v>9287037</v>
      </c>
      <c r="AF86" s="14" t="s">
        <v>125</v>
      </c>
      <c r="AG86" s="20" t="s">
        <v>977</v>
      </c>
      <c r="AH86" s="10">
        <v>7222812</v>
      </c>
      <c r="AI86" s="24" t="str">
        <f>VLOOKUP(Sales[[#This Row],[Store]],'Store lay bao  cao'!A:B,2,0)</f>
        <v>Lấy BC</v>
      </c>
      <c r="AJ86" s="24" t="str">
        <f>VLOOKUP(Sales[[#This Row],[Associate]],'Associate Status'!B:C,2,0)</f>
        <v>Active</v>
      </c>
    </row>
    <row r="87" spans="1:36" x14ac:dyDescent="0.25">
      <c r="A87" s="7">
        <v>2022</v>
      </c>
      <c r="B87" s="8">
        <v>9</v>
      </c>
      <c r="C87" s="8">
        <v>37</v>
      </c>
      <c r="D87" s="8" t="s">
        <v>51</v>
      </c>
      <c r="E87" s="8" t="s">
        <v>37</v>
      </c>
      <c r="F87" s="8" t="s">
        <v>51</v>
      </c>
      <c r="G87" s="9">
        <v>1461877</v>
      </c>
      <c r="H87" s="10">
        <v>1274400</v>
      </c>
      <c r="I87" s="11">
        <v>44815</v>
      </c>
      <c r="J87" s="12">
        <v>174872</v>
      </c>
      <c r="K87" s="13" t="s">
        <v>978</v>
      </c>
      <c r="L87" s="14" t="s">
        <v>47</v>
      </c>
      <c r="M87" s="11" t="s">
        <v>17</v>
      </c>
      <c r="N87" s="14" t="s">
        <v>11</v>
      </c>
      <c r="O87" s="15">
        <v>5837</v>
      </c>
      <c r="P87" s="12">
        <v>1</v>
      </c>
      <c r="Q87" s="13" t="s">
        <v>101</v>
      </c>
      <c r="R87" s="16">
        <v>7080000</v>
      </c>
      <c r="S87" s="17">
        <v>6555556</v>
      </c>
      <c r="T87" s="12">
        <v>0</v>
      </c>
      <c r="U87" s="18">
        <v>0</v>
      </c>
      <c r="V87" s="19">
        <v>0</v>
      </c>
      <c r="W87" s="13" t="s">
        <v>427</v>
      </c>
      <c r="X87" s="14" t="s">
        <v>981</v>
      </c>
      <c r="Y87" s="13" t="s">
        <v>976</v>
      </c>
      <c r="Z87" s="14" t="s">
        <v>982</v>
      </c>
      <c r="AA87" s="17">
        <v>16</v>
      </c>
      <c r="AB87" s="14" t="s">
        <v>944</v>
      </c>
      <c r="AC87" s="17">
        <v>7080000</v>
      </c>
      <c r="AD87" s="14" t="s">
        <v>849</v>
      </c>
      <c r="AE87" s="17">
        <v>6555556</v>
      </c>
      <c r="AF87" s="14" t="s">
        <v>125</v>
      </c>
      <c r="AG87" s="21" t="s">
        <v>977</v>
      </c>
      <c r="AH87" s="10">
        <v>5093679</v>
      </c>
      <c r="AI87" s="24" t="str">
        <f>VLOOKUP(Sales[[#This Row],[Store]],'Store lay bao  cao'!A:B,2,0)</f>
        <v>Lấy BC</v>
      </c>
      <c r="AJ87" s="24" t="str">
        <f>VLOOKUP(Sales[[#This Row],[Associate]],'Associate Status'!B:C,2,0)</f>
        <v>Active</v>
      </c>
    </row>
    <row r="88" spans="1:36" x14ac:dyDescent="0.25">
      <c r="A88" s="7">
        <v>2022</v>
      </c>
      <c r="B88" s="8">
        <v>9</v>
      </c>
      <c r="C88" s="8">
        <v>37</v>
      </c>
      <c r="D88" s="8" t="s">
        <v>51</v>
      </c>
      <c r="E88" s="8" t="s">
        <v>37</v>
      </c>
      <c r="F88" s="8" t="s">
        <v>51</v>
      </c>
      <c r="G88" s="9">
        <v>1759667</v>
      </c>
      <c r="H88" s="10">
        <v>1534000</v>
      </c>
      <c r="I88" s="11">
        <v>44815</v>
      </c>
      <c r="J88" s="12">
        <v>174885</v>
      </c>
      <c r="K88" s="13" t="s">
        <v>978</v>
      </c>
      <c r="L88" s="14" t="s">
        <v>47</v>
      </c>
      <c r="M88" s="11" t="s">
        <v>17</v>
      </c>
      <c r="N88" s="14" t="s">
        <v>11</v>
      </c>
      <c r="O88" s="15">
        <v>5837</v>
      </c>
      <c r="P88" s="12">
        <v>1</v>
      </c>
      <c r="Q88" s="13" t="s">
        <v>101</v>
      </c>
      <c r="R88" s="16">
        <v>8555000</v>
      </c>
      <c r="S88" s="17">
        <v>7921296</v>
      </c>
      <c r="T88" s="12">
        <v>0</v>
      </c>
      <c r="U88" s="18">
        <v>0</v>
      </c>
      <c r="V88" s="19">
        <v>0</v>
      </c>
      <c r="W88" s="13" t="s">
        <v>427</v>
      </c>
      <c r="X88" s="14" t="s">
        <v>949</v>
      </c>
      <c r="Y88" s="13" t="s">
        <v>976</v>
      </c>
      <c r="Z88" s="14" t="s">
        <v>983</v>
      </c>
      <c r="AA88" s="17">
        <v>16</v>
      </c>
      <c r="AB88" s="14" t="s">
        <v>224</v>
      </c>
      <c r="AC88" s="17">
        <v>8555000</v>
      </c>
      <c r="AD88" s="14" t="s">
        <v>849</v>
      </c>
      <c r="AE88" s="17">
        <v>7921296</v>
      </c>
      <c r="AF88" s="14" t="s">
        <v>125</v>
      </c>
      <c r="AG88" s="20" t="s">
        <v>977</v>
      </c>
      <c r="AH88" s="10">
        <v>6161629</v>
      </c>
      <c r="AI88" s="24" t="str">
        <f>VLOOKUP(Sales[[#This Row],[Store]],'Store lay bao  cao'!A:B,2,0)</f>
        <v>Lấy BC</v>
      </c>
      <c r="AJ88" s="24" t="str">
        <f>VLOOKUP(Sales[[#This Row],[Associate]],'Associate Status'!B:C,2,0)</f>
        <v>Active</v>
      </c>
    </row>
    <row r="89" spans="1:36" x14ac:dyDescent="0.25">
      <c r="A89" s="7">
        <v>2022</v>
      </c>
      <c r="B89" s="8">
        <v>9</v>
      </c>
      <c r="C89" s="8">
        <v>40</v>
      </c>
      <c r="D89" s="8" t="s">
        <v>51</v>
      </c>
      <c r="E89" s="8" t="s">
        <v>37</v>
      </c>
      <c r="F89" s="8" t="s">
        <v>51</v>
      </c>
      <c r="G89" s="9">
        <v>4568365</v>
      </c>
      <c r="H89" s="10">
        <v>3982500</v>
      </c>
      <c r="I89" s="11">
        <v>44831</v>
      </c>
      <c r="J89" s="12">
        <v>174860</v>
      </c>
      <c r="K89" s="13" t="s">
        <v>986</v>
      </c>
      <c r="L89" s="14" t="s">
        <v>47</v>
      </c>
      <c r="M89" s="11" t="s">
        <v>17</v>
      </c>
      <c r="N89" s="14" t="s">
        <v>11</v>
      </c>
      <c r="O89" s="15">
        <v>5883</v>
      </c>
      <c r="P89" s="12">
        <v>1</v>
      </c>
      <c r="Q89" s="13" t="s">
        <v>101</v>
      </c>
      <c r="R89" s="16">
        <v>22567500</v>
      </c>
      <c r="S89" s="17">
        <v>20895833</v>
      </c>
      <c r="T89" s="12">
        <v>10</v>
      </c>
      <c r="U89" s="18">
        <v>2321759</v>
      </c>
      <c r="V89" s="19">
        <v>2507500</v>
      </c>
      <c r="W89" s="13" t="s">
        <v>140</v>
      </c>
      <c r="X89" s="14" t="s">
        <v>932</v>
      </c>
      <c r="Y89" s="13" t="s">
        <v>208</v>
      </c>
      <c r="Z89" s="14" t="s">
        <v>987</v>
      </c>
      <c r="AA89" s="17">
        <v>16</v>
      </c>
      <c r="AB89" s="14" t="s">
        <v>161</v>
      </c>
      <c r="AC89" s="17">
        <v>25075000</v>
      </c>
      <c r="AD89" s="14" t="s">
        <v>849</v>
      </c>
      <c r="AE89" s="17">
        <v>23217593</v>
      </c>
      <c r="AF89" s="14" t="s">
        <v>846</v>
      </c>
      <c r="AG89" s="21" t="s">
        <v>290</v>
      </c>
      <c r="AH89" s="10">
        <v>16327468</v>
      </c>
      <c r="AI89" s="24" t="str">
        <f>VLOOKUP(Sales[[#This Row],[Store]],'Store lay bao  cao'!A:B,2,0)</f>
        <v>Lấy BC</v>
      </c>
      <c r="AJ89" s="24" t="str">
        <f>VLOOKUP(Sales[[#This Row],[Associate]],'Associate Status'!B:C,2,0)</f>
        <v>Active</v>
      </c>
    </row>
    <row r="90" spans="1:36" x14ac:dyDescent="0.25">
      <c r="A90" s="7">
        <v>2022</v>
      </c>
      <c r="B90" s="8">
        <v>9</v>
      </c>
      <c r="C90" s="8">
        <v>40</v>
      </c>
      <c r="D90" s="8" t="s">
        <v>51</v>
      </c>
      <c r="E90" s="8" t="s">
        <v>34</v>
      </c>
      <c r="F90" s="8" t="s">
        <v>51</v>
      </c>
      <c r="G90" s="9">
        <v>609116</v>
      </c>
      <c r="H90" s="10">
        <v>531000</v>
      </c>
      <c r="I90" s="11">
        <v>44834</v>
      </c>
      <c r="J90" s="12">
        <v>174908</v>
      </c>
      <c r="K90" s="13" t="s">
        <v>988</v>
      </c>
      <c r="L90" s="14" t="s">
        <v>47</v>
      </c>
      <c r="M90" s="11" t="s">
        <v>17</v>
      </c>
      <c r="N90" s="14" t="s">
        <v>11</v>
      </c>
      <c r="O90" s="15">
        <v>5895</v>
      </c>
      <c r="P90" s="12">
        <v>1</v>
      </c>
      <c r="Q90" s="13" t="s">
        <v>101</v>
      </c>
      <c r="R90" s="16">
        <v>2802500</v>
      </c>
      <c r="S90" s="17">
        <v>2594907</v>
      </c>
      <c r="T90" s="12">
        <v>5</v>
      </c>
      <c r="U90" s="18">
        <v>136574</v>
      </c>
      <c r="V90" s="19">
        <v>147500</v>
      </c>
      <c r="W90" s="13" t="s">
        <v>140</v>
      </c>
      <c r="X90" s="14" t="s">
        <v>950</v>
      </c>
      <c r="Y90" s="13" t="s">
        <v>297</v>
      </c>
      <c r="Z90" s="14" t="s">
        <v>989</v>
      </c>
      <c r="AA90" s="17">
        <v>20</v>
      </c>
      <c r="AB90" s="14" t="s">
        <v>194</v>
      </c>
      <c r="AC90" s="17">
        <v>2950000</v>
      </c>
      <c r="AD90" s="14" t="s">
        <v>849</v>
      </c>
      <c r="AE90" s="17">
        <v>2731481</v>
      </c>
      <c r="AF90" s="14" t="s">
        <v>119</v>
      </c>
      <c r="AG90" s="20" t="s">
        <v>298</v>
      </c>
      <c r="AH90" s="10">
        <v>1985791</v>
      </c>
      <c r="AI90" s="24" t="str">
        <f>VLOOKUP(Sales[[#This Row],[Store]],'Store lay bao  cao'!A:B,2,0)</f>
        <v>Lấy BC</v>
      </c>
      <c r="AJ90" s="24" t="str">
        <f>VLOOKUP(Sales[[#This Row],[Associate]],'Associate Status'!B:C,2,0)</f>
        <v>Retired</v>
      </c>
    </row>
    <row r="91" spans="1:36" x14ac:dyDescent="0.25">
      <c r="A91" s="7">
        <v>2022</v>
      </c>
      <c r="B91" s="8">
        <v>10</v>
      </c>
      <c r="C91" s="8">
        <v>43</v>
      </c>
      <c r="D91" s="8" t="s">
        <v>51</v>
      </c>
      <c r="E91" s="8" t="s">
        <v>37</v>
      </c>
      <c r="F91" s="8" t="s">
        <v>51</v>
      </c>
      <c r="G91" s="9">
        <v>1759667</v>
      </c>
      <c r="H91" s="10">
        <v>1534000</v>
      </c>
      <c r="I91" s="11">
        <v>44854</v>
      </c>
      <c r="J91" s="12">
        <v>174882</v>
      </c>
      <c r="K91" s="13" t="s">
        <v>319</v>
      </c>
      <c r="L91" s="14" t="s">
        <v>47</v>
      </c>
      <c r="M91" s="11" t="s">
        <v>15</v>
      </c>
      <c r="N91" s="14" t="s">
        <v>11</v>
      </c>
      <c r="O91" s="15">
        <v>1156</v>
      </c>
      <c r="P91" s="12">
        <v>1</v>
      </c>
      <c r="Q91" s="13" t="s">
        <v>101</v>
      </c>
      <c r="R91" s="16">
        <v>8555000</v>
      </c>
      <c r="S91" s="17">
        <v>7921296</v>
      </c>
      <c r="T91" s="12">
        <v>0</v>
      </c>
      <c r="U91" s="18">
        <v>0</v>
      </c>
      <c r="V91" s="19">
        <v>0</v>
      </c>
      <c r="W91" s="13" t="s">
        <v>104</v>
      </c>
      <c r="X91" s="14" t="s">
        <v>992</v>
      </c>
      <c r="Y91" s="13" t="s">
        <v>282</v>
      </c>
      <c r="Z91" s="14" t="s">
        <v>935</v>
      </c>
      <c r="AA91" s="17">
        <v>15</v>
      </c>
      <c r="AB91" s="14" t="s">
        <v>851</v>
      </c>
      <c r="AC91" s="17">
        <v>8555000</v>
      </c>
      <c r="AD91" s="14" t="s">
        <v>849</v>
      </c>
      <c r="AE91" s="17">
        <v>7921296</v>
      </c>
      <c r="AF91" s="14" t="s">
        <v>112</v>
      </c>
      <c r="AG91" s="21" t="s">
        <v>283</v>
      </c>
      <c r="AH91" s="10">
        <v>6161629</v>
      </c>
      <c r="AI91" s="24" t="str">
        <f>VLOOKUP(Sales[[#This Row],[Store]],'Store lay bao  cao'!A:B,2,0)</f>
        <v>Lấy BC</v>
      </c>
      <c r="AJ91" s="24" t="str">
        <f>VLOOKUP(Sales[[#This Row],[Associate]],'Associate Status'!B:C,2,0)</f>
        <v>Retired</v>
      </c>
    </row>
    <row r="92" spans="1:36" x14ac:dyDescent="0.25">
      <c r="A92" s="7">
        <v>2022</v>
      </c>
      <c r="B92" s="8">
        <v>11</v>
      </c>
      <c r="C92" s="8">
        <v>45</v>
      </c>
      <c r="D92" s="8" t="s">
        <v>51</v>
      </c>
      <c r="E92" s="8" t="s">
        <v>34</v>
      </c>
      <c r="F92" s="8" t="s">
        <v>51</v>
      </c>
      <c r="G92" s="9">
        <v>791850</v>
      </c>
      <c r="H92" s="10">
        <v>690300</v>
      </c>
      <c r="I92" s="11">
        <v>44867</v>
      </c>
      <c r="J92" s="12">
        <v>174905</v>
      </c>
      <c r="K92" s="13" t="s">
        <v>323</v>
      </c>
      <c r="L92" s="14" t="s">
        <v>47</v>
      </c>
      <c r="M92" s="11" t="s">
        <v>15</v>
      </c>
      <c r="N92" s="14" t="s">
        <v>11</v>
      </c>
      <c r="O92" s="15">
        <v>1210</v>
      </c>
      <c r="P92" s="12">
        <v>1</v>
      </c>
      <c r="Q92" s="13" t="s">
        <v>144</v>
      </c>
      <c r="R92" s="16">
        <v>3835000</v>
      </c>
      <c r="S92" s="17">
        <v>3550926</v>
      </c>
      <c r="T92" s="12">
        <v>0</v>
      </c>
      <c r="U92" s="18">
        <v>0</v>
      </c>
      <c r="V92" s="19">
        <v>0</v>
      </c>
      <c r="W92" s="13" t="s">
        <v>104</v>
      </c>
      <c r="X92" s="14" t="s">
        <v>993</v>
      </c>
      <c r="Y92" s="13" t="s">
        <v>150</v>
      </c>
      <c r="Z92" s="14" t="s">
        <v>951</v>
      </c>
      <c r="AA92" s="17">
        <v>16</v>
      </c>
      <c r="AB92" s="14" t="s">
        <v>161</v>
      </c>
      <c r="AC92" s="17">
        <v>3835000</v>
      </c>
      <c r="AD92" s="14" t="s">
        <v>849</v>
      </c>
      <c r="AE92" s="17">
        <v>3550926</v>
      </c>
      <c r="AF92" s="14" t="s">
        <v>109</v>
      </c>
      <c r="AG92" s="20" t="s">
        <v>151</v>
      </c>
      <c r="AH92" s="10">
        <v>2759076</v>
      </c>
      <c r="AI92" s="24" t="str">
        <f>VLOOKUP(Sales[[#This Row],[Store]],'Store lay bao  cao'!A:B,2,0)</f>
        <v>Lấy BC</v>
      </c>
      <c r="AJ92" s="24" t="str">
        <f>VLOOKUP(Sales[[#This Row],[Associate]],'Associate Status'!B:C,2,0)</f>
        <v>Active</v>
      </c>
    </row>
    <row r="93" spans="1:36" x14ac:dyDescent="0.25">
      <c r="A93" s="7">
        <v>2022</v>
      </c>
      <c r="B93" s="8">
        <v>11</v>
      </c>
      <c r="C93" s="8">
        <v>48</v>
      </c>
      <c r="D93" s="8" t="s">
        <v>51</v>
      </c>
      <c r="E93" s="8" t="s">
        <v>37</v>
      </c>
      <c r="F93" s="8" t="s">
        <v>51</v>
      </c>
      <c r="G93" s="9">
        <v>1759667</v>
      </c>
      <c r="H93" s="10">
        <v>1534000</v>
      </c>
      <c r="I93" s="11">
        <v>44886</v>
      </c>
      <c r="J93" s="12">
        <v>174881</v>
      </c>
      <c r="K93" s="13" t="s">
        <v>999</v>
      </c>
      <c r="L93" s="14" t="s">
        <v>47</v>
      </c>
      <c r="M93" s="11" t="s">
        <v>17</v>
      </c>
      <c r="N93" s="14" t="s">
        <v>11</v>
      </c>
      <c r="O93" s="15">
        <v>6069</v>
      </c>
      <c r="P93" s="12">
        <v>1</v>
      </c>
      <c r="Q93" s="13" t="s">
        <v>101</v>
      </c>
      <c r="R93" s="16">
        <v>8555000</v>
      </c>
      <c r="S93" s="17">
        <v>7921296</v>
      </c>
      <c r="T93" s="12">
        <v>0</v>
      </c>
      <c r="U93" s="18">
        <v>0</v>
      </c>
      <c r="V93" s="19">
        <v>0</v>
      </c>
      <c r="W93" s="13" t="s">
        <v>140</v>
      </c>
      <c r="X93" s="14" t="s">
        <v>992</v>
      </c>
      <c r="Y93" s="13" t="s">
        <v>103</v>
      </c>
      <c r="Z93" s="14" t="s">
        <v>935</v>
      </c>
      <c r="AA93" s="17">
        <v>19</v>
      </c>
      <c r="AB93" s="14" t="s">
        <v>194</v>
      </c>
      <c r="AC93" s="17">
        <v>8555000</v>
      </c>
      <c r="AD93" s="14" t="s">
        <v>849</v>
      </c>
      <c r="AE93" s="17">
        <v>7921296</v>
      </c>
      <c r="AF93" s="14" t="s">
        <v>846</v>
      </c>
      <c r="AG93" s="21"/>
      <c r="AH93" s="10">
        <v>6161629</v>
      </c>
      <c r="AI93" s="24" t="str">
        <f>VLOOKUP(Sales[[#This Row],[Store]],'Store lay bao  cao'!A:B,2,0)</f>
        <v>Lấy BC</v>
      </c>
      <c r="AJ93" s="24" t="str">
        <f>VLOOKUP(Sales[[#This Row],[Associate]],'Associate Status'!B:C,2,0)</f>
        <v>Active</v>
      </c>
    </row>
    <row r="94" spans="1:36" x14ac:dyDescent="0.25">
      <c r="A94" s="7">
        <v>2022</v>
      </c>
      <c r="B94" s="8">
        <v>11</v>
      </c>
      <c r="C94" s="8">
        <v>48</v>
      </c>
      <c r="D94" s="8" t="s">
        <v>51</v>
      </c>
      <c r="E94" s="8" t="s">
        <v>37</v>
      </c>
      <c r="F94" s="8" t="s">
        <v>51</v>
      </c>
      <c r="G94" s="9">
        <v>5143641</v>
      </c>
      <c r="H94" s="10">
        <v>4484000</v>
      </c>
      <c r="I94" s="11">
        <v>44890</v>
      </c>
      <c r="J94" s="12">
        <v>174857</v>
      </c>
      <c r="K94" s="13" t="s">
        <v>327</v>
      </c>
      <c r="L94" s="14" t="s">
        <v>47</v>
      </c>
      <c r="M94" s="11" t="s">
        <v>15</v>
      </c>
      <c r="N94" s="14" t="s">
        <v>11</v>
      </c>
      <c r="O94" s="15">
        <v>1316</v>
      </c>
      <c r="P94" s="12">
        <v>1</v>
      </c>
      <c r="Q94" s="13" t="s">
        <v>101</v>
      </c>
      <c r="R94" s="16">
        <v>25089750</v>
      </c>
      <c r="S94" s="17">
        <v>23231250</v>
      </c>
      <c r="T94" s="12">
        <v>10</v>
      </c>
      <c r="U94" s="18">
        <v>2581250</v>
      </c>
      <c r="V94" s="19">
        <v>2787750</v>
      </c>
      <c r="W94" s="13" t="s">
        <v>104</v>
      </c>
      <c r="X94" s="14" t="s">
        <v>932</v>
      </c>
      <c r="Y94" s="13" t="s">
        <v>165</v>
      </c>
      <c r="Z94" s="14" t="s">
        <v>1000</v>
      </c>
      <c r="AA94" s="17">
        <v>12</v>
      </c>
      <c r="AB94" s="14" t="s">
        <v>607</v>
      </c>
      <c r="AC94" s="17">
        <v>27877500</v>
      </c>
      <c r="AD94" s="14" t="s">
        <v>849</v>
      </c>
      <c r="AE94" s="17">
        <v>25812500</v>
      </c>
      <c r="AF94" s="14" t="s">
        <v>2594</v>
      </c>
      <c r="AG94" s="20" t="s">
        <v>166</v>
      </c>
      <c r="AH94" s="10">
        <v>18087609</v>
      </c>
      <c r="AI94" s="24" t="str">
        <f>VLOOKUP(Sales[[#This Row],[Store]],'Store lay bao  cao'!A:B,2,0)</f>
        <v>Lấy BC</v>
      </c>
      <c r="AJ94" s="24" t="e">
        <f>VLOOKUP(Sales[[#This Row],[Associate]],'Associate Status'!B:C,2,0)</f>
        <v>#N/A</v>
      </c>
    </row>
    <row r="95" spans="1:36" x14ac:dyDescent="0.25">
      <c r="A95" s="7">
        <v>2022</v>
      </c>
      <c r="B95" s="8">
        <v>11</v>
      </c>
      <c r="C95" s="8">
        <v>48</v>
      </c>
      <c r="D95" s="8" t="s">
        <v>20</v>
      </c>
      <c r="E95" s="8" t="s">
        <v>12</v>
      </c>
      <c r="F95" s="8" t="s">
        <v>20</v>
      </c>
      <c r="G95" s="9">
        <v>4197600</v>
      </c>
      <c r="H95" s="10">
        <v>4197600</v>
      </c>
      <c r="I95" s="11">
        <v>44890</v>
      </c>
      <c r="J95" s="12">
        <v>37092</v>
      </c>
      <c r="K95" s="13" t="s">
        <v>328</v>
      </c>
      <c r="L95" s="14" t="s">
        <v>19</v>
      </c>
      <c r="M95" s="11" t="s">
        <v>15</v>
      </c>
      <c r="N95" s="14" t="s">
        <v>11</v>
      </c>
      <c r="O95" s="15">
        <v>1330</v>
      </c>
      <c r="P95" s="12">
        <v>1</v>
      </c>
      <c r="Q95" s="13" t="s">
        <v>144</v>
      </c>
      <c r="R95" s="16">
        <v>15700000</v>
      </c>
      <c r="S95" s="17">
        <v>14537037</v>
      </c>
      <c r="T95" s="12">
        <v>0</v>
      </c>
      <c r="U95" s="18">
        <v>0</v>
      </c>
      <c r="V95" s="19">
        <v>0</v>
      </c>
      <c r="W95" s="13" t="s">
        <v>104</v>
      </c>
      <c r="X95" s="14" t="s">
        <v>1001</v>
      </c>
      <c r="Y95" s="13" t="s">
        <v>225</v>
      </c>
      <c r="Z95" s="14" t="s">
        <v>1002</v>
      </c>
      <c r="AA95" s="17">
        <v>15</v>
      </c>
      <c r="AB95" s="14" t="s">
        <v>220</v>
      </c>
      <c r="AC95" s="17">
        <v>15700000</v>
      </c>
      <c r="AD95" s="14">
        <v>11</v>
      </c>
      <c r="AE95" s="17">
        <v>14537037</v>
      </c>
      <c r="AF95" s="14" t="s">
        <v>106</v>
      </c>
      <c r="AG95" s="21" t="s">
        <v>463</v>
      </c>
      <c r="AH95" s="10">
        <v>10339437</v>
      </c>
      <c r="AI95" s="24" t="str">
        <f>VLOOKUP(Sales[[#This Row],[Store]],'Store lay bao  cao'!A:B,2,0)</f>
        <v>Lấy BC</v>
      </c>
      <c r="AJ95" s="24" t="str">
        <f>VLOOKUP(Sales[[#This Row],[Associate]],'Associate Status'!B:C,2,0)</f>
        <v>Active</v>
      </c>
    </row>
    <row r="96" spans="1:36" x14ac:dyDescent="0.25">
      <c r="A96" s="7">
        <v>2022</v>
      </c>
      <c r="B96" s="8">
        <v>12</v>
      </c>
      <c r="C96" s="8">
        <v>51</v>
      </c>
      <c r="D96" s="8" t="s">
        <v>52</v>
      </c>
      <c r="E96" s="8" t="s">
        <v>34</v>
      </c>
      <c r="F96" s="8" t="s">
        <v>52</v>
      </c>
      <c r="G96" s="9">
        <v>95851538</v>
      </c>
      <c r="H96" s="10">
        <v>110880000</v>
      </c>
      <c r="I96" s="11">
        <v>44912</v>
      </c>
      <c r="J96" s="12">
        <v>180390</v>
      </c>
      <c r="K96" s="13" t="s">
        <v>1003</v>
      </c>
      <c r="L96" s="14" t="s">
        <v>55</v>
      </c>
      <c r="M96" s="11" t="s">
        <v>17</v>
      </c>
      <c r="N96" s="14" t="s">
        <v>11</v>
      </c>
      <c r="O96" s="15">
        <v>6209</v>
      </c>
      <c r="P96" s="12">
        <v>1</v>
      </c>
      <c r="Q96" s="13" t="s">
        <v>110</v>
      </c>
      <c r="R96" s="16">
        <v>218500000</v>
      </c>
      <c r="S96" s="17">
        <v>202314815</v>
      </c>
      <c r="T96" s="12">
        <v>5</v>
      </c>
      <c r="U96" s="18">
        <v>10648148</v>
      </c>
      <c r="V96" s="19">
        <v>11500000</v>
      </c>
      <c r="W96" s="13" t="s">
        <v>140</v>
      </c>
      <c r="X96" s="14" t="s">
        <v>1004</v>
      </c>
      <c r="Y96" s="13" t="s">
        <v>293</v>
      </c>
      <c r="Z96" s="14" t="s">
        <v>1005</v>
      </c>
      <c r="AA96" s="17">
        <v>15</v>
      </c>
      <c r="AB96" s="14" t="s">
        <v>1006</v>
      </c>
      <c r="AC96" s="17">
        <v>230000000</v>
      </c>
      <c r="AD96" s="14" t="s">
        <v>893</v>
      </c>
      <c r="AE96" s="17">
        <v>212962963</v>
      </c>
      <c r="AF96" s="14" t="s">
        <v>129</v>
      </c>
      <c r="AG96" s="20" t="s">
        <v>294</v>
      </c>
      <c r="AH96" s="10">
        <v>106463277</v>
      </c>
      <c r="AI96" s="24" t="str">
        <f>VLOOKUP(Sales[[#This Row],[Store]],'Store lay bao  cao'!A:B,2,0)</f>
        <v>Lấy BC</v>
      </c>
      <c r="AJ96" s="24" t="str">
        <f>VLOOKUP(Sales[[#This Row],[Associate]],'Associate Status'!B:C,2,0)</f>
        <v>Active</v>
      </c>
    </row>
    <row r="97" spans="1:36" x14ac:dyDescent="0.25">
      <c r="A97" s="7">
        <v>2022</v>
      </c>
      <c r="B97" s="8">
        <v>12</v>
      </c>
      <c r="C97" s="8">
        <v>51</v>
      </c>
      <c r="D97" s="8" t="s">
        <v>51</v>
      </c>
      <c r="E97" s="8" t="s">
        <v>37</v>
      </c>
      <c r="F97" s="8" t="s">
        <v>51</v>
      </c>
      <c r="G97" s="9">
        <v>1336670</v>
      </c>
      <c r="H97" s="10">
        <v>1165250</v>
      </c>
      <c r="I97" s="11">
        <v>44912</v>
      </c>
      <c r="J97" s="12">
        <v>174874</v>
      </c>
      <c r="K97" s="13" t="s">
        <v>560</v>
      </c>
      <c r="L97" s="14" t="s">
        <v>47</v>
      </c>
      <c r="M97" s="11" t="s">
        <v>21</v>
      </c>
      <c r="N97" s="14" t="s">
        <v>11</v>
      </c>
      <c r="O97" s="15">
        <v>2296</v>
      </c>
      <c r="P97" s="12">
        <v>1</v>
      </c>
      <c r="Q97" s="13" t="s">
        <v>101</v>
      </c>
      <c r="R97" s="16">
        <v>6490000</v>
      </c>
      <c r="S97" s="17">
        <v>6009259</v>
      </c>
      <c r="T97" s="12">
        <v>0</v>
      </c>
      <c r="U97" s="18">
        <v>0</v>
      </c>
      <c r="V97" s="19">
        <v>0</v>
      </c>
      <c r="W97" s="13" t="s">
        <v>160</v>
      </c>
      <c r="X97" s="14" t="s">
        <v>1007</v>
      </c>
      <c r="Y97" s="13" t="s">
        <v>922</v>
      </c>
      <c r="Z97" s="14" t="s">
        <v>850</v>
      </c>
      <c r="AA97" s="17">
        <v>10</v>
      </c>
      <c r="AB97" s="14" t="s">
        <v>944</v>
      </c>
      <c r="AC97" s="17">
        <v>6490000</v>
      </c>
      <c r="AD97" s="14" t="s">
        <v>849</v>
      </c>
      <c r="AE97" s="17">
        <v>6009259</v>
      </c>
      <c r="AF97" s="14" t="s">
        <v>379</v>
      </c>
      <c r="AG97" s="21" t="s">
        <v>923</v>
      </c>
      <c r="AH97" s="10">
        <v>4672589</v>
      </c>
      <c r="AI97" s="24" t="str">
        <f>VLOOKUP(Sales[[#This Row],[Store]],'Store lay bao  cao'!A:B,2,0)</f>
        <v>Lấy BC</v>
      </c>
      <c r="AJ97" s="24" t="str">
        <f>VLOOKUP(Sales[[#This Row],[Associate]],'Associate Status'!B:C,2,0)</f>
        <v>Retired</v>
      </c>
    </row>
    <row r="98" spans="1:36" x14ac:dyDescent="0.25">
      <c r="A98" s="7">
        <v>2022</v>
      </c>
      <c r="B98" s="8">
        <v>12</v>
      </c>
      <c r="C98" s="8">
        <v>51</v>
      </c>
      <c r="D98" s="8" t="s">
        <v>51</v>
      </c>
      <c r="E98" s="8" t="s">
        <v>37</v>
      </c>
      <c r="F98" s="8" t="s">
        <v>51</v>
      </c>
      <c r="G98" s="9">
        <v>1218231</v>
      </c>
      <c r="H98" s="10">
        <v>1062000</v>
      </c>
      <c r="I98" s="11">
        <v>44912</v>
      </c>
      <c r="J98" s="12">
        <v>174873</v>
      </c>
      <c r="K98" s="13" t="s">
        <v>560</v>
      </c>
      <c r="L98" s="14" t="s">
        <v>47</v>
      </c>
      <c r="M98" s="11" t="s">
        <v>21</v>
      </c>
      <c r="N98" s="14" t="s">
        <v>11</v>
      </c>
      <c r="O98" s="15">
        <v>2296</v>
      </c>
      <c r="P98" s="12">
        <v>1</v>
      </c>
      <c r="Q98" s="13" t="s">
        <v>101</v>
      </c>
      <c r="R98" s="16">
        <v>5900000</v>
      </c>
      <c r="S98" s="17">
        <v>5462963</v>
      </c>
      <c r="T98" s="12">
        <v>0</v>
      </c>
      <c r="U98" s="18">
        <v>0</v>
      </c>
      <c r="V98" s="19">
        <v>0</v>
      </c>
      <c r="W98" s="13" t="s">
        <v>160</v>
      </c>
      <c r="X98" s="14" t="s">
        <v>1008</v>
      </c>
      <c r="Y98" s="13" t="s">
        <v>922</v>
      </c>
      <c r="Z98" s="14" t="s">
        <v>1009</v>
      </c>
      <c r="AA98" s="17">
        <v>10</v>
      </c>
      <c r="AB98" s="14" t="s">
        <v>607</v>
      </c>
      <c r="AC98" s="17">
        <v>5900000</v>
      </c>
      <c r="AD98" s="14" t="s">
        <v>849</v>
      </c>
      <c r="AE98" s="17">
        <v>5462963</v>
      </c>
      <c r="AF98" s="14" t="s">
        <v>379</v>
      </c>
      <c r="AG98" s="20" t="s">
        <v>923</v>
      </c>
      <c r="AH98" s="10">
        <v>4244732</v>
      </c>
      <c r="AI98" s="24" t="str">
        <f>VLOOKUP(Sales[[#This Row],[Store]],'Store lay bao  cao'!A:B,2,0)</f>
        <v>Lấy BC</v>
      </c>
      <c r="AJ98" s="24" t="str">
        <f>VLOOKUP(Sales[[#This Row],[Associate]],'Associate Status'!B:C,2,0)</f>
        <v>Retired</v>
      </c>
    </row>
    <row r="99" spans="1:36" x14ac:dyDescent="0.25">
      <c r="A99" s="7">
        <v>2022</v>
      </c>
      <c r="B99" s="8">
        <v>12</v>
      </c>
      <c r="C99" s="8">
        <v>51</v>
      </c>
      <c r="D99" s="8" t="s">
        <v>51</v>
      </c>
      <c r="E99" s="8" t="s">
        <v>37</v>
      </c>
      <c r="F99" s="8" t="s">
        <v>51</v>
      </c>
      <c r="G99" s="9">
        <v>1150552</v>
      </c>
      <c r="H99" s="10">
        <v>1003000</v>
      </c>
      <c r="I99" s="11">
        <v>44913</v>
      </c>
      <c r="J99" s="12">
        <v>174864</v>
      </c>
      <c r="K99" s="13" t="s">
        <v>561</v>
      </c>
      <c r="L99" s="14" t="s">
        <v>47</v>
      </c>
      <c r="M99" s="11" t="s">
        <v>21</v>
      </c>
      <c r="N99" s="14" t="s">
        <v>11</v>
      </c>
      <c r="O99" s="15">
        <v>2303</v>
      </c>
      <c r="P99" s="12">
        <v>1</v>
      </c>
      <c r="Q99" s="13" t="s">
        <v>101</v>
      </c>
      <c r="R99" s="16">
        <v>5605000</v>
      </c>
      <c r="S99" s="17">
        <v>5189815</v>
      </c>
      <c r="T99" s="12">
        <v>0</v>
      </c>
      <c r="U99" s="18">
        <v>0</v>
      </c>
      <c r="V99" s="19">
        <v>0</v>
      </c>
      <c r="W99" s="13" t="s">
        <v>160</v>
      </c>
      <c r="X99" s="14" t="s">
        <v>949</v>
      </c>
      <c r="Y99" s="13" t="s">
        <v>616</v>
      </c>
      <c r="Z99" s="14" t="s">
        <v>1010</v>
      </c>
      <c r="AA99" s="17">
        <v>11</v>
      </c>
      <c r="AB99" s="14" t="s">
        <v>224</v>
      </c>
      <c r="AC99" s="17">
        <v>5605000</v>
      </c>
      <c r="AD99" s="14" t="s">
        <v>849</v>
      </c>
      <c r="AE99" s="17">
        <v>5189815</v>
      </c>
      <c r="AF99" s="14" t="s">
        <v>379</v>
      </c>
      <c r="AG99" s="21" t="s">
        <v>617</v>
      </c>
      <c r="AH99" s="10">
        <v>4039263</v>
      </c>
      <c r="AI99" s="24" t="str">
        <f>VLOOKUP(Sales[[#This Row],[Store]],'Store lay bao  cao'!A:B,2,0)</f>
        <v>Lấy BC</v>
      </c>
      <c r="AJ99" s="24" t="str">
        <f>VLOOKUP(Sales[[#This Row],[Associate]],'Associate Status'!B:C,2,0)</f>
        <v>Retired</v>
      </c>
    </row>
    <row r="100" spans="1:36" x14ac:dyDescent="0.25">
      <c r="A100" s="7">
        <v>2022</v>
      </c>
      <c r="B100" s="8">
        <v>12</v>
      </c>
      <c r="C100" s="8">
        <v>52</v>
      </c>
      <c r="D100" s="8" t="s">
        <v>52</v>
      </c>
      <c r="E100" s="8" t="s">
        <v>43</v>
      </c>
      <c r="F100" s="8" t="s">
        <v>52</v>
      </c>
      <c r="G100" s="9">
        <v>71305867</v>
      </c>
      <c r="H100" s="10">
        <v>82600000</v>
      </c>
      <c r="I100" s="11">
        <v>44915</v>
      </c>
      <c r="J100" s="12">
        <v>180402</v>
      </c>
      <c r="K100" s="13" t="s">
        <v>1011</v>
      </c>
      <c r="L100" s="14" t="s">
        <v>55</v>
      </c>
      <c r="M100" s="11" t="s">
        <v>17</v>
      </c>
      <c r="N100" s="14" t="s">
        <v>11</v>
      </c>
      <c r="O100" s="15">
        <v>6222</v>
      </c>
      <c r="P100" s="12">
        <v>1</v>
      </c>
      <c r="Q100" s="13" t="s">
        <v>144</v>
      </c>
      <c r="R100" s="16">
        <v>165000600</v>
      </c>
      <c r="S100" s="17">
        <v>152778333</v>
      </c>
      <c r="T100" s="12">
        <v>8.33</v>
      </c>
      <c r="U100" s="18">
        <v>13888333</v>
      </c>
      <c r="V100" s="19">
        <v>14999400</v>
      </c>
      <c r="W100" s="13" t="s">
        <v>427</v>
      </c>
      <c r="X100" s="14" t="s">
        <v>1012</v>
      </c>
      <c r="Y100" s="13" t="s">
        <v>261</v>
      </c>
      <c r="Z100" s="14" t="s">
        <v>1013</v>
      </c>
      <c r="AA100" s="17">
        <v>16</v>
      </c>
      <c r="AB100" s="14" t="s">
        <v>1014</v>
      </c>
      <c r="AC100" s="17">
        <v>180000000</v>
      </c>
      <c r="AD100" s="14" t="s">
        <v>893</v>
      </c>
      <c r="AE100" s="17">
        <v>166666667</v>
      </c>
      <c r="AF100" s="14" t="s">
        <v>113</v>
      </c>
      <c r="AG100" s="20" t="s">
        <v>262</v>
      </c>
      <c r="AH100" s="10">
        <v>81472466</v>
      </c>
      <c r="AI100" s="24" t="str">
        <f>VLOOKUP(Sales[[#This Row],[Store]],'Store lay bao  cao'!A:B,2,0)</f>
        <v>Lấy BC</v>
      </c>
      <c r="AJ100" s="24" t="str">
        <f>VLOOKUP(Sales[[#This Row],[Associate]],'Associate Status'!B:C,2,0)</f>
        <v>Active</v>
      </c>
    </row>
    <row r="101" spans="1:36" x14ac:dyDescent="0.25">
      <c r="A101" s="7">
        <v>2022</v>
      </c>
      <c r="B101" s="8">
        <v>12</v>
      </c>
      <c r="C101" s="8">
        <v>52</v>
      </c>
      <c r="D101" s="8" t="s">
        <v>52</v>
      </c>
      <c r="E101" s="8" t="s">
        <v>34</v>
      </c>
      <c r="F101" s="8" t="s">
        <v>52</v>
      </c>
      <c r="G101" s="9">
        <v>118696024</v>
      </c>
      <c r="H101" s="10">
        <v>137200000</v>
      </c>
      <c r="I101" s="11">
        <v>44915</v>
      </c>
      <c r="J101" s="12">
        <v>180400</v>
      </c>
      <c r="K101" s="13" t="s">
        <v>1015</v>
      </c>
      <c r="L101" s="14" t="s">
        <v>55</v>
      </c>
      <c r="M101" s="11" t="s">
        <v>17</v>
      </c>
      <c r="N101" s="14" t="s">
        <v>11</v>
      </c>
      <c r="O101" s="15">
        <v>6221</v>
      </c>
      <c r="P101" s="12">
        <v>1</v>
      </c>
      <c r="Q101" s="13" t="s">
        <v>175</v>
      </c>
      <c r="R101" s="16">
        <v>285000000</v>
      </c>
      <c r="S101" s="17">
        <v>263888889</v>
      </c>
      <c r="T101" s="12">
        <v>5</v>
      </c>
      <c r="U101" s="18">
        <v>13888889</v>
      </c>
      <c r="V101" s="19">
        <v>15000000</v>
      </c>
      <c r="W101" s="13" t="s">
        <v>427</v>
      </c>
      <c r="X101" s="14" t="s">
        <v>1016</v>
      </c>
      <c r="Y101" s="13" t="s">
        <v>206</v>
      </c>
      <c r="Z101" s="14" t="s">
        <v>1017</v>
      </c>
      <c r="AA101" s="17">
        <v>10</v>
      </c>
      <c r="AB101" s="14" t="s">
        <v>1018</v>
      </c>
      <c r="AC101" s="17">
        <v>300000000</v>
      </c>
      <c r="AD101" s="14" t="s">
        <v>893</v>
      </c>
      <c r="AE101" s="17">
        <v>277777778</v>
      </c>
      <c r="AF101" s="14" t="s">
        <v>113</v>
      </c>
      <c r="AG101" s="21" t="s">
        <v>207</v>
      </c>
      <c r="AH101" s="10">
        <v>145192865</v>
      </c>
      <c r="AI101" s="24" t="str">
        <f>VLOOKUP(Sales[[#This Row],[Store]],'Store lay bao  cao'!A:B,2,0)</f>
        <v>Lấy BC</v>
      </c>
      <c r="AJ101" s="24" t="str">
        <f>VLOOKUP(Sales[[#This Row],[Associate]],'Associate Status'!B:C,2,0)</f>
        <v>Active</v>
      </c>
    </row>
    <row r="102" spans="1:36" x14ac:dyDescent="0.25">
      <c r="A102" s="7">
        <v>2022</v>
      </c>
      <c r="B102" s="8">
        <v>12</v>
      </c>
      <c r="C102" s="8">
        <v>52</v>
      </c>
      <c r="D102" s="8" t="s">
        <v>52</v>
      </c>
      <c r="E102" s="8" t="s">
        <v>34</v>
      </c>
      <c r="F102" s="8" t="s">
        <v>52</v>
      </c>
      <c r="G102" s="9">
        <v>34851900</v>
      </c>
      <c r="H102" s="10">
        <v>40600000</v>
      </c>
      <c r="I102" s="11">
        <v>44916</v>
      </c>
      <c r="J102" s="12">
        <v>180403</v>
      </c>
      <c r="K102" s="13" t="s">
        <v>1019</v>
      </c>
      <c r="L102" s="14" t="s">
        <v>55</v>
      </c>
      <c r="M102" s="11" t="s">
        <v>17</v>
      </c>
      <c r="N102" s="14" t="s">
        <v>11</v>
      </c>
      <c r="O102" s="15">
        <v>6230</v>
      </c>
      <c r="P102" s="12">
        <v>1</v>
      </c>
      <c r="Q102" s="13" t="s">
        <v>101</v>
      </c>
      <c r="R102" s="16">
        <v>108004000</v>
      </c>
      <c r="S102" s="17">
        <v>100003704</v>
      </c>
      <c r="T102" s="12">
        <v>16.920000000000002</v>
      </c>
      <c r="U102" s="18">
        <v>20366667</v>
      </c>
      <c r="V102" s="19">
        <v>21996000</v>
      </c>
      <c r="W102" s="13" t="s">
        <v>427</v>
      </c>
      <c r="X102" s="14" t="s">
        <v>1020</v>
      </c>
      <c r="Y102" s="13" t="s">
        <v>261</v>
      </c>
      <c r="Z102" s="14" t="s">
        <v>1021</v>
      </c>
      <c r="AA102" s="17">
        <v>14</v>
      </c>
      <c r="AB102" s="14" t="s">
        <v>1022</v>
      </c>
      <c r="AC102" s="17">
        <v>130000000</v>
      </c>
      <c r="AD102" s="14" t="s">
        <v>893</v>
      </c>
      <c r="AE102" s="17">
        <v>120370370</v>
      </c>
      <c r="AF102" s="14" t="s">
        <v>123</v>
      </c>
      <c r="AG102" s="20" t="s">
        <v>262</v>
      </c>
      <c r="AH102" s="10">
        <v>65151804</v>
      </c>
      <c r="AI102" s="24" t="str">
        <f>VLOOKUP(Sales[[#This Row],[Store]],'Store lay bao  cao'!A:B,2,0)</f>
        <v>Lấy BC</v>
      </c>
      <c r="AJ102" s="24" t="str">
        <f>VLOOKUP(Sales[[#This Row],[Associate]],'Associate Status'!B:C,2,0)</f>
        <v>Active</v>
      </c>
    </row>
    <row r="103" spans="1:36" x14ac:dyDescent="0.25">
      <c r="A103" s="7">
        <v>2022</v>
      </c>
      <c r="B103" s="8">
        <v>12</v>
      </c>
      <c r="C103" s="8">
        <v>53</v>
      </c>
      <c r="D103" s="8" t="s">
        <v>52</v>
      </c>
      <c r="E103" s="8" t="s">
        <v>43</v>
      </c>
      <c r="F103" s="8" t="s">
        <v>52</v>
      </c>
      <c r="G103" s="9">
        <v>48218354</v>
      </c>
      <c r="H103" s="10">
        <v>56000000</v>
      </c>
      <c r="I103" s="11">
        <v>44922</v>
      </c>
      <c r="J103" s="12">
        <v>180391</v>
      </c>
      <c r="K103" s="13" t="s">
        <v>342</v>
      </c>
      <c r="L103" s="14" t="s">
        <v>55</v>
      </c>
      <c r="M103" s="11" t="s">
        <v>15</v>
      </c>
      <c r="N103" s="14" t="s">
        <v>11</v>
      </c>
      <c r="O103" s="15">
        <v>1515</v>
      </c>
      <c r="P103" s="12">
        <v>1</v>
      </c>
      <c r="Q103" s="13" t="s">
        <v>102</v>
      </c>
      <c r="R103" s="16">
        <v>130000000</v>
      </c>
      <c r="S103" s="17">
        <v>120370370</v>
      </c>
      <c r="T103" s="12">
        <v>0</v>
      </c>
      <c r="U103" s="18">
        <v>0</v>
      </c>
      <c r="V103" s="19">
        <v>0</v>
      </c>
      <c r="W103" s="13" t="s">
        <v>104</v>
      </c>
      <c r="X103" s="14" t="s">
        <v>1024</v>
      </c>
      <c r="Y103" s="13" t="s">
        <v>984</v>
      </c>
      <c r="Z103" s="14" t="s">
        <v>1025</v>
      </c>
      <c r="AA103" s="17">
        <v>10</v>
      </c>
      <c r="AB103" s="14" t="s">
        <v>1026</v>
      </c>
      <c r="AC103" s="17">
        <v>130000000</v>
      </c>
      <c r="AD103" s="14" t="s">
        <v>893</v>
      </c>
      <c r="AE103" s="17">
        <v>120370370</v>
      </c>
      <c r="AF103" s="14" t="s">
        <v>2594</v>
      </c>
      <c r="AG103" s="21" t="s">
        <v>985</v>
      </c>
      <c r="AH103" s="10">
        <v>72152016</v>
      </c>
      <c r="AI103" s="24" t="str">
        <f>VLOOKUP(Sales[[#This Row],[Store]],'Store lay bao  cao'!A:B,2,0)</f>
        <v>Lấy BC</v>
      </c>
      <c r="AJ103" s="24" t="e">
        <f>VLOOKUP(Sales[[#This Row],[Associate]],'Associate Status'!B:C,2,0)</f>
        <v>#N/A</v>
      </c>
    </row>
    <row r="104" spans="1:36" x14ac:dyDescent="0.25">
      <c r="A104" s="7">
        <v>2022</v>
      </c>
      <c r="B104" s="8">
        <v>12</v>
      </c>
      <c r="C104" s="8">
        <v>53</v>
      </c>
      <c r="D104" s="8" t="s">
        <v>52</v>
      </c>
      <c r="E104" s="8" t="s">
        <v>34</v>
      </c>
      <c r="F104" s="8" t="s">
        <v>52</v>
      </c>
      <c r="G104" s="9">
        <v>32907688</v>
      </c>
      <c r="H104" s="10">
        <v>38360000</v>
      </c>
      <c r="I104" s="11">
        <v>44922</v>
      </c>
      <c r="J104" s="12">
        <v>180393</v>
      </c>
      <c r="K104" s="13" t="s">
        <v>342</v>
      </c>
      <c r="L104" s="14" t="s">
        <v>55</v>
      </c>
      <c r="M104" s="11" t="s">
        <v>15</v>
      </c>
      <c r="N104" s="14" t="s">
        <v>11</v>
      </c>
      <c r="O104" s="15">
        <v>1515</v>
      </c>
      <c r="P104" s="12">
        <v>1</v>
      </c>
      <c r="Q104" s="13" t="s">
        <v>102</v>
      </c>
      <c r="R104" s="16">
        <v>120000000</v>
      </c>
      <c r="S104" s="17">
        <v>111111111</v>
      </c>
      <c r="T104" s="12">
        <v>0</v>
      </c>
      <c r="U104" s="18">
        <v>0</v>
      </c>
      <c r="V104" s="19">
        <v>0</v>
      </c>
      <c r="W104" s="13" t="s">
        <v>104</v>
      </c>
      <c r="X104" s="14" t="s">
        <v>1027</v>
      </c>
      <c r="Y104" s="13" t="s">
        <v>984</v>
      </c>
      <c r="Z104" s="14" t="s">
        <v>1028</v>
      </c>
      <c r="AA104" s="17">
        <v>10</v>
      </c>
      <c r="AB104" s="14" t="s">
        <v>1029</v>
      </c>
      <c r="AC104" s="17">
        <v>120000000</v>
      </c>
      <c r="AD104" s="14" t="s">
        <v>893</v>
      </c>
      <c r="AE104" s="17">
        <v>111111111</v>
      </c>
      <c r="AF104" s="14" t="s">
        <v>2594</v>
      </c>
      <c r="AG104" s="20" t="s">
        <v>985</v>
      </c>
      <c r="AH104" s="10">
        <v>78203423</v>
      </c>
      <c r="AI104" s="24" t="str">
        <f>VLOOKUP(Sales[[#This Row],[Store]],'Store lay bao  cao'!A:B,2,0)</f>
        <v>Lấy BC</v>
      </c>
      <c r="AJ104" s="24" t="e">
        <f>VLOOKUP(Sales[[#This Row],[Associate]],'Associate Status'!B:C,2,0)</f>
        <v>#N/A</v>
      </c>
    </row>
    <row r="105" spans="1:36" x14ac:dyDescent="0.25">
      <c r="A105" s="7">
        <v>2022</v>
      </c>
      <c r="B105" s="8">
        <v>12</v>
      </c>
      <c r="C105" s="8">
        <v>53</v>
      </c>
      <c r="D105" s="8" t="s">
        <v>52</v>
      </c>
      <c r="E105" s="8" t="s">
        <v>34</v>
      </c>
      <c r="F105" s="8" t="s">
        <v>52</v>
      </c>
      <c r="G105" s="9">
        <v>17205506</v>
      </c>
      <c r="H105" s="10">
        <v>20272000</v>
      </c>
      <c r="I105" s="11">
        <v>44922</v>
      </c>
      <c r="J105" s="12">
        <v>180405</v>
      </c>
      <c r="K105" s="13" t="s">
        <v>342</v>
      </c>
      <c r="L105" s="14" t="s">
        <v>55</v>
      </c>
      <c r="M105" s="11" t="s">
        <v>15</v>
      </c>
      <c r="N105" s="14" t="s">
        <v>11</v>
      </c>
      <c r="O105" s="15">
        <v>1515</v>
      </c>
      <c r="P105" s="12">
        <v>1</v>
      </c>
      <c r="Q105" s="13" t="s">
        <v>102</v>
      </c>
      <c r="R105" s="16">
        <v>70000000</v>
      </c>
      <c r="S105" s="17">
        <v>64814815</v>
      </c>
      <c r="T105" s="12">
        <v>0</v>
      </c>
      <c r="U105" s="18">
        <v>0</v>
      </c>
      <c r="V105" s="19">
        <v>0</v>
      </c>
      <c r="W105" s="13" t="s">
        <v>104</v>
      </c>
      <c r="X105" s="14" t="s">
        <v>1030</v>
      </c>
      <c r="Y105" s="13" t="s">
        <v>984</v>
      </c>
      <c r="Z105" s="14" t="s">
        <v>1031</v>
      </c>
      <c r="AA105" s="17">
        <v>10</v>
      </c>
      <c r="AB105" s="14" t="s">
        <v>1032</v>
      </c>
      <c r="AC105" s="17">
        <v>70000000</v>
      </c>
      <c r="AD105" s="14" t="s">
        <v>893</v>
      </c>
      <c r="AE105" s="17">
        <v>64814815</v>
      </c>
      <c r="AF105" s="14" t="s">
        <v>2594</v>
      </c>
      <c r="AG105" s="21" t="s">
        <v>985</v>
      </c>
      <c r="AH105" s="10">
        <v>47609309</v>
      </c>
      <c r="AI105" s="24" t="str">
        <f>VLOOKUP(Sales[[#This Row],[Store]],'Store lay bao  cao'!A:B,2,0)</f>
        <v>Lấy BC</v>
      </c>
      <c r="AJ105" s="24" t="e">
        <f>VLOOKUP(Sales[[#This Row],[Associate]],'Associate Status'!B:C,2,0)</f>
        <v>#N/A</v>
      </c>
    </row>
    <row r="106" spans="1:36" x14ac:dyDescent="0.25">
      <c r="A106" s="7">
        <v>2022</v>
      </c>
      <c r="B106" s="8">
        <v>12</v>
      </c>
      <c r="C106" s="8">
        <v>53</v>
      </c>
      <c r="D106" s="8" t="s">
        <v>52</v>
      </c>
      <c r="E106" s="8" t="s">
        <v>43</v>
      </c>
      <c r="F106" s="8" t="s">
        <v>52</v>
      </c>
      <c r="G106" s="9">
        <v>17840048</v>
      </c>
      <c r="H106" s="10">
        <v>21000000</v>
      </c>
      <c r="I106" s="11">
        <v>44923</v>
      </c>
      <c r="J106" s="12">
        <v>180404</v>
      </c>
      <c r="K106" s="13" t="s">
        <v>1033</v>
      </c>
      <c r="L106" s="14" t="s">
        <v>55</v>
      </c>
      <c r="M106" s="11" t="s">
        <v>17</v>
      </c>
      <c r="N106" s="14" t="s">
        <v>11</v>
      </c>
      <c r="O106" s="15">
        <v>6254</v>
      </c>
      <c r="P106" s="12">
        <v>1</v>
      </c>
      <c r="Q106" s="13" t="s">
        <v>110</v>
      </c>
      <c r="R106" s="16">
        <v>60000000</v>
      </c>
      <c r="S106" s="17">
        <v>55555556</v>
      </c>
      <c r="T106" s="12">
        <v>0</v>
      </c>
      <c r="U106" s="18">
        <v>0</v>
      </c>
      <c r="V106" s="19">
        <v>0</v>
      </c>
      <c r="W106" s="13" t="s">
        <v>427</v>
      </c>
      <c r="X106" s="14" t="s">
        <v>1034</v>
      </c>
      <c r="Y106" s="13" t="s">
        <v>221</v>
      </c>
      <c r="Z106" s="14" t="s">
        <v>1035</v>
      </c>
      <c r="AA106" s="17">
        <v>10</v>
      </c>
      <c r="AB106" s="14" t="s">
        <v>1036</v>
      </c>
      <c r="AC106" s="17">
        <v>60000000</v>
      </c>
      <c r="AD106" s="14" t="s">
        <v>893</v>
      </c>
      <c r="AE106" s="17">
        <v>55555556</v>
      </c>
      <c r="AF106" s="14" t="s">
        <v>113</v>
      </c>
      <c r="AG106" s="20" t="s">
        <v>222</v>
      </c>
      <c r="AH106" s="10">
        <v>37715508</v>
      </c>
      <c r="AI106" s="24" t="str">
        <f>VLOOKUP(Sales[[#This Row],[Store]],'Store lay bao  cao'!A:B,2,0)</f>
        <v>Lấy BC</v>
      </c>
      <c r="AJ106" s="24" t="str">
        <f>VLOOKUP(Sales[[#This Row],[Associate]],'Associate Status'!B:C,2,0)</f>
        <v>Active</v>
      </c>
    </row>
    <row r="107" spans="1:36" ht="51.75" x14ac:dyDescent="0.25">
      <c r="A107" s="7">
        <v>2022</v>
      </c>
      <c r="B107" s="8">
        <v>12</v>
      </c>
      <c r="C107" s="8">
        <v>53</v>
      </c>
      <c r="D107" s="8" t="s">
        <v>52</v>
      </c>
      <c r="E107" s="8" t="s">
        <v>43</v>
      </c>
      <c r="F107" s="8" t="s">
        <v>52</v>
      </c>
      <c r="G107" s="9">
        <v>-17840048</v>
      </c>
      <c r="H107" s="10">
        <v>-21000000</v>
      </c>
      <c r="I107" s="11">
        <v>44923</v>
      </c>
      <c r="J107" s="12">
        <v>180404</v>
      </c>
      <c r="K107" s="13" t="s">
        <v>1037</v>
      </c>
      <c r="L107" s="14" t="s">
        <v>55</v>
      </c>
      <c r="M107" s="11" t="s">
        <v>17</v>
      </c>
      <c r="N107" s="14" t="s">
        <v>11</v>
      </c>
      <c r="O107" s="15">
        <v>6255</v>
      </c>
      <c r="P107" s="12">
        <v>-1</v>
      </c>
      <c r="Q107" s="13" t="s">
        <v>110</v>
      </c>
      <c r="R107" s="16">
        <v>-60000000</v>
      </c>
      <c r="S107" s="17">
        <v>-55555556</v>
      </c>
      <c r="T107" s="12">
        <v>0</v>
      </c>
      <c r="U107" s="18">
        <v>0</v>
      </c>
      <c r="V107" s="19">
        <v>0</v>
      </c>
      <c r="W107" s="13" t="s">
        <v>427</v>
      </c>
      <c r="X107" s="23" t="s">
        <v>1034</v>
      </c>
      <c r="Y107" s="13" t="s">
        <v>221</v>
      </c>
      <c r="Z107" s="14" t="s">
        <v>1035</v>
      </c>
      <c r="AA107" s="17">
        <v>10</v>
      </c>
      <c r="AB107" s="14" t="s">
        <v>1036</v>
      </c>
      <c r="AC107" s="17">
        <v>-60000000</v>
      </c>
      <c r="AD107" s="14" t="s">
        <v>893</v>
      </c>
      <c r="AE107" s="17">
        <v>-55555556</v>
      </c>
      <c r="AF107" s="14" t="s">
        <v>113</v>
      </c>
      <c r="AG107" s="21" t="s">
        <v>222</v>
      </c>
      <c r="AH107" s="10">
        <v>-37715508</v>
      </c>
      <c r="AI107" s="24" t="str">
        <f>VLOOKUP(Sales[[#This Row],[Store]],'Store lay bao  cao'!A:B,2,0)</f>
        <v>Lấy BC</v>
      </c>
      <c r="AJ107" s="24" t="str">
        <f>VLOOKUP(Sales[[#This Row],[Associate]],'Associate Status'!B:C,2,0)</f>
        <v>Active</v>
      </c>
    </row>
    <row r="108" spans="1:36" ht="51.75" x14ac:dyDescent="0.25">
      <c r="A108" s="7">
        <v>2022</v>
      </c>
      <c r="B108" s="8">
        <v>12</v>
      </c>
      <c r="C108" s="8">
        <v>53</v>
      </c>
      <c r="D108" s="8" t="s">
        <v>52</v>
      </c>
      <c r="E108" s="8" t="s">
        <v>43</v>
      </c>
      <c r="F108" s="8" t="s">
        <v>52</v>
      </c>
      <c r="G108" s="9">
        <v>17840048</v>
      </c>
      <c r="H108" s="10">
        <v>21000000</v>
      </c>
      <c r="I108" s="11">
        <v>44923</v>
      </c>
      <c r="J108" s="12">
        <v>180404</v>
      </c>
      <c r="K108" s="13" t="s">
        <v>1038</v>
      </c>
      <c r="L108" s="14" t="s">
        <v>55</v>
      </c>
      <c r="M108" s="11" t="s">
        <v>17</v>
      </c>
      <c r="N108" s="14" t="s">
        <v>11</v>
      </c>
      <c r="O108" s="15">
        <v>6256</v>
      </c>
      <c r="P108" s="12">
        <v>1</v>
      </c>
      <c r="Q108" s="13" t="s">
        <v>110</v>
      </c>
      <c r="R108" s="16">
        <v>60000000</v>
      </c>
      <c r="S108" s="17">
        <v>55555556</v>
      </c>
      <c r="T108" s="12">
        <v>0</v>
      </c>
      <c r="U108" s="18">
        <v>0</v>
      </c>
      <c r="V108" s="19">
        <v>0</v>
      </c>
      <c r="W108" s="13" t="s">
        <v>427</v>
      </c>
      <c r="X108" s="23" t="s">
        <v>1034</v>
      </c>
      <c r="Y108" s="13" t="s">
        <v>221</v>
      </c>
      <c r="Z108" s="14" t="s">
        <v>1035</v>
      </c>
      <c r="AA108" s="17">
        <v>12</v>
      </c>
      <c r="AB108" s="14" t="s">
        <v>1036</v>
      </c>
      <c r="AC108" s="17">
        <v>60000000</v>
      </c>
      <c r="AD108" s="14" t="s">
        <v>893</v>
      </c>
      <c r="AE108" s="17">
        <v>55555556</v>
      </c>
      <c r="AF108" s="14" t="s">
        <v>123</v>
      </c>
      <c r="AG108" s="20" t="s">
        <v>222</v>
      </c>
      <c r="AH108" s="10">
        <v>37715508</v>
      </c>
      <c r="AI108" s="24" t="str">
        <f>VLOOKUP(Sales[[#This Row],[Store]],'Store lay bao  cao'!A:B,2,0)</f>
        <v>Lấy BC</v>
      </c>
      <c r="AJ108" s="24" t="str">
        <f>VLOOKUP(Sales[[#This Row],[Associate]],'Associate Status'!B:C,2,0)</f>
        <v>Active</v>
      </c>
    </row>
    <row r="109" spans="1:36" x14ac:dyDescent="0.25">
      <c r="A109" s="7">
        <v>2023</v>
      </c>
      <c r="B109" s="8">
        <v>1</v>
      </c>
      <c r="C109" s="8">
        <v>2</v>
      </c>
      <c r="D109" s="8" t="s">
        <v>52</v>
      </c>
      <c r="E109" s="8" t="s">
        <v>43</v>
      </c>
      <c r="F109" s="8" t="s">
        <v>52</v>
      </c>
      <c r="G109" s="9">
        <v>41504327</v>
      </c>
      <c r="H109" s="10">
        <v>37510750</v>
      </c>
      <c r="I109" s="11">
        <v>44928</v>
      </c>
      <c r="J109" s="12">
        <v>181417</v>
      </c>
      <c r="K109" s="13" t="s">
        <v>1039</v>
      </c>
      <c r="L109" s="14" t="s">
        <v>64</v>
      </c>
      <c r="M109" s="11" t="s">
        <v>17</v>
      </c>
      <c r="N109" s="14" t="s">
        <v>11</v>
      </c>
      <c r="O109" s="15">
        <v>6273</v>
      </c>
      <c r="P109" s="12">
        <v>1</v>
      </c>
      <c r="Q109" s="13" t="s">
        <v>144</v>
      </c>
      <c r="R109" s="16">
        <v>125373600</v>
      </c>
      <c r="S109" s="17">
        <v>113976000</v>
      </c>
      <c r="T109" s="12">
        <v>10</v>
      </c>
      <c r="U109" s="18">
        <v>12664000</v>
      </c>
      <c r="V109" s="19">
        <v>13930400</v>
      </c>
      <c r="W109" s="13" t="s">
        <v>427</v>
      </c>
      <c r="X109" s="14" t="s">
        <v>1040</v>
      </c>
      <c r="Y109" s="13" t="s">
        <v>316</v>
      </c>
      <c r="Z109" s="14" t="s">
        <v>1041</v>
      </c>
      <c r="AA109" s="17">
        <v>15</v>
      </c>
      <c r="AB109" s="14" t="s">
        <v>190</v>
      </c>
      <c r="AC109" s="17">
        <v>139304000</v>
      </c>
      <c r="AD109" s="14">
        <v>13</v>
      </c>
      <c r="AE109" s="17">
        <v>126640000</v>
      </c>
      <c r="AF109" s="14" t="s">
        <v>789</v>
      </c>
      <c r="AG109" s="21" t="s">
        <v>317</v>
      </c>
      <c r="AH109" s="10">
        <v>72471673</v>
      </c>
      <c r="AI109" s="24" t="str">
        <f>VLOOKUP(Sales[[#This Row],[Store]],'Store lay bao  cao'!A:B,2,0)</f>
        <v>Lấy BC</v>
      </c>
      <c r="AJ109" s="24" t="str">
        <f>VLOOKUP(Sales[[#This Row],[Associate]],'Associate Status'!B:C,2,0)</f>
        <v>Active</v>
      </c>
    </row>
    <row r="110" spans="1:36" x14ac:dyDescent="0.25">
      <c r="A110" s="7">
        <v>2023</v>
      </c>
      <c r="B110" s="8">
        <v>1</v>
      </c>
      <c r="C110" s="8">
        <v>3</v>
      </c>
      <c r="D110" s="8" t="s">
        <v>51</v>
      </c>
      <c r="E110" s="8" t="s">
        <v>37</v>
      </c>
      <c r="F110" s="8" t="s">
        <v>51</v>
      </c>
      <c r="G110" s="9">
        <v>1759667</v>
      </c>
      <c r="H110" s="10">
        <v>1534000</v>
      </c>
      <c r="I110" s="11">
        <v>44935</v>
      </c>
      <c r="J110" s="12">
        <v>174876</v>
      </c>
      <c r="K110" s="13" t="s">
        <v>648</v>
      </c>
      <c r="L110" s="14" t="s">
        <v>47</v>
      </c>
      <c r="M110" s="11" t="s">
        <v>21</v>
      </c>
      <c r="N110" s="14" t="s">
        <v>11</v>
      </c>
      <c r="O110" s="15">
        <v>2837</v>
      </c>
      <c r="P110" s="12">
        <v>1</v>
      </c>
      <c r="Q110" s="13" t="s">
        <v>101</v>
      </c>
      <c r="R110" s="16">
        <v>8555000</v>
      </c>
      <c r="S110" s="17">
        <v>7777273</v>
      </c>
      <c r="T110" s="12">
        <v>0</v>
      </c>
      <c r="U110" s="18">
        <v>0</v>
      </c>
      <c r="V110" s="19">
        <v>0</v>
      </c>
      <c r="W110" s="13" t="s">
        <v>124</v>
      </c>
      <c r="X110" s="14" t="s">
        <v>1044</v>
      </c>
      <c r="Y110" s="13" t="s">
        <v>291</v>
      </c>
      <c r="Z110" s="14" t="s">
        <v>935</v>
      </c>
      <c r="AA110" s="17">
        <v>18</v>
      </c>
      <c r="AB110" s="14" t="s">
        <v>944</v>
      </c>
      <c r="AC110" s="17">
        <v>8555000</v>
      </c>
      <c r="AD110" s="14" t="s">
        <v>849</v>
      </c>
      <c r="AE110" s="17">
        <v>7777273</v>
      </c>
      <c r="AF110" s="14" t="s">
        <v>132</v>
      </c>
      <c r="AG110" s="20" t="s">
        <v>292</v>
      </c>
      <c r="AH110" s="10">
        <v>6017606</v>
      </c>
      <c r="AI110" s="24" t="str">
        <f>VLOOKUP(Sales[[#This Row],[Store]],'Store lay bao  cao'!A:B,2,0)</f>
        <v>Lấy BC</v>
      </c>
      <c r="AJ110" s="24" t="str">
        <f>VLOOKUP(Sales[[#This Row],[Associate]],'Associate Status'!B:C,2,0)</f>
        <v>Retired</v>
      </c>
    </row>
    <row r="111" spans="1:36" x14ac:dyDescent="0.25">
      <c r="A111" s="7">
        <v>2023</v>
      </c>
      <c r="B111" s="8">
        <v>1</v>
      </c>
      <c r="C111" s="8">
        <v>5</v>
      </c>
      <c r="D111" s="8" t="s">
        <v>30</v>
      </c>
      <c r="E111" s="8" t="s">
        <v>12</v>
      </c>
      <c r="F111" s="8" t="s">
        <v>30</v>
      </c>
      <c r="G111" s="9">
        <v>26510963</v>
      </c>
      <c r="H111" s="10">
        <v>20515500</v>
      </c>
      <c r="I111" s="11">
        <v>44953</v>
      </c>
      <c r="J111" s="12">
        <v>109005</v>
      </c>
      <c r="K111" s="13" t="s">
        <v>1045</v>
      </c>
      <c r="L111" s="14" t="s">
        <v>59</v>
      </c>
      <c r="M111" s="11" t="s">
        <v>17</v>
      </c>
      <c r="N111" s="14" t="s">
        <v>11</v>
      </c>
      <c r="O111" s="15">
        <v>6392</v>
      </c>
      <c r="P111" s="12">
        <v>1</v>
      </c>
      <c r="Q111" s="13" t="s">
        <v>110</v>
      </c>
      <c r="R111" s="16">
        <v>50231250</v>
      </c>
      <c r="S111" s="17">
        <v>45664773</v>
      </c>
      <c r="T111" s="12">
        <v>5</v>
      </c>
      <c r="U111" s="18">
        <v>2403409</v>
      </c>
      <c r="V111" s="19">
        <v>2643750</v>
      </c>
      <c r="W111" s="13" t="s">
        <v>427</v>
      </c>
      <c r="X111" s="14" t="s">
        <v>258</v>
      </c>
      <c r="Y111" s="13" t="s">
        <v>295</v>
      </c>
      <c r="Z111" s="14" t="s">
        <v>259</v>
      </c>
      <c r="AA111" s="17">
        <v>17</v>
      </c>
      <c r="AB111" s="14" t="s">
        <v>173</v>
      </c>
      <c r="AC111" s="17">
        <v>52875000</v>
      </c>
      <c r="AD111" s="14">
        <v>7</v>
      </c>
      <c r="AE111" s="17">
        <v>48068182</v>
      </c>
      <c r="AF111" s="14" t="s">
        <v>145</v>
      </c>
      <c r="AG111" s="21" t="s">
        <v>296</v>
      </c>
      <c r="AH111" s="10">
        <v>19153810</v>
      </c>
      <c r="AI111" s="24" t="str">
        <f>VLOOKUP(Sales[[#This Row],[Store]],'Store lay bao  cao'!A:B,2,0)</f>
        <v>Lấy BC</v>
      </c>
      <c r="AJ111" s="24" t="str">
        <f>VLOOKUP(Sales[[#This Row],[Associate]],'Associate Status'!B:C,2,0)</f>
        <v>Retired</v>
      </c>
    </row>
    <row r="112" spans="1:36" x14ac:dyDescent="0.25">
      <c r="A112" s="7">
        <v>2023</v>
      </c>
      <c r="B112" s="8">
        <v>1</v>
      </c>
      <c r="C112" s="8">
        <v>6</v>
      </c>
      <c r="D112" s="8" t="s">
        <v>52</v>
      </c>
      <c r="E112" s="8" t="s">
        <v>43</v>
      </c>
      <c r="F112" s="8" t="s">
        <v>52</v>
      </c>
      <c r="G112" s="9">
        <v>4256645</v>
      </c>
      <c r="H112" s="10">
        <v>3834000</v>
      </c>
      <c r="I112" s="11">
        <v>44956</v>
      </c>
      <c r="J112" s="12">
        <v>182172</v>
      </c>
      <c r="K112" s="13" t="s">
        <v>1046</v>
      </c>
      <c r="L112" s="14" t="s">
        <v>50</v>
      </c>
      <c r="M112" s="11" t="s">
        <v>17</v>
      </c>
      <c r="N112" s="14" t="s">
        <v>11</v>
      </c>
      <c r="O112" s="15">
        <v>6400</v>
      </c>
      <c r="P112" s="12">
        <v>1</v>
      </c>
      <c r="Q112" s="13" t="s">
        <v>101</v>
      </c>
      <c r="R112" s="16">
        <v>12269000</v>
      </c>
      <c r="S112" s="17">
        <v>11153636</v>
      </c>
      <c r="T112" s="12">
        <v>0</v>
      </c>
      <c r="U112" s="18">
        <v>0</v>
      </c>
      <c r="V112" s="19">
        <v>0</v>
      </c>
      <c r="W112" s="13" t="s">
        <v>140</v>
      </c>
      <c r="X112" s="14" t="s">
        <v>1049</v>
      </c>
      <c r="Y112" s="13" t="s">
        <v>1047</v>
      </c>
      <c r="Z112" s="14" t="s">
        <v>1050</v>
      </c>
      <c r="AA112" s="17">
        <v>17</v>
      </c>
      <c r="AB112" s="14" t="s">
        <v>1051</v>
      </c>
      <c r="AC112" s="17">
        <v>12269000</v>
      </c>
      <c r="AD112" s="14">
        <v>12</v>
      </c>
      <c r="AE112" s="17">
        <v>11153636</v>
      </c>
      <c r="AF112" s="14" t="s">
        <v>123</v>
      </c>
      <c r="AG112" s="20" t="s">
        <v>1048</v>
      </c>
      <c r="AH112" s="10">
        <v>6896991</v>
      </c>
      <c r="AI112" s="24" t="str">
        <f>VLOOKUP(Sales[[#This Row],[Store]],'Store lay bao  cao'!A:B,2,0)</f>
        <v>Lấy BC</v>
      </c>
      <c r="AJ112" s="24" t="str">
        <f>VLOOKUP(Sales[[#This Row],[Associate]],'Associate Status'!B:C,2,0)</f>
        <v>Active</v>
      </c>
    </row>
    <row r="113" spans="1:36" x14ac:dyDescent="0.25">
      <c r="A113" s="7">
        <v>2023</v>
      </c>
      <c r="B113" s="8">
        <v>2</v>
      </c>
      <c r="C113" s="8">
        <v>6</v>
      </c>
      <c r="D113" s="8" t="s">
        <v>52</v>
      </c>
      <c r="E113" s="8" t="s">
        <v>43</v>
      </c>
      <c r="F113" s="8" t="s">
        <v>52</v>
      </c>
      <c r="G113" s="9">
        <v>4646339</v>
      </c>
      <c r="H113" s="10">
        <v>4185000</v>
      </c>
      <c r="I113" s="11">
        <v>44958</v>
      </c>
      <c r="J113" s="12">
        <v>182182</v>
      </c>
      <c r="K113" s="13" t="s">
        <v>679</v>
      </c>
      <c r="L113" s="14" t="s">
        <v>50</v>
      </c>
      <c r="M113" s="11" t="s">
        <v>21</v>
      </c>
      <c r="N113" s="14" t="s">
        <v>11</v>
      </c>
      <c r="O113" s="15">
        <v>3023</v>
      </c>
      <c r="P113" s="12">
        <v>1</v>
      </c>
      <c r="Q113" s="13" t="s">
        <v>102</v>
      </c>
      <c r="R113" s="16">
        <v>13392000</v>
      </c>
      <c r="S113" s="17">
        <v>12174545</v>
      </c>
      <c r="T113" s="12">
        <v>0</v>
      </c>
      <c r="U113" s="18">
        <v>0</v>
      </c>
      <c r="V113" s="19">
        <v>0</v>
      </c>
      <c r="W113" s="13" t="s">
        <v>160</v>
      </c>
      <c r="X113" s="14" t="s">
        <v>1052</v>
      </c>
      <c r="Y113" s="13" t="s">
        <v>130</v>
      </c>
      <c r="Z113" s="14" t="s">
        <v>1053</v>
      </c>
      <c r="AA113" s="17">
        <v>15</v>
      </c>
      <c r="AB113" s="14" t="s">
        <v>1054</v>
      </c>
      <c r="AC113" s="17">
        <v>13392000</v>
      </c>
      <c r="AD113" s="14">
        <v>12</v>
      </c>
      <c r="AE113" s="17">
        <v>12174545</v>
      </c>
      <c r="AF113" s="14" t="s">
        <v>324</v>
      </c>
      <c r="AG113" s="21" t="s">
        <v>131</v>
      </c>
      <c r="AH113" s="10">
        <v>7528206</v>
      </c>
      <c r="AI113" s="24" t="str">
        <f>VLOOKUP(Sales[[#This Row],[Store]],'Store lay bao  cao'!A:B,2,0)</f>
        <v>Lấy BC</v>
      </c>
      <c r="AJ113" s="24" t="str">
        <f>VLOOKUP(Sales[[#This Row],[Associate]],'Associate Status'!B:C,2,0)</f>
        <v>Retired</v>
      </c>
    </row>
    <row r="114" spans="1:36" x14ac:dyDescent="0.25">
      <c r="A114" s="7">
        <v>2023</v>
      </c>
      <c r="B114" s="8">
        <v>2</v>
      </c>
      <c r="C114" s="8">
        <v>6</v>
      </c>
      <c r="D114" s="8" t="s">
        <v>31</v>
      </c>
      <c r="E114" s="8" t="s">
        <v>12</v>
      </c>
      <c r="F114" s="8" t="s">
        <v>31</v>
      </c>
      <c r="G114" s="9">
        <v>2820000</v>
      </c>
      <c r="H114" s="10">
        <v>2820000</v>
      </c>
      <c r="I114" s="11">
        <v>44961</v>
      </c>
      <c r="J114" s="12">
        <v>117903</v>
      </c>
      <c r="K114" s="13" t="s">
        <v>1055</v>
      </c>
      <c r="L114" s="14" t="s">
        <v>19</v>
      </c>
      <c r="M114" s="11" t="s">
        <v>17</v>
      </c>
      <c r="N114" s="14" t="s">
        <v>11</v>
      </c>
      <c r="O114" s="15">
        <v>6412</v>
      </c>
      <c r="P114" s="12">
        <v>1</v>
      </c>
      <c r="Q114" s="13" t="s">
        <v>144</v>
      </c>
      <c r="R114" s="16">
        <v>7614000</v>
      </c>
      <c r="S114" s="17">
        <v>6921818</v>
      </c>
      <c r="T114" s="12">
        <v>10</v>
      </c>
      <c r="U114" s="18">
        <v>769091</v>
      </c>
      <c r="V114" s="19">
        <v>846000</v>
      </c>
      <c r="W114" s="13" t="s">
        <v>140</v>
      </c>
      <c r="X114" s="14" t="s">
        <v>1056</v>
      </c>
      <c r="Y114" s="13" t="s">
        <v>251</v>
      </c>
      <c r="Z114" s="14" t="s">
        <v>1057</v>
      </c>
      <c r="AA114" s="17">
        <v>13</v>
      </c>
      <c r="AB114" s="14" t="s">
        <v>1058</v>
      </c>
      <c r="AC114" s="17">
        <v>8460000</v>
      </c>
      <c r="AD114" s="14" t="s">
        <v>108</v>
      </c>
      <c r="AE114" s="17">
        <v>7690909</v>
      </c>
      <c r="AF114" s="14" t="s">
        <v>846</v>
      </c>
      <c r="AG114" s="20" t="s">
        <v>252</v>
      </c>
      <c r="AH114" s="10">
        <v>4101818</v>
      </c>
      <c r="AI114" s="24" t="str">
        <f>VLOOKUP(Sales[[#This Row],[Store]],'Store lay bao  cao'!A:B,2,0)</f>
        <v>Lấy BC</v>
      </c>
      <c r="AJ114" s="24" t="str">
        <f>VLOOKUP(Sales[[#This Row],[Associate]],'Associate Status'!B:C,2,0)</f>
        <v>Active</v>
      </c>
    </row>
    <row r="115" spans="1:36" x14ac:dyDescent="0.25">
      <c r="A115" s="7">
        <v>2023</v>
      </c>
      <c r="B115" s="8">
        <v>2</v>
      </c>
      <c r="C115" s="8">
        <v>7</v>
      </c>
      <c r="D115" s="8" t="s">
        <v>52</v>
      </c>
      <c r="E115" s="8" t="s">
        <v>34</v>
      </c>
      <c r="F115" s="8" t="s">
        <v>52</v>
      </c>
      <c r="G115" s="9">
        <v>2233240</v>
      </c>
      <c r="H115" s="10">
        <v>2011500</v>
      </c>
      <c r="I115" s="11">
        <v>44963</v>
      </c>
      <c r="J115" s="12">
        <v>182236</v>
      </c>
      <c r="K115" s="13" t="s">
        <v>1059</v>
      </c>
      <c r="L115" s="14" t="s">
        <v>50</v>
      </c>
      <c r="M115" s="11" t="s">
        <v>15</v>
      </c>
      <c r="N115" s="14" t="s">
        <v>11</v>
      </c>
      <c r="O115" s="15">
        <v>1719</v>
      </c>
      <c r="P115" s="12">
        <v>1</v>
      </c>
      <c r="Q115" s="13" t="s">
        <v>101</v>
      </c>
      <c r="R115" s="16">
        <v>6437000</v>
      </c>
      <c r="S115" s="17">
        <v>5851818</v>
      </c>
      <c r="T115" s="12">
        <v>0</v>
      </c>
      <c r="U115" s="18">
        <v>0</v>
      </c>
      <c r="V115" s="19">
        <v>0</v>
      </c>
      <c r="W115" s="13" t="s">
        <v>104</v>
      </c>
      <c r="X115" s="14" t="s">
        <v>1060</v>
      </c>
      <c r="Y115" s="13" t="s">
        <v>913</v>
      </c>
      <c r="Z115" s="14" t="s">
        <v>1061</v>
      </c>
      <c r="AA115" s="17">
        <v>16</v>
      </c>
      <c r="AB115" s="14" t="s">
        <v>1062</v>
      </c>
      <c r="AC115" s="17">
        <v>6437000</v>
      </c>
      <c r="AD115" s="14" t="s">
        <v>108</v>
      </c>
      <c r="AE115" s="17">
        <v>5851818</v>
      </c>
      <c r="AF115" s="14" t="s">
        <v>2594</v>
      </c>
      <c r="AG115" s="21" t="s">
        <v>914</v>
      </c>
      <c r="AH115" s="10">
        <v>3618578</v>
      </c>
      <c r="AI115" s="24" t="str">
        <f>VLOOKUP(Sales[[#This Row],[Store]],'Store lay bao  cao'!A:B,2,0)</f>
        <v>Lấy BC</v>
      </c>
      <c r="AJ115" s="24" t="e">
        <f>VLOOKUP(Sales[[#This Row],[Associate]],'Associate Status'!B:C,2,0)</f>
        <v>#N/A</v>
      </c>
    </row>
    <row r="116" spans="1:36" x14ac:dyDescent="0.25">
      <c r="A116" s="7">
        <v>2023</v>
      </c>
      <c r="B116" s="8">
        <v>2</v>
      </c>
      <c r="C116" s="8">
        <v>7</v>
      </c>
      <c r="D116" s="8" t="s">
        <v>52</v>
      </c>
      <c r="E116" s="8" t="s">
        <v>34</v>
      </c>
      <c r="F116" s="8" t="s">
        <v>52</v>
      </c>
      <c r="G116" s="9">
        <v>3777023</v>
      </c>
      <c r="H116" s="10">
        <v>3402000</v>
      </c>
      <c r="I116" s="11">
        <v>44963</v>
      </c>
      <c r="J116" s="12">
        <v>182234</v>
      </c>
      <c r="K116" s="13" t="s">
        <v>1059</v>
      </c>
      <c r="L116" s="14" t="s">
        <v>50</v>
      </c>
      <c r="M116" s="11" t="s">
        <v>15</v>
      </c>
      <c r="N116" s="14" t="s">
        <v>11</v>
      </c>
      <c r="O116" s="15">
        <v>1719</v>
      </c>
      <c r="P116" s="12">
        <v>1</v>
      </c>
      <c r="Q116" s="13" t="s">
        <v>101</v>
      </c>
      <c r="R116" s="16">
        <v>10887000</v>
      </c>
      <c r="S116" s="17">
        <v>9897273</v>
      </c>
      <c r="T116" s="12">
        <v>0</v>
      </c>
      <c r="U116" s="18">
        <v>0</v>
      </c>
      <c r="V116" s="19">
        <v>0</v>
      </c>
      <c r="W116" s="13" t="s">
        <v>104</v>
      </c>
      <c r="X116" s="14" t="s">
        <v>1063</v>
      </c>
      <c r="Y116" s="13" t="s">
        <v>913</v>
      </c>
      <c r="Z116" s="14" t="s">
        <v>1064</v>
      </c>
      <c r="AA116" s="17">
        <v>16</v>
      </c>
      <c r="AB116" s="14" t="s">
        <v>1065</v>
      </c>
      <c r="AC116" s="17">
        <v>10887000</v>
      </c>
      <c r="AD116" s="14" t="s">
        <v>108</v>
      </c>
      <c r="AE116" s="17">
        <v>9897273</v>
      </c>
      <c r="AF116" s="14" t="s">
        <v>2594</v>
      </c>
      <c r="AG116" s="20" t="s">
        <v>914</v>
      </c>
      <c r="AH116" s="10">
        <v>6120250</v>
      </c>
      <c r="AI116" s="24" t="str">
        <f>VLOOKUP(Sales[[#This Row],[Store]],'Store lay bao  cao'!A:B,2,0)</f>
        <v>Lấy BC</v>
      </c>
      <c r="AJ116" s="24" t="e">
        <f>VLOOKUP(Sales[[#This Row],[Associate]],'Associate Status'!B:C,2,0)</f>
        <v>#N/A</v>
      </c>
    </row>
    <row r="117" spans="1:36" x14ac:dyDescent="0.25">
      <c r="A117" s="7">
        <v>2023</v>
      </c>
      <c r="B117" s="8">
        <v>2</v>
      </c>
      <c r="C117" s="8">
        <v>7</v>
      </c>
      <c r="D117" s="8" t="s">
        <v>52</v>
      </c>
      <c r="E117" s="8" t="s">
        <v>34</v>
      </c>
      <c r="F117" s="8" t="s">
        <v>52</v>
      </c>
      <c r="G117" s="9">
        <v>2188276</v>
      </c>
      <c r="H117" s="10">
        <v>1971000</v>
      </c>
      <c r="I117" s="11">
        <v>44964</v>
      </c>
      <c r="J117" s="12">
        <v>182248</v>
      </c>
      <c r="K117" s="13" t="s">
        <v>1066</v>
      </c>
      <c r="L117" s="14" t="s">
        <v>50</v>
      </c>
      <c r="M117" s="11" t="s">
        <v>15</v>
      </c>
      <c r="N117" s="14" t="s">
        <v>11</v>
      </c>
      <c r="O117" s="15">
        <v>1723</v>
      </c>
      <c r="P117" s="12">
        <v>1</v>
      </c>
      <c r="Q117" s="13" t="s">
        <v>144</v>
      </c>
      <c r="R117" s="16">
        <v>6308000</v>
      </c>
      <c r="S117" s="17">
        <v>5734545</v>
      </c>
      <c r="T117" s="12">
        <v>0</v>
      </c>
      <c r="U117" s="18">
        <v>0</v>
      </c>
      <c r="V117" s="19">
        <v>0</v>
      </c>
      <c r="W117" s="13" t="s">
        <v>135</v>
      </c>
      <c r="X117" s="14" t="s">
        <v>1067</v>
      </c>
      <c r="Y117" s="13" t="s">
        <v>536</v>
      </c>
      <c r="Z117" s="14" t="s">
        <v>1068</v>
      </c>
      <c r="AA117" s="17">
        <v>12</v>
      </c>
      <c r="AB117" s="14" t="s">
        <v>1069</v>
      </c>
      <c r="AC117" s="17">
        <v>6308000</v>
      </c>
      <c r="AD117" s="14" t="s">
        <v>108</v>
      </c>
      <c r="AE117" s="17">
        <v>5734545</v>
      </c>
      <c r="AF117" s="14" t="s">
        <v>2596</v>
      </c>
      <c r="AG117" s="21" t="s">
        <v>537</v>
      </c>
      <c r="AH117" s="10">
        <v>3546269</v>
      </c>
      <c r="AI117" s="24" t="str">
        <f>VLOOKUP(Sales[[#This Row],[Store]],'Store lay bao  cao'!A:B,2,0)</f>
        <v>Lấy BC</v>
      </c>
      <c r="AJ117" s="24" t="e">
        <f>VLOOKUP(Sales[[#This Row],[Associate]],'Associate Status'!B:C,2,0)</f>
        <v>#N/A</v>
      </c>
    </row>
    <row r="118" spans="1:36" x14ac:dyDescent="0.25">
      <c r="A118" s="7">
        <v>2023</v>
      </c>
      <c r="B118" s="8">
        <v>2</v>
      </c>
      <c r="C118" s="8">
        <v>7</v>
      </c>
      <c r="D118" s="8" t="s">
        <v>52</v>
      </c>
      <c r="E118" s="8" t="s">
        <v>37</v>
      </c>
      <c r="F118" s="8" t="s">
        <v>52</v>
      </c>
      <c r="G118" s="9">
        <v>5860382</v>
      </c>
      <c r="H118" s="10">
        <v>5278500</v>
      </c>
      <c r="I118" s="11">
        <v>44965</v>
      </c>
      <c r="J118" s="12">
        <v>182224</v>
      </c>
      <c r="K118" s="13" t="s">
        <v>1070</v>
      </c>
      <c r="L118" s="14" t="s">
        <v>50</v>
      </c>
      <c r="M118" s="11" t="s">
        <v>17</v>
      </c>
      <c r="N118" s="14" t="s">
        <v>11</v>
      </c>
      <c r="O118" s="15">
        <v>6434</v>
      </c>
      <c r="P118" s="12">
        <v>1</v>
      </c>
      <c r="Q118" s="13" t="s">
        <v>101</v>
      </c>
      <c r="R118" s="16">
        <v>16892000</v>
      </c>
      <c r="S118" s="17">
        <v>15356364</v>
      </c>
      <c r="T118" s="12">
        <v>0</v>
      </c>
      <c r="U118" s="18">
        <v>0</v>
      </c>
      <c r="V118" s="19">
        <v>0</v>
      </c>
      <c r="W118" s="13" t="s">
        <v>1042</v>
      </c>
      <c r="X118" s="14" t="s">
        <v>1071</v>
      </c>
      <c r="Y118" s="13" t="s">
        <v>103</v>
      </c>
      <c r="Z118" s="14" t="s">
        <v>896</v>
      </c>
      <c r="AA118" s="17">
        <v>15</v>
      </c>
      <c r="AB118" s="14" t="s">
        <v>1072</v>
      </c>
      <c r="AC118" s="17">
        <v>16892000</v>
      </c>
      <c r="AD118" s="14" t="s">
        <v>108</v>
      </c>
      <c r="AE118" s="17">
        <v>15356364</v>
      </c>
      <c r="AF118" s="14" t="s">
        <v>125</v>
      </c>
      <c r="AG118" s="20"/>
      <c r="AH118" s="10">
        <v>9495982</v>
      </c>
      <c r="AI118" s="24" t="str">
        <f>VLOOKUP(Sales[[#This Row],[Store]],'Store lay bao  cao'!A:B,2,0)</f>
        <v>Lấy BC</v>
      </c>
      <c r="AJ118" s="24" t="str">
        <f>VLOOKUP(Sales[[#This Row],[Associate]],'Associate Status'!B:C,2,0)</f>
        <v>Active</v>
      </c>
    </row>
    <row r="119" spans="1:36" x14ac:dyDescent="0.25">
      <c r="A119" s="7">
        <v>2023</v>
      </c>
      <c r="B119" s="8">
        <v>2</v>
      </c>
      <c r="C119" s="8">
        <v>7</v>
      </c>
      <c r="D119" s="8" t="s">
        <v>52</v>
      </c>
      <c r="E119" s="8" t="s">
        <v>53</v>
      </c>
      <c r="F119" s="8" t="s">
        <v>52</v>
      </c>
      <c r="G119" s="9">
        <v>7793858</v>
      </c>
      <c r="H119" s="10">
        <v>7020000</v>
      </c>
      <c r="I119" s="11">
        <v>44965</v>
      </c>
      <c r="J119" s="12">
        <v>182200</v>
      </c>
      <c r="K119" s="13" t="s">
        <v>1070</v>
      </c>
      <c r="L119" s="14" t="s">
        <v>50</v>
      </c>
      <c r="M119" s="11" t="s">
        <v>17</v>
      </c>
      <c r="N119" s="14" t="s">
        <v>11</v>
      </c>
      <c r="O119" s="15">
        <v>6434</v>
      </c>
      <c r="P119" s="12">
        <v>1</v>
      </c>
      <c r="Q119" s="13" t="s">
        <v>101</v>
      </c>
      <c r="R119" s="16">
        <v>22464000</v>
      </c>
      <c r="S119" s="17">
        <v>20421818</v>
      </c>
      <c r="T119" s="12">
        <v>0</v>
      </c>
      <c r="U119" s="18">
        <v>0</v>
      </c>
      <c r="V119" s="19">
        <v>0</v>
      </c>
      <c r="W119" s="13" t="s">
        <v>1042</v>
      </c>
      <c r="X119" s="14" t="s">
        <v>1073</v>
      </c>
      <c r="Y119" s="13" t="s">
        <v>103</v>
      </c>
      <c r="Z119" s="14" t="s">
        <v>1074</v>
      </c>
      <c r="AA119" s="17">
        <v>15</v>
      </c>
      <c r="AB119" s="14" t="s">
        <v>1075</v>
      </c>
      <c r="AC119" s="17">
        <v>22464000</v>
      </c>
      <c r="AD119" s="14" t="s">
        <v>108</v>
      </c>
      <c r="AE119" s="17">
        <v>20421818</v>
      </c>
      <c r="AF119" s="14" t="s">
        <v>125</v>
      </c>
      <c r="AG119" s="21"/>
      <c r="AH119" s="10">
        <v>12627960</v>
      </c>
      <c r="AI119" s="24" t="str">
        <f>VLOOKUP(Sales[[#This Row],[Store]],'Store lay bao  cao'!A:B,2,0)</f>
        <v>Lấy BC</v>
      </c>
      <c r="AJ119" s="24" t="str">
        <f>VLOOKUP(Sales[[#This Row],[Associate]],'Associate Status'!B:C,2,0)</f>
        <v>Active</v>
      </c>
    </row>
    <row r="120" spans="1:36" ht="102.75" x14ac:dyDescent="0.25">
      <c r="A120" s="7">
        <v>2023</v>
      </c>
      <c r="B120" s="8">
        <v>2</v>
      </c>
      <c r="C120" s="8">
        <v>7</v>
      </c>
      <c r="D120" s="8" t="s">
        <v>52</v>
      </c>
      <c r="E120" s="8" t="s">
        <v>34</v>
      </c>
      <c r="F120" s="8" t="s">
        <v>52</v>
      </c>
      <c r="G120" s="9">
        <v>4121752</v>
      </c>
      <c r="H120" s="10">
        <v>3712500</v>
      </c>
      <c r="I120" s="11">
        <v>44965</v>
      </c>
      <c r="J120" s="12">
        <v>182253</v>
      </c>
      <c r="K120" s="13" t="s">
        <v>1070</v>
      </c>
      <c r="L120" s="14" t="s">
        <v>50</v>
      </c>
      <c r="M120" s="11" t="s">
        <v>17</v>
      </c>
      <c r="N120" s="14" t="s">
        <v>11</v>
      </c>
      <c r="O120" s="15">
        <v>6434</v>
      </c>
      <c r="P120" s="12">
        <v>1</v>
      </c>
      <c r="Q120" s="13" t="s">
        <v>101</v>
      </c>
      <c r="R120" s="16">
        <v>11880000</v>
      </c>
      <c r="S120" s="17">
        <v>10800000</v>
      </c>
      <c r="T120" s="12">
        <v>0</v>
      </c>
      <c r="U120" s="18">
        <v>0</v>
      </c>
      <c r="V120" s="19">
        <v>0</v>
      </c>
      <c r="W120" s="13" t="s">
        <v>1042</v>
      </c>
      <c r="X120" s="23" t="s">
        <v>1076</v>
      </c>
      <c r="Y120" s="13" t="s">
        <v>103</v>
      </c>
      <c r="Z120" s="14" t="s">
        <v>1077</v>
      </c>
      <c r="AA120" s="17">
        <v>15</v>
      </c>
      <c r="AB120" s="14" t="s">
        <v>1075</v>
      </c>
      <c r="AC120" s="17">
        <v>11880000</v>
      </c>
      <c r="AD120" s="14" t="s">
        <v>108</v>
      </c>
      <c r="AE120" s="17">
        <v>10800000</v>
      </c>
      <c r="AF120" s="14" t="s">
        <v>125</v>
      </c>
      <c r="AG120" s="20"/>
      <c r="AH120" s="10">
        <v>6678248</v>
      </c>
      <c r="AI120" s="24" t="str">
        <f>VLOOKUP(Sales[[#This Row],[Store]],'Store lay bao  cao'!A:B,2,0)</f>
        <v>Lấy BC</v>
      </c>
      <c r="AJ120" s="24" t="str">
        <f>VLOOKUP(Sales[[#This Row],[Associate]],'Associate Status'!B:C,2,0)</f>
        <v>Active</v>
      </c>
    </row>
    <row r="121" spans="1:36" ht="26.25" x14ac:dyDescent="0.25">
      <c r="A121" s="7">
        <v>2023</v>
      </c>
      <c r="B121" s="8">
        <v>2</v>
      </c>
      <c r="C121" s="8">
        <v>7</v>
      </c>
      <c r="D121" s="8" t="s">
        <v>52</v>
      </c>
      <c r="E121" s="8" t="s">
        <v>37</v>
      </c>
      <c r="F121" s="8" t="s">
        <v>52</v>
      </c>
      <c r="G121" s="9">
        <v>43158910</v>
      </c>
      <c r="H121" s="10">
        <v>42474465</v>
      </c>
      <c r="I121" s="11">
        <v>44967</v>
      </c>
      <c r="J121" s="12">
        <v>181387</v>
      </c>
      <c r="K121" s="13" t="s">
        <v>1080</v>
      </c>
      <c r="L121" s="14" t="s">
        <v>58</v>
      </c>
      <c r="M121" s="11" t="s">
        <v>17</v>
      </c>
      <c r="N121" s="14" t="s">
        <v>11</v>
      </c>
      <c r="O121" s="15">
        <v>6440</v>
      </c>
      <c r="P121" s="12">
        <v>1</v>
      </c>
      <c r="Q121" s="13" t="s">
        <v>110</v>
      </c>
      <c r="R121" s="16">
        <v>120548350</v>
      </c>
      <c r="S121" s="17">
        <v>109589409</v>
      </c>
      <c r="T121" s="12">
        <v>5</v>
      </c>
      <c r="U121" s="18">
        <v>5767864</v>
      </c>
      <c r="V121" s="19">
        <v>6344650</v>
      </c>
      <c r="W121" s="13" t="s">
        <v>140</v>
      </c>
      <c r="X121" s="23" t="s">
        <v>1081</v>
      </c>
      <c r="Y121" s="13" t="s">
        <v>390</v>
      </c>
      <c r="Z121" s="14" t="s">
        <v>1082</v>
      </c>
      <c r="AA121" s="17">
        <v>11</v>
      </c>
      <c r="AB121" s="14" t="s">
        <v>1083</v>
      </c>
      <c r="AC121" s="17">
        <v>126893000</v>
      </c>
      <c r="AD121" s="14" t="s">
        <v>108</v>
      </c>
      <c r="AE121" s="17">
        <v>115357273</v>
      </c>
      <c r="AF121" s="14" t="s">
        <v>119</v>
      </c>
      <c r="AG121" s="21" t="s">
        <v>391</v>
      </c>
      <c r="AH121" s="10">
        <v>66430499</v>
      </c>
      <c r="AI121" s="24" t="str">
        <f>VLOOKUP(Sales[[#This Row],[Store]],'Store lay bao  cao'!A:B,2,0)</f>
        <v>Lấy BC</v>
      </c>
      <c r="AJ121" s="24" t="str">
        <f>VLOOKUP(Sales[[#This Row],[Associate]],'Associate Status'!B:C,2,0)</f>
        <v>Retired</v>
      </c>
    </row>
    <row r="122" spans="1:36" x14ac:dyDescent="0.25">
      <c r="A122" s="7">
        <v>2023</v>
      </c>
      <c r="B122" s="8">
        <v>2</v>
      </c>
      <c r="C122" s="8">
        <v>7</v>
      </c>
      <c r="D122" s="8" t="s">
        <v>52</v>
      </c>
      <c r="E122" s="8" t="s">
        <v>34</v>
      </c>
      <c r="F122" s="8" t="s">
        <v>52</v>
      </c>
      <c r="G122" s="9">
        <v>30976314</v>
      </c>
      <c r="H122" s="10">
        <v>30485070</v>
      </c>
      <c r="I122" s="11">
        <v>44967</v>
      </c>
      <c r="J122" s="12">
        <v>181393</v>
      </c>
      <c r="K122" s="13" t="s">
        <v>1080</v>
      </c>
      <c r="L122" s="14" t="s">
        <v>58</v>
      </c>
      <c r="M122" s="11" t="s">
        <v>17</v>
      </c>
      <c r="N122" s="14" t="s">
        <v>11</v>
      </c>
      <c r="O122" s="15">
        <v>6440</v>
      </c>
      <c r="P122" s="12">
        <v>1</v>
      </c>
      <c r="Q122" s="13" t="s">
        <v>110</v>
      </c>
      <c r="R122" s="16">
        <v>86521250</v>
      </c>
      <c r="S122" s="17">
        <v>78655682</v>
      </c>
      <c r="T122" s="12">
        <v>5</v>
      </c>
      <c r="U122" s="18">
        <v>4139773</v>
      </c>
      <c r="V122" s="19">
        <v>4553750</v>
      </c>
      <c r="W122" s="13" t="s">
        <v>140</v>
      </c>
      <c r="X122" s="14" t="s">
        <v>1084</v>
      </c>
      <c r="Y122" s="13" t="s">
        <v>390</v>
      </c>
      <c r="Z122" s="14" t="s">
        <v>1085</v>
      </c>
      <c r="AA122" s="17">
        <v>11</v>
      </c>
      <c r="AB122" s="14" t="s">
        <v>1086</v>
      </c>
      <c r="AC122" s="17">
        <v>91075000</v>
      </c>
      <c r="AD122" s="14" t="s">
        <v>108</v>
      </c>
      <c r="AE122" s="17">
        <v>82795455</v>
      </c>
      <c r="AF122" s="14" t="s">
        <v>119</v>
      </c>
      <c r="AG122" s="20" t="s">
        <v>391</v>
      </c>
      <c r="AH122" s="10">
        <v>47679368</v>
      </c>
      <c r="AI122" s="24" t="str">
        <f>VLOOKUP(Sales[[#This Row],[Store]],'Store lay bao  cao'!A:B,2,0)</f>
        <v>Lấy BC</v>
      </c>
      <c r="AJ122" s="24" t="str">
        <f>VLOOKUP(Sales[[#This Row],[Associate]],'Associate Status'!B:C,2,0)</f>
        <v>Retired</v>
      </c>
    </row>
    <row r="123" spans="1:36" x14ac:dyDescent="0.25">
      <c r="A123" s="7">
        <v>2023</v>
      </c>
      <c r="B123" s="8">
        <v>2</v>
      </c>
      <c r="C123" s="8">
        <v>8</v>
      </c>
      <c r="D123" s="8" t="s">
        <v>52</v>
      </c>
      <c r="E123" s="8" t="s">
        <v>37</v>
      </c>
      <c r="F123" s="8" t="s">
        <v>52</v>
      </c>
      <c r="G123" s="9">
        <v>3896930</v>
      </c>
      <c r="H123" s="10">
        <v>3510000</v>
      </c>
      <c r="I123" s="11">
        <v>44970</v>
      </c>
      <c r="J123" s="12">
        <v>182232</v>
      </c>
      <c r="K123" s="13" t="s">
        <v>355</v>
      </c>
      <c r="L123" s="14" t="s">
        <v>50</v>
      </c>
      <c r="M123" s="11" t="s">
        <v>15</v>
      </c>
      <c r="N123" s="14" t="s">
        <v>11</v>
      </c>
      <c r="O123" s="15">
        <v>1759</v>
      </c>
      <c r="P123" s="12">
        <v>1</v>
      </c>
      <c r="Q123" s="13" t="s">
        <v>101</v>
      </c>
      <c r="R123" s="16">
        <v>11232000</v>
      </c>
      <c r="S123" s="17">
        <v>10210909</v>
      </c>
      <c r="T123" s="12">
        <v>0</v>
      </c>
      <c r="U123" s="18">
        <v>0</v>
      </c>
      <c r="V123" s="19">
        <v>0</v>
      </c>
      <c r="W123" s="13" t="s">
        <v>104</v>
      </c>
      <c r="X123" s="14" t="s">
        <v>1087</v>
      </c>
      <c r="Y123" s="13" t="s">
        <v>474</v>
      </c>
      <c r="Z123" s="14" t="s">
        <v>1088</v>
      </c>
      <c r="AA123" s="17">
        <v>14</v>
      </c>
      <c r="AB123" s="14" t="s">
        <v>891</v>
      </c>
      <c r="AC123" s="17">
        <v>11232000</v>
      </c>
      <c r="AD123" s="14" t="s">
        <v>108</v>
      </c>
      <c r="AE123" s="17">
        <v>10210909</v>
      </c>
      <c r="AF123" s="14" t="s">
        <v>109</v>
      </c>
      <c r="AG123" s="21" t="s">
        <v>475</v>
      </c>
      <c r="AH123" s="10">
        <v>6313979</v>
      </c>
      <c r="AI123" s="24" t="str">
        <f>VLOOKUP(Sales[[#This Row],[Store]],'Store lay bao  cao'!A:B,2,0)</f>
        <v>Lấy BC</v>
      </c>
      <c r="AJ123" s="24" t="str">
        <f>VLOOKUP(Sales[[#This Row],[Associate]],'Associate Status'!B:C,2,0)</f>
        <v>Active</v>
      </c>
    </row>
    <row r="124" spans="1:36" x14ac:dyDescent="0.25">
      <c r="A124" s="7">
        <v>2023</v>
      </c>
      <c r="B124" s="8">
        <v>2</v>
      </c>
      <c r="C124" s="8">
        <v>9</v>
      </c>
      <c r="D124" s="8" t="s">
        <v>51</v>
      </c>
      <c r="E124" s="8" t="s">
        <v>34</v>
      </c>
      <c r="F124" s="8" t="s">
        <v>51</v>
      </c>
      <c r="G124" s="9">
        <v>571188</v>
      </c>
      <c r="H124" s="10">
        <v>424800</v>
      </c>
      <c r="I124" s="11">
        <v>44980</v>
      </c>
      <c r="J124" s="12">
        <v>174910</v>
      </c>
      <c r="K124" s="13" t="s">
        <v>1089</v>
      </c>
      <c r="L124" s="14" t="s">
        <v>47</v>
      </c>
      <c r="M124" s="11" t="s">
        <v>17</v>
      </c>
      <c r="N124" s="14" t="s">
        <v>11</v>
      </c>
      <c r="O124" s="15">
        <v>6476</v>
      </c>
      <c r="P124" s="12">
        <v>1</v>
      </c>
      <c r="Q124" s="13" t="s">
        <v>101</v>
      </c>
      <c r="R124" s="16">
        <v>2360000</v>
      </c>
      <c r="S124" s="17">
        <v>2145455</v>
      </c>
      <c r="T124" s="12">
        <v>0</v>
      </c>
      <c r="U124" s="18">
        <v>0</v>
      </c>
      <c r="V124" s="19">
        <v>0</v>
      </c>
      <c r="W124" s="13" t="s">
        <v>140</v>
      </c>
      <c r="X124" s="14" t="s">
        <v>1090</v>
      </c>
      <c r="Y124" s="13" t="s">
        <v>304</v>
      </c>
      <c r="Z124" s="14" t="s">
        <v>1091</v>
      </c>
      <c r="AA124" s="17">
        <v>16</v>
      </c>
      <c r="AB124" s="14" t="s">
        <v>224</v>
      </c>
      <c r="AC124" s="17">
        <v>2360000</v>
      </c>
      <c r="AD124" s="14" t="s">
        <v>849</v>
      </c>
      <c r="AE124" s="17">
        <v>2145455</v>
      </c>
      <c r="AF124" s="14" t="s">
        <v>789</v>
      </c>
      <c r="AG124" s="20" t="s">
        <v>305</v>
      </c>
      <c r="AH124" s="10">
        <v>1574267</v>
      </c>
      <c r="AI124" s="24" t="str">
        <f>VLOOKUP(Sales[[#This Row],[Store]],'Store lay bao  cao'!A:B,2,0)</f>
        <v>Lấy BC</v>
      </c>
      <c r="AJ124" s="24" t="str">
        <f>VLOOKUP(Sales[[#This Row],[Associate]],'Associate Status'!B:C,2,0)</f>
        <v>Active</v>
      </c>
    </row>
    <row r="125" spans="1:36" x14ac:dyDescent="0.25">
      <c r="A125" s="7">
        <v>2023</v>
      </c>
      <c r="B125" s="8">
        <v>2</v>
      </c>
      <c r="C125" s="8">
        <v>9</v>
      </c>
      <c r="D125" s="8" t="s">
        <v>52</v>
      </c>
      <c r="E125" s="8" t="s">
        <v>34</v>
      </c>
      <c r="F125" s="8" t="s">
        <v>52</v>
      </c>
      <c r="G125" s="9">
        <v>3597165</v>
      </c>
      <c r="H125" s="10">
        <v>3240000</v>
      </c>
      <c r="I125" s="11">
        <v>44980</v>
      </c>
      <c r="J125" s="12">
        <v>182243</v>
      </c>
      <c r="K125" s="13" t="s">
        <v>1089</v>
      </c>
      <c r="L125" s="14" t="s">
        <v>50</v>
      </c>
      <c r="M125" s="11" t="s">
        <v>17</v>
      </c>
      <c r="N125" s="14" t="s">
        <v>11</v>
      </c>
      <c r="O125" s="15">
        <v>6476</v>
      </c>
      <c r="P125" s="12">
        <v>1</v>
      </c>
      <c r="Q125" s="13" t="s">
        <v>101</v>
      </c>
      <c r="R125" s="16">
        <v>10368000</v>
      </c>
      <c r="S125" s="17">
        <v>9425455</v>
      </c>
      <c r="T125" s="12">
        <v>0</v>
      </c>
      <c r="U125" s="18">
        <v>0</v>
      </c>
      <c r="V125" s="19">
        <v>0</v>
      </c>
      <c r="W125" s="13" t="s">
        <v>140</v>
      </c>
      <c r="X125" s="14" t="s">
        <v>1092</v>
      </c>
      <c r="Y125" s="13" t="s">
        <v>304</v>
      </c>
      <c r="Z125" s="14" t="s">
        <v>899</v>
      </c>
      <c r="AA125" s="17">
        <v>16</v>
      </c>
      <c r="AB125" s="14" t="s">
        <v>1093</v>
      </c>
      <c r="AC125" s="17">
        <v>10368000</v>
      </c>
      <c r="AD125" s="14" t="s">
        <v>108</v>
      </c>
      <c r="AE125" s="17">
        <v>9425455</v>
      </c>
      <c r="AF125" s="14" t="s">
        <v>789</v>
      </c>
      <c r="AG125" s="21" t="s">
        <v>305</v>
      </c>
      <c r="AH125" s="10">
        <v>5828290</v>
      </c>
      <c r="AI125" s="24" t="str">
        <f>VLOOKUP(Sales[[#This Row],[Store]],'Store lay bao  cao'!A:B,2,0)</f>
        <v>Lấy BC</v>
      </c>
      <c r="AJ125" s="24" t="str">
        <f>VLOOKUP(Sales[[#This Row],[Associate]],'Associate Status'!B:C,2,0)</f>
        <v>Active</v>
      </c>
    </row>
    <row r="126" spans="1:36" x14ac:dyDescent="0.25">
      <c r="A126" s="7">
        <v>2023</v>
      </c>
      <c r="B126" s="8">
        <v>2</v>
      </c>
      <c r="C126" s="8">
        <v>9</v>
      </c>
      <c r="D126" s="8" t="s">
        <v>51</v>
      </c>
      <c r="E126" s="8" t="s">
        <v>37</v>
      </c>
      <c r="F126" s="8" t="s">
        <v>51</v>
      </c>
      <c r="G126" s="9">
        <v>1032111</v>
      </c>
      <c r="H126" s="10">
        <v>899750</v>
      </c>
      <c r="I126" s="11">
        <v>44980</v>
      </c>
      <c r="J126" s="12">
        <v>174861</v>
      </c>
      <c r="K126" s="13" t="s">
        <v>713</v>
      </c>
      <c r="L126" s="14" t="s">
        <v>47</v>
      </c>
      <c r="M126" s="11" t="s">
        <v>21</v>
      </c>
      <c r="N126" s="14" t="s">
        <v>11</v>
      </c>
      <c r="O126" s="15">
        <v>3185</v>
      </c>
      <c r="P126" s="12">
        <v>1</v>
      </c>
      <c r="Q126" s="13" t="s">
        <v>102</v>
      </c>
      <c r="R126" s="16">
        <v>5015000</v>
      </c>
      <c r="S126" s="17">
        <v>4559091</v>
      </c>
      <c r="T126" s="12">
        <v>0</v>
      </c>
      <c r="U126" s="18">
        <v>0</v>
      </c>
      <c r="V126" s="19">
        <v>0</v>
      </c>
      <c r="W126" s="13" t="s">
        <v>124</v>
      </c>
      <c r="X126" s="14" t="s">
        <v>1094</v>
      </c>
      <c r="Y126" s="13" t="s">
        <v>130</v>
      </c>
      <c r="Z126" s="14" t="s">
        <v>1095</v>
      </c>
      <c r="AA126" s="17">
        <v>17</v>
      </c>
      <c r="AB126" s="14" t="s">
        <v>944</v>
      </c>
      <c r="AC126" s="17">
        <v>5015000</v>
      </c>
      <c r="AD126" s="14" t="s">
        <v>849</v>
      </c>
      <c r="AE126" s="17">
        <v>4559091</v>
      </c>
      <c r="AF126" s="14" t="s">
        <v>324</v>
      </c>
      <c r="AG126" s="20" t="s">
        <v>131</v>
      </c>
      <c r="AH126" s="10">
        <v>3526980</v>
      </c>
      <c r="AI126" s="24" t="str">
        <f>VLOOKUP(Sales[[#This Row],[Store]],'Store lay bao  cao'!A:B,2,0)</f>
        <v>Lấy BC</v>
      </c>
      <c r="AJ126" s="24" t="str">
        <f>VLOOKUP(Sales[[#This Row],[Associate]],'Associate Status'!B:C,2,0)</f>
        <v>Retired</v>
      </c>
    </row>
    <row r="127" spans="1:36" x14ac:dyDescent="0.25">
      <c r="A127" s="7">
        <v>2023</v>
      </c>
      <c r="B127" s="8">
        <v>3</v>
      </c>
      <c r="C127" s="8">
        <v>10</v>
      </c>
      <c r="D127" s="8" t="s">
        <v>52</v>
      </c>
      <c r="E127" s="8" t="s">
        <v>34</v>
      </c>
      <c r="F127" s="8" t="s">
        <v>52</v>
      </c>
      <c r="G127" s="9">
        <v>7164355</v>
      </c>
      <c r="H127" s="10">
        <v>6453000</v>
      </c>
      <c r="I127" s="11">
        <v>44990</v>
      </c>
      <c r="J127" s="12">
        <v>182235</v>
      </c>
      <c r="K127" s="13" t="s">
        <v>724</v>
      </c>
      <c r="L127" s="14" t="s">
        <v>50</v>
      </c>
      <c r="M127" s="11" t="s">
        <v>21</v>
      </c>
      <c r="N127" s="14" t="s">
        <v>11</v>
      </c>
      <c r="O127" s="15">
        <v>3271</v>
      </c>
      <c r="P127" s="12">
        <v>1</v>
      </c>
      <c r="Q127" s="13" t="s">
        <v>144</v>
      </c>
      <c r="R127" s="16">
        <v>20650000</v>
      </c>
      <c r="S127" s="17">
        <v>18772727</v>
      </c>
      <c r="T127" s="12">
        <v>0</v>
      </c>
      <c r="U127" s="18">
        <v>0</v>
      </c>
      <c r="V127" s="19">
        <v>0</v>
      </c>
      <c r="W127" s="13" t="s">
        <v>160</v>
      </c>
      <c r="X127" s="14" t="s">
        <v>1099</v>
      </c>
      <c r="Y127" s="13" t="s">
        <v>304</v>
      </c>
      <c r="Z127" s="14" t="s">
        <v>1100</v>
      </c>
      <c r="AA127" s="17">
        <v>13</v>
      </c>
      <c r="AB127" s="14" t="s">
        <v>1051</v>
      </c>
      <c r="AC127" s="17">
        <v>20650000</v>
      </c>
      <c r="AD127" s="14" t="s">
        <v>108</v>
      </c>
      <c r="AE127" s="17">
        <v>18772727</v>
      </c>
      <c r="AF127" s="14" t="s">
        <v>132</v>
      </c>
      <c r="AG127" s="21" t="s">
        <v>305</v>
      </c>
      <c r="AH127" s="10">
        <v>11608372</v>
      </c>
      <c r="AI127" s="24" t="str">
        <f>VLOOKUP(Sales[[#This Row],[Store]],'Store lay bao  cao'!A:B,2,0)</f>
        <v>Lấy BC</v>
      </c>
      <c r="AJ127" s="24" t="str">
        <f>VLOOKUP(Sales[[#This Row],[Associate]],'Associate Status'!B:C,2,0)</f>
        <v>Retired</v>
      </c>
    </row>
    <row r="128" spans="1:36" x14ac:dyDescent="0.25">
      <c r="A128" s="7">
        <v>2023</v>
      </c>
      <c r="B128" s="8">
        <v>3</v>
      </c>
      <c r="C128" s="8">
        <v>11</v>
      </c>
      <c r="D128" s="8" t="s">
        <v>52</v>
      </c>
      <c r="E128" s="8" t="s">
        <v>43</v>
      </c>
      <c r="F128" s="8" t="s">
        <v>52</v>
      </c>
      <c r="G128" s="9">
        <v>3597165</v>
      </c>
      <c r="H128" s="10">
        <v>3240000</v>
      </c>
      <c r="I128" s="11">
        <v>44991</v>
      </c>
      <c r="J128" s="12">
        <v>182181</v>
      </c>
      <c r="K128" s="13" t="s">
        <v>725</v>
      </c>
      <c r="L128" s="14" t="s">
        <v>50</v>
      </c>
      <c r="M128" s="11" t="s">
        <v>21</v>
      </c>
      <c r="N128" s="14" t="s">
        <v>11</v>
      </c>
      <c r="O128" s="15">
        <v>3284</v>
      </c>
      <c r="P128" s="12">
        <v>1</v>
      </c>
      <c r="Q128" s="13" t="s">
        <v>102</v>
      </c>
      <c r="R128" s="16">
        <v>10368000</v>
      </c>
      <c r="S128" s="17">
        <v>9425455</v>
      </c>
      <c r="T128" s="12">
        <v>0</v>
      </c>
      <c r="U128" s="18">
        <v>0</v>
      </c>
      <c r="V128" s="19">
        <v>0</v>
      </c>
      <c r="W128" s="13" t="s">
        <v>160</v>
      </c>
      <c r="X128" s="14" t="s">
        <v>1101</v>
      </c>
      <c r="Y128" s="13" t="s">
        <v>430</v>
      </c>
      <c r="Z128" s="14" t="s">
        <v>955</v>
      </c>
      <c r="AA128" s="17">
        <v>15</v>
      </c>
      <c r="AB128" s="14" t="s">
        <v>1065</v>
      </c>
      <c r="AC128" s="17">
        <v>10368000</v>
      </c>
      <c r="AD128" s="14">
        <v>13</v>
      </c>
      <c r="AE128" s="17">
        <v>9425455</v>
      </c>
      <c r="AF128" s="14" t="s">
        <v>1078</v>
      </c>
      <c r="AG128" s="20" t="s">
        <v>810</v>
      </c>
      <c r="AH128" s="10">
        <v>5828290</v>
      </c>
      <c r="AI128" s="24" t="str">
        <f>VLOOKUP(Sales[[#This Row],[Store]],'Store lay bao  cao'!A:B,2,0)</f>
        <v>Lấy BC</v>
      </c>
      <c r="AJ128" s="24" t="str">
        <f>VLOOKUP(Sales[[#This Row],[Associate]],'Associate Status'!B:C,2,0)</f>
        <v>Retired</v>
      </c>
    </row>
    <row r="129" spans="1:36" x14ac:dyDescent="0.25">
      <c r="A129" s="7">
        <v>2023</v>
      </c>
      <c r="B129" s="8">
        <v>3</v>
      </c>
      <c r="C129" s="8">
        <v>11</v>
      </c>
      <c r="D129" s="8" t="s">
        <v>52</v>
      </c>
      <c r="E129" s="8" t="s">
        <v>34</v>
      </c>
      <c r="F129" s="8" t="s">
        <v>52</v>
      </c>
      <c r="G129" s="9">
        <v>2263216</v>
      </c>
      <c r="H129" s="10">
        <v>2038500</v>
      </c>
      <c r="I129" s="11">
        <v>44994</v>
      </c>
      <c r="J129" s="12">
        <v>182241</v>
      </c>
      <c r="K129" s="13" t="s">
        <v>1102</v>
      </c>
      <c r="L129" s="14" t="s">
        <v>50</v>
      </c>
      <c r="M129" s="11" t="s">
        <v>17</v>
      </c>
      <c r="N129" s="14" t="s">
        <v>11</v>
      </c>
      <c r="O129" s="15">
        <v>6537</v>
      </c>
      <c r="P129" s="12">
        <v>1</v>
      </c>
      <c r="Q129" s="13" t="s">
        <v>144</v>
      </c>
      <c r="R129" s="16">
        <v>6197800</v>
      </c>
      <c r="S129" s="17">
        <v>5634364</v>
      </c>
      <c r="T129" s="12">
        <v>5</v>
      </c>
      <c r="U129" s="18">
        <v>296545</v>
      </c>
      <c r="V129" s="19">
        <v>326200</v>
      </c>
      <c r="W129" s="13" t="s">
        <v>427</v>
      </c>
      <c r="X129" s="14" t="s">
        <v>1103</v>
      </c>
      <c r="Y129" s="13" t="s">
        <v>1096</v>
      </c>
      <c r="Z129" s="14" t="s">
        <v>1104</v>
      </c>
      <c r="AA129" s="17">
        <v>10</v>
      </c>
      <c r="AB129" s="14" t="s">
        <v>1105</v>
      </c>
      <c r="AC129" s="17">
        <v>6524000</v>
      </c>
      <c r="AD129" s="14" t="s">
        <v>108</v>
      </c>
      <c r="AE129" s="17">
        <v>5930909</v>
      </c>
      <c r="AF129" s="14" t="s">
        <v>119</v>
      </c>
      <c r="AG129" s="21" t="s">
        <v>1097</v>
      </c>
      <c r="AH129" s="10">
        <v>3371148</v>
      </c>
      <c r="AI129" s="24" t="str">
        <f>VLOOKUP(Sales[[#This Row],[Store]],'Store lay bao  cao'!A:B,2,0)</f>
        <v>Lấy BC</v>
      </c>
      <c r="AJ129" s="24" t="str">
        <f>VLOOKUP(Sales[[#This Row],[Associate]],'Associate Status'!B:C,2,0)</f>
        <v>Retired</v>
      </c>
    </row>
    <row r="130" spans="1:36" x14ac:dyDescent="0.25">
      <c r="A130" s="7">
        <v>2023</v>
      </c>
      <c r="B130" s="8">
        <v>3</v>
      </c>
      <c r="C130" s="8">
        <v>11</v>
      </c>
      <c r="D130" s="8" t="s">
        <v>52</v>
      </c>
      <c r="E130" s="8" t="s">
        <v>37</v>
      </c>
      <c r="F130" s="8" t="s">
        <v>52</v>
      </c>
      <c r="G130" s="9">
        <v>5245866</v>
      </c>
      <c r="H130" s="10">
        <v>4725000</v>
      </c>
      <c r="I130" s="11">
        <v>44994</v>
      </c>
      <c r="J130" s="12">
        <v>182214</v>
      </c>
      <c r="K130" s="13" t="s">
        <v>1102</v>
      </c>
      <c r="L130" s="14" t="s">
        <v>50</v>
      </c>
      <c r="M130" s="11" t="s">
        <v>17</v>
      </c>
      <c r="N130" s="14" t="s">
        <v>11</v>
      </c>
      <c r="O130" s="15">
        <v>6537</v>
      </c>
      <c r="P130" s="12">
        <v>1</v>
      </c>
      <c r="Q130" s="13" t="s">
        <v>144</v>
      </c>
      <c r="R130" s="16">
        <v>14364000</v>
      </c>
      <c r="S130" s="17">
        <v>13058182</v>
      </c>
      <c r="T130" s="12">
        <v>5</v>
      </c>
      <c r="U130" s="18">
        <v>687273</v>
      </c>
      <c r="V130" s="19">
        <v>756000</v>
      </c>
      <c r="W130" s="13" t="s">
        <v>427</v>
      </c>
      <c r="X130" s="14" t="s">
        <v>1106</v>
      </c>
      <c r="Y130" s="13" t="s">
        <v>1096</v>
      </c>
      <c r="Z130" s="14" t="s">
        <v>1107</v>
      </c>
      <c r="AA130" s="17">
        <v>10</v>
      </c>
      <c r="AB130" s="14" t="s">
        <v>1108</v>
      </c>
      <c r="AC130" s="17">
        <v>15120000</v>
      </c>
      <c r="AD130" s="14" t="s">
        <v>108</v>
      </c>
      <c r="AE130" s="17">
        <v>13745455</v>
      </c>
      <c r="AF130" s="14" t="s">
        <v>119</v>
      </c>
      <c r="AG130" s="20" t="s">
        <v>1097</v>
      </c>
      <c r="AH130" s="10">
        <v>7812316</v>
      </c>
      <c r="AI130" s="24" t="str">
        <f>VLOOKUP(Sales[[#This Row],[Store]],'Store lay bao  cao'!A:B,2,0)</f>
        <v>Lấy BC</v>
      </c>
      <c r="AJ130" s="24" t="str">
        <f>VLOOKUP(Sales[[#This Row],[Associate]],'Associate Status'!B:C,2,0)</f>
        <v>Retired</v>
      </c>
    </row>
    <row r="131" spans="1:36" x14ac:dyDescent="0.25">
      <c r="A131" s="7">
        <v>2023</v>
      </c>
      <c r="B131" s="8">
        <v>3</v>
      </c>
      <c r="C131" s="8">
        <v>11</v>
      </c>
      <c r="D131" s="8" t="s">
        <v>52</v>
      </c>
      <c r="E131" s="8" t="s">
        <v>37</v>
      </c>
      <c r="F131" s="8" t="s">
        <v>52</v>
      </c>
      <c r="G131" s="9">
        <v>6295039</v>
      </c>
      <c r="H131" s="10">
        <v>5670000</v>
      </c>
      <c r="I131" s="11">
        <v>44994</v>
      </c>
      <c r="J131" s="12">
        <v>182211</v>
      </c>
      <c r="K131" s="13" t="s">
        <v>1102</v>
      </c>
      <c r="L131" s="14" t="s">
        <v>50</v>
      </c>
      <c r="M131" s="11" t="s">
        <v>17</v>
      </c>
      <c r="N131" s="14" t="s">
        <v>11</v>
      </c>
      <c r="O131" s="15">
        <v>6537</v>
      </c>
      <c r="P131" s="12">
        <v>1</v>
      </c>
      <c r="Q131" s="13" t="s">
        <v>144</v>
      </c>
      <c r="R131" s="16">
        <v>17236800</v>
      </c>
      <c r="S131" s="17">
        <v>15669818</v>
      </c>
      <c r="T131" s="12">
        <v>5</v>
      </c>
      <c r="U131" s="18">
        <v>824727</v>
      </c>
      <c r="V131" s="19">
        <v>907200</v>
      </c>
      <c r="W131" s="13" t="s">
        <v>427</v>
      </c>
      <c r="X131" s="14" t="s">
        <v>1109</v>
      </c>
      <c r="Y131" s="13" t="s">
        <v>1096</v>
      </c>
      <c r="Z131" s="14" t="s">
        <v>1110</v>
      </c>
      <c r="AA131" s="17">
        <v>10</v>
      </c>
      <c r="AB131" s="14" t="s">
        <v>1065</v>
      </c>
      <c r="AC131" s="17">
        <v>18144000</v>
      </c>
      <c r="AD131" s="14" t="s">
        <v>108</v>
      </c>
      <c r="AE131" s="17">
        <v>16494545</v>
      </c>
      <c r="AF131" s="14" t="s">
        <v>119</v>
      </c>
      <c r="AG131" s="21" t="s">
        <v>1097</v>
      </c>
      <c r="AH131" s="10">
        <v>9374779</v>
      </c>
      <c r="AI131" s="24" t="str">
        <f>VLOOKUP(Sales[[#This Row],[Store]],'Store lay bao  cao'!A:B,2,0)</f>
        <v>Lấy BC</v>
      </c>
      <c r="AJ131" s="24" t="str">
        <f>VLOOKUP(Sales[[#This Row],[Associate]],'Associate Status'!B:C,2,0)</f>
        <v>Retired</v>
      </c>
    </row>
    <row r="132" spans="1:36" x14ac:dyDescent="0.25">
      <c r="A132" s="7">
        <v>2023</v>
      </c>
      <c r="B132" s="8">
        <v>3</v>
      </c>
      <c r="C132" s="8">
        <v>12</v>
      </c>
      <c r="D132" s="8" t="s">
        <v>52</v>
      </c>
      <c r="E132" s="8" t="s">
        <v>34</v>
      </c>
      <c r="F132" s="8" t="s">
        <v>52</v>
      </c>
      <c r="G132" s="9">
        <v>126437744</v>
      </c>
      <c r="H132" s="10">
        <v>124432605</v>
      </c>
      <c r="I132" s="11">
        <v>44999</v>
      </c>
      <c r="J132" s="12">
        <v>181406</v>
      </c>
      <c r="K132" s="13" t="s">
        <v>1111</v>
      </c>
      <c r="L132" s="14" t="s">
        <v>58</v>
      </c>
      <c r="M132" s="11" t="s">
        <v>17</v>
      </c>
      <c r="N132" s="14" t="s">
        <v>11</v>
      </c>
      <c r="O132" s="15">
        <v>6557</v>
      </c>
      <c r="P132" s="12">
        <v>1</v>
      </c>
      <c r="Q132" s="13" t="s">
        <v>144</v>
      </c>
      <c r="R132" s="16">
        <v>307803600</v>
      </c>
      <c r="S132" s="17">
        <v>279821455</v>
      </c>
      <c r="T132" s="12">
        <v>10</v>
      </c>
      <c r="U132" s="18">
        <v>31091273</v>
      </c>
      <c r="V132" s="19">
        <v>34200400</v>
      </c>
      <c r="W132" s="13" t="s">
        <v>427</v>
      </c>
      <c r="X132" s="14" t="s">
        <v>1112</v>
      </c>
      <c r="Y132" s="13" t="s">
        <v>905</v>
      </c>
      <c r="Z132" s="14" t="s">
        <v>1113</v>
      </c>
      <c r="AA132" s="17">
        <v>12</v>
      </c>
      <c r="AB132" s="14" t="s">
        <v>1114</v>
      </c>
      <c r="AC132" s="17">
        <v>342004000</v>
      </c>
      <c r="AD132" s="14" t="s">
        <v>108</v>
      </c>
      <c r="AE132" s="17">
        <v>310912727</v>
      </c>
      <c r="AF132" s="14" t="s">
        <v>113</v>
      </c>
      <c r="AG132" s="20" t="s">
        <v>906</v>
      </c>
      <c r="AH132" s="10">
        <v>153383711</v>
      </c>
      <c r="AI132" s="24" t="str">
        <f>VLOOKUP(Sales[[#This Row],[Store]],'Store lay bao  cao'!A:B,2,0)</f>
        <v>Lấy BC</v>
      </c>
      <c r="AJ132" s="24" t="str">
        <f>VLOOKUP(Sales[[#This Row],[Associate]],'Associate Status'!B:C,2,0)</f>
        <v>Active</v>
      </c>
    </row>
    <row r="133" spans="1:36" x14ac:dyDescent="0.25">
      <c r="A133" s="7">
        <v>2023</v>
      </c>
      <c r="B133" s="8">
        <v>3</v>
      </c>
      <c r="C133" s="8">
        <v>12</v>
      </c>
      <c r="D133" s="8" t="s">
        <v>52</v>
      </c>
      <c r="E133" s="8" t="s">
        <v>34</v>
      </c>
      <c r="F133" s="8" t="s">
        <v>52</v>
      </c>
      <c r="G133" s="9">
        <v>33983409</v>
      </c>
      <c r="H133" s="10">
        <v>30713500</v>
      </c>
      <c r="I133" s="11">
        <v>44999</v>
      </c>
      <c r="J133" s="12">
        <v>181412</v>
      </c>
      <c r="K133" s="13" t="s">
        <v>1115</v>
      </c>
      <c r="L133" s="14" t="s">
        <v>64</v>
      </c>
      <c r="M133" s="11" t="s">
        <v>17</v>
      </c>
      <c r="N133" s="14" t="s">
        <v>11</v>
      </c>
      <c r="O133" s="15">
        <v>6556</v>
      </c>
      <c r="P133" s="12">
        <v>1</v>
      </c>
      <c r="Q133" s="13" t="s">
        <v>143</v>
      </c>
      <c r="R133" s="16">
        <v>83074650</v>
      </c>
      <c r="S133" s="17">
        <v>75522409</v>
      </c>
      <c r="T133" s="12">
        <v>5</v>
      </c>
      <c r="U133" s="18">
        <v>3974864</v>
      </c>
      <c r="V133" s="19">
        <v>4372350</v>
      </c>
      <c r="W133" s="13" t="s">
        <v>427</v>
      </c>
      <c r="X133" s="14" t="s">
        <v>1116</v>
      </c>
      <c r="Y133" s="13" t="s">
        <v>721</v>
      </c>
      <c r="Z133" s="14" t="s">
        <v>1117</v>
      </c>
      <c r="AA133" s="17">
        <v>11</v>
      </c>
      <c r="AB133" s="14" t="s">
        <v>369</v>
      </c>
      <c r="AC133" s="17">
        <v>87447000</v>
      </c>
      <c r="AD133" s="14" t="s">
        <v>108</v>
      </c>
      <c r="AE133" s="17">
        <v>79497273</v>
      </c>
      <c r="AF133" s="14" t="s">
        <v>125</v>
      </c>
      <c r="AG133" s="21" t="s">
        <v>722</v>
      </c>
      <c r="AH133" s="10">
        <v>41539000</v>
      </c>
      <c r="AI133" s="24" t="str">
        <f>VLOOKUP(Sales[[#This Row],[Store]],'Store lay bao  cao'!A:B,2,0)</f>
        <v>Lấy BC</v>
      </c>
      <c r="AJ133" s="24" t="str">
        <f>VLOOKUP(Sales[[#This Row],[Associate]],'Associate Status'!B:C,2,0)</f>
        <v>Active</v>
      </c>
    </row>
    <row r="134" spans="1:36" x14ac:dyDescent="0.25">
      <c r="A134" s="7">
        <v>2023</v>
      </c>
      <c r="B134" s="8">
        <v>3</v>
      </c>
      <c r="C134" s="8">
        <v>12</v>
      </c>
      <c r="D134" s="8" t="s">
        <v>52</v>
      </c>
      <c r="E134" s="8" t="s">
        <v>34</v>
      </c>
      <c r="F134" s="8" t="s">
        <v>52</v>
      </c>
      <c r="G134" s="9">
        <v>1798582</v>
      </c>
      <c r="H134" s="10">
        <v>1620000</v>
      </c>
      <c r="I134" s="11">
        <v>45003</v>
      </c>
      <c r="J134" s="12">
        <v>182252</v>
      </c>
      <c r="K134" s="13" t="s">
        <v>744</v>
      </c>
      <c r="L134" s="14" t="s">
        <v>50</v>
      </c>
      <c r="M134" s="11" t="s">
        <v>21</v>
      </c>
      <c r="N134" s="14" t="s">
        <v>11</v>
      </c>
      <c r="O134" s="15">
        <v>3414</v>
      </c>
      <c r="P134" s="12">
        <v>1</v>
      </c>
      <c r="Q134" s="13" t="s">
        <v>102</v>
      </c>
      <c r="R134" s="16">
        <v>5184000</v>
      </c>
      <c r="S134" s="17">
        <v>4712727</v>
      </c>
      <c r="T134" s="12">
        <v>0</v>
      </c>
      <c r="U134" s="18">
        <v>0</v>
      </c>
      <c r="V134" s="19">
        <v>0</v>
      </c>
      <c r="W134" s="13" t="s">
        <v>160</v>
      </c>
      <c r="X134" s="14" t="s">
        <v>1118</v>
      </c>
      <c r="Y134" s="13" t="s">
        <v>130</v>
      </c>
      <c r="Z134" s="14" t="s">
        <v>956</v>
      </c>
      <c r="AA134" s="17">
        <v>20</v>
      </c>
      <c r="AB134" s="14" t="s">
        <v>1119</v>
      </c>
      <c r="AC134" s="17">
        <v>5184000</v>
      </c>
      <c r="AD134" s="14" t="s">
        <v>108</v>
      </c>
      <c r="AE134" s="17">
        <v>4712727</v>
      </c>
      <c r="AF134" s="14" t="s">
        <v>990</v>
      </c>
      <c r="AG134" s="20" t="s">
        <v>131</v>
      </c>
      <c r="AH134" s="10">
        <v>2914145</v>
      </c>
      <c r="AI134" s="24" t="str">
        <f>VLOOKUP(Sales[[#This Row],[Store]],'Store lay bao  cao'!A:B,2,0)</f>
        <v>Lấy BC</v>
      </c>
      <c r="AJ134" s="24" t="e">
        <f>VLOOKUP(Sales[[#This Row],[Associate]],'Associate Status'!B:C,2,0)</f>
        <v>#N/A</v>
      </c>
    </row>
    <row r="135" spans="1:36" x14ac:dyDescent="0.25">
      <c r="A135" s="7">
        <v>2023</v>
      </c>
      <c r="B135" s="8">
        <v>3</v>
      </c>
      <c r="C135" s="8">
        <v>12</v>
      </c>
      <c r="D135" s="8" t="s">
        <v>52</v>
      </c>
      <c r="E135" s="8" t="s">
        <v>53</v>
      </c>
      <c r="F135" s="8" t="s">
        <v>52</v>
      </c>
      <c r="G135" s="9">
        <v>5245866</v>
      </c>
      <c r="H135" s="10">
        <v>4725000</v>
      </c>
      <c r="I135" s="11">
        <v>45004</v>
      </c>
      <c r="J135" s="12">
        <v>182203</v>
      </c>
      <c r="K135" s="13" t="s">
        <v>1120</v>
      </c>
      <c r="L135" s="14" t="s">
        <v>50</v>
      </c>
      <c r="M135" s="11" t="s">
        <v>17</v>
      </c>
      <c r="N135" s="14" t="s">
        <v>11</v>
      </c>
      <c r="O135" s="15">
        <v>6568</v>
      </c>
      <c r="P135" s="12">
        <v>1</v>
      </c>
      <c r="Q135" s="13" t="s">
        <v>101</v>
      </c>
      <c r="R135" s="16">
        <v>15120000</v>
      </c>
      <c r="S135" s="17">
        <v>13745455</v>
      </c>
      <c r="T135" s="12">
        <v>0</v>
      </c>
      <c r="U135" s="18">
        <v>0</v>
      </c>
      <c r="V135" s="19">
        <v>0</v>
      </c>
      <c r="W135" s="13" t="s">
        <v>427</v>
      </c>
      <c r="X135" s="14" t="s">
        <v>1121</v>
      </c>
      <c r="Y135" s="13" t="s">
        <v>146</v>
      </c>
      <c r="Z135" s="14" t="s">
        <v>1122</v>
      </c>
      <c r="AA135" s="17">
        <v>12</v>
      </c>
      <c r="AB135" s="14" t="s">
        <v>1119</v>
      </c>
      <c r="AC135" s="17">
        <v>15120000</v>
      </c>
      <c r="AD135" s="14" t="s">
        <v>108</v>
      </c>
      <c r="AE135" s="17">
        <v>13745455</v>
      </c>
      <c r="AF135" s="14" t="s">
        <v>125</v>
      </c>
      <c r="AG135" s="21" t="s">
        <v>464</v>
      </c>
      <c r="AH135" s="10">
        <v>8499589</v>
      </c>
      <c r="AI135" s="24" t="str">
        <f>VLOOKUP(Sales[[#This Row],[Store]],'Store lay bao  cao'!A:B,2,0)</f>
        <v>Lấy BC</v>
      </c>
      <c r="AJ135" s="24" t="str">
        <f>VLOOKUP(Sales[[#This Row],[Associate]],'Associate Status'!B:C,2,0)</f>
        <v>Active</v>
      </c>
    </row>
    <row r="136" spans="1:36" x14ac:dyDescent="0.25">
      <c r="A136" s="7">
        <v>2023</v>
      </c>
      <c r="B136" s="8">
        <v>3</v>
      </c>
      <c r="C136" s="8">
        <v>13</v>
      </c>
      <c r="D136" s="8" t="s">
        <v>51</v>
      </c>
      <c r="E136" s="8" t="s">
        <v>37</v>
      </c>
      <c r="F136" s="8" t="s">
        <v>51</v>
      </c>
      <c r="G136" s="9">
        <v>974585</v>
      </c>
      <c r="H136" s="10">
        <v>849600</v>
      </c>
      <c r="I136" s="11">
        <v>45006</v>
      </c>
      <c r="J136" s="12">
        <v>174863</v>
      </c>
      <c r="K136" s="13" t="s">
        <v>747</v>
      </c>
      <c r="L136" s="14" t="s">
        <v>47</v>
      </c>
      <c r="M136" s="11" t="s">
        <v>21</v>
      </c>
      <c r="N136" s="14" t="s">
        <v>11</v>
      </c>
      <c r="O136" s="15">
        <v>3433</v>
      </c>
      <c r="P136" s="12">
        <v>1</v>
      </c>
      <c r="Q136" s="13" t="s">
        <v>101</v>
      </c>
      <c r="R136" s="16">
        <v>4720000</v>
      </c>
      <c r="S136" s="17">
        <v>4290909</v>
      </c>
      <c r="T136" s="12">
        <v>0</v>
      </c>
      <c r="U136" s="18">
        <v>0</v>
      </c>
      <c r="V136" s="19">
        <v>0</v>
      </c>
      <c r="W136" s="13" t="s">
        <v>124</v>
      </c>
      <c r="X136" s="14" t="s">
        <v>1130</v>
      </c>
      <c r="Y136" s="13" t="s">
        <v>1131</v>
      </c>
      <c r="Z136" s="14" t="s">
        <v>1132</v>
      </c>
      <c r="AA136" s="17">
        <v>16</v>
      </c>
      <c r="AB136" s="14" t="s">
        <v>189</v>
      </c>
      <c r="AC136" s="17">
        <v>4720000</v>
      </c>
      <c r="AD136" s="14" t="s">
        <v>849</v>
      </c>
      <c r="AE136" s="17">
        <v>4290909</v>
      </c>
      <c r="AF136" s="14" t="s">
        <v>139</v>
      </c>
      <c r="AG136" s="20" t="s">
        <v>1133</v>
      </c>
      <c r="AH136" s="10">
        <v>3316324</v>
      </c>
      <c r="AI136" s="24" t="str">
        <f>VLOOKUP(Sales[[#This Row],[Store]],'Store lay bao  cao'!A:B,2,0)</f>
        <v>Lấy BC</v>
      </c>
      <c r="AJ136" s="24" t="str">
        <f>VLOOKUP(Sales[[#This Row],[Associate]],'Associate Status'!B:C,2,0)</f>
        <v>Active</v>
      </c>
    </row>
    <row r="137" spans="1:36" x14ac:dyDescent="0.25">
      <c r="A137" s="7">
        <v>2023</v>
      </c>
      <c r="B137" s="8">
        <v>3</v>
      </c>
      <c r="C137" s="8">
        <v>13</v>
      </c>
      <c r="D137" s="8" t="s">
        <v>52</v>
      </c>
      <c r="E137" s="8" t="s">
        <v>34</v>
      </c>
      <c r="F137" s="8" t="s">
        <v>52</v>
      </c>
      <c r="G137" s="9">
        <v>34255219</v>
      </c>
      <c r="H137" s="10">
        <v>33711975</v>
      </c>
      <c r="I137" s="11">
        <v>45008</v>
      </c>
      <c r="J137" s="12">
        <v>181390</v>
      </c>
      <c r="K137" s="13" t="s">
        <v>1134</v>
      </c>
      <c r="L137" s="14" t="s">
        <v>58</v>
      </c>
      <c r="M137" s="11" t="s">
        <v>13</v>
      </c>
      <c r="N137" s="14" t="s">
        <v>11</v>
      </c>
      <c r="O137" s="15">
        <v>329</v>
      </c>
      <c r="P137" s="12">
        <v>1</v>
      </c>
      <c r="Q137" s="13" t="s">
        <v>144</v>
      </c>
      <c r="R137" s="16">
        <v>83392200</v>
      </c>
      <c r="S137" s="17">
        <v>75811091</v>
      </c>
      <c r="T137" s="12">
        <v>10</v>
      </c>
      <c r="U137" s="18">
        <v>8423455</v>
      </c>
      <c r="V137" s="19">
        <v>9265800</v>
      </c>
      <c r="W137" s="13" t="s">
        <v>901</v>
      </c>
      <c r="X137" s="14" t="s">
        <v>1135</v>
      </c>
      <c r="Y137" s="13" t="s">
        <v>198</v>
      </c>
      <c r="Z137" s="14" t="s">
        <v>1136</v>
      </c>
      <c r="AA137" s="17">
        <v>9</v>
      </c>
      <c r="AB137" s="14" t="s">
        <v>1137</v>
      </c>
      <c r="AC137" s="17">
        <v>92658000</v>
      </c>
      <c r="AD137" s="14" t="s">
        <v>108</v>
      </c>
      <c r="AE137" s="17">
        <v>84234545</v>
      </c>
      <c r="AF137" s="14" t="s">
        <v>426</v>
      </c>
      <c r="AG137" s="21" t="s">
        <v>199</v>
      </c>
      <c r="AH137" s="10">
        <v>41555872</v>
      </c>
      <c r="AI137" s="24" t="str">
        <f>VLOOKUP(Sales[[#This Row],[Store]],'Store lay bao  cao'!A:B,2,0)</f>
        <v>Lấy BC</v>
      </c>
      <c r="AJ137" s="24" t="e">
        <f>VLOOKUP(Sales[[#This Row],[Associate]],'Associate Status'!B:C,2,0)</f>
        <v>#N/A</v>
      </c>
    </row>
    <row r="138" spans="1:36" x14ac:dyDescent="0.25">
      <c r="A138" s="7">
        <v>2023</v>
      </c>
      <c r="B138" s="8">
        <v>3</v>
      </c>
      <c r="C138" s="8">
        <v>13</v>
      </c>
      <c r="D138" s="8" t="s">
        <v>51</v>
      </c>
      <c r="E138" s="8" t="s">
        <v>37</v>
      </c>
      <c r="F138" s="8" t="s">
        <v>51</v>
      </c>
      <c r="G138" s="9">
        <v>2910219</v>
      </c>
      <c r="H138" s="10">
        <v>2537000</v>
      </c>
      <c r="I138" s="11">
        <v>45011</v>
      </c>
      <c r="J138" s="12">
        <v>174901</v>
      </c>
      <c r="K138" s="13" t="s">
        <v>385</v>
      </c>
      <c r="L138" s="14" t="s">
        <v>47</v>
      </c>
      <c r="M138" s="11" t="s">
        <v>15</v>
      </c>
      <c r="N138" s="14" t="s">
        <v>11</v>
      </c>
      <c r="O138" s="15">
        <v>1999</v>
      </c>
      <c r="P138" s="12">
        <v>1</v>
      </c>
      <c r="Q138" s="13" t="s">
        <v>101</v>
      </c>
      <c r="R138" s="16">
        <v>14160000</v>
      </c>
      <c r="S138" s="17">
        <v>12872727</v>
      </c>
      <c r="T138" s="12">
        <v>0</v>
      </c>
      <c r="U138" s="18">
        <v>0</v>
      </c>
      <c r="V138" s="19">
        <v>0</v>
      </c>
      <c r="W138" s="13" t="s">
        <v>104</v>
      </c>
      <c r="X138" s="14" t="s">
        <v>1138</v>
      </c>
      <c r="Y138" s="13" t="s">
        <v>320</v>
      </c>
      <c r="Z138" s="14" t="s">
        <v>1139</v>
      </c>
      <c r="AA138" s="17">
        <v>15</v>
      </c>
      <c r="AB138" s="14" t="s">
        <v>224</v>
      </c>
      <c r="AC138" s="17">
        <v>14160000</v>
      </c>
      <c r="AD138" s="14" t="s">
        <v>849</v>
      </c>
      <c r="AE138" s="17">
        <v>12872727</v>
      </c>
      <c r="AF138" s="14" t="s">
        <v>136</v>
      </c>
      <c r="AG138" s="20" t="s">
        <v>321</v>
      </c>
      <c r="AH138" s="10">
        <v>9962508</v>
      </c>
      <c r="AI138" s="24" t="str">
        <f>VLOOKUP(Sales[[#This Row],[Store]],'Store lay bao  cao'!A:B,2,0)</f>
        <v>Lấy BC</v>
      </c>
      <c r="AJ138" s="24" t="str">
        <f>VLOOKUP(Sales[[#This Row],[Associate]],'Associate Status'!B:C,2,0)</f>
        <v>Active</v>
      </c>
    </row>
    <row r="139" spans="1:36" x14ac:dyDescent="0.25">
      <c r="A139" s="7">
        <v>2023</v>
      </c>
      <c r="B139" s="8">
        <v>3</v>
      </c>
      <c r="C139" s="8">
        <v>14</v>
      </c>
      <c r="D139" s="8" t="s">
        <v>51</v>
      </c>
      <c r="E139" s="8" t="s">
        <v>43</v>
      </c>
      <c r="F139" s="8" t="s">
        <v>51</v>
      </c>
      <c r="G139" s="9">
        <v>913673</v>
      </c>
      <c r="H139" s="10">
        <v>796500</v>
      </c>
      <c r="I139" s="11">
        <v>45013</v>
      </c>
      <c r="J139" s="12">
        <v>174916</v>
      </c>
      <c r="K139" s="13" t="s">
        <v>1140</v>
      </c>
      <c r="L139" s="14" t="s">
        <v>47</v>
      </c>
      <c r="M139" s="11" t="s">
        <v>17</v>
      </c>
      <c r="N139" s="14" t="s">
        <v>11</v>
      </c>
      <c r="O139" s="15">
        <v>6601</v>
      </c>
      <c r="P139" s="12">
        <v>1</v>
      </c>
      <c r="Q139" s="13" t="s">
        <v>101</v>
      </c>
      <c r="R139" s="16">
        <v>4425000</v>
      </c>
      <c r="S139" s="17">
        <v>4022727</v>
      </c>
      <c r="T139" s="12">
        <v>0</v>
      </c>
      <c r="U139" s="18">
        <v>0</v>
      </c>
      <c r="V139" s="19">
        <v>0</v>
      </c>
      <c r="W139" s="13" t="s">
        <v>140</v>
      </c>
      <c r="X139" s="14" t="s">
        <v>1141</v>
      </c>
      <c r="Y139" s="13" t="s">
        <v>249</v>
      </c>
      <c r="Z139" s="14" t="s">
        <v>54</v>
      </c>
      <c r="AA139" s="17">
        <v>11</v>
      </c>
      <c r="AB139" s="14" t="s">
        <v>161</v>
      </c>
      <c r="AC139" s="17">
        <v>4425000</v>
      </c>
      <c r="AD139" s="14" t="s">
        <v>849</v>
      </c>
      <c r="AE139" s="17">
        <v>4022727</v>
      </c>
      <c r="AF139" s="14" t="s">
        <v>885</v>
      </c>
      <c r="AG139" s="21" t="s">
        <v>250</v>
      </c>
      <c r="AH139" s="10">
        <v>3109054</v>
      </c>
      <c r="AI139" s="24" t="str">
        <f>VLOOKUP(Sales[[#This Row],[Store]],'Store lay bao  cao'!A:B,2,0)</f>
        <v>Lấy BC</v>
      </c>
      <c r="AJ139" s="24" t="str">
        <f>VLOOKUP(Sales[[#This Row],[Associate]],'Associate Status'!B:C,2,0)</f>
        <v>Retired</v>
      </c>
    </row>
    <row r="140" spans="1:36" x14ac:dyDescent="0.25">
      <c r="A140" s="7">
        <v>2023</v>
      </c>
      <c r="B140" s="8">
        <v>4</v>
      </c>
      <c r="C140" s="8">
        <v>14</v>
      </c>
      <c r="D140" s="8" t="s">
        <v>51</v>
      </c>
      <c r="E140" s="8" t="s">
        <v>37</v>
      </c>
      <c r="F140" s="8" t="s">
        <v>51</v>
      </c>
      <c r="G140" s="9">
        <v>1336670</v>
      </c>
      <c r="H140" s="10">
        <v>1165250</v>
      </c>
      <c r="I140" s="11">
        <v>45017</v>
      </c>
      <c r="J140" s="12">
        <v>174874</v>
      </c>
      <c r="K140" s="13" t="s">
        <v>1142</v>
      </c>
      <c r="L140" s="14" t="s">
        <v>47</v>
      </c>
      <c r="M140" s="11" t="s">
        <v>15</v>
      </c>
      <c r="N140" s="14" t="s">
        <v>11</v>
      </c>
      <c r="O140" s="15">
        <v>2030</v>
      </c>
      <c r="P140" s="12">
        <v>1</v>
      </c>
      <c r="Q140" s="13" t="s">
        <v>110</v>
      </c>
      <c r="R140" s="16">
        <v>6490000</v>
      </c>
      <c r="S140" s="17">
        <v>5900000</v>
      </c>
      <c r="T140" s="12">
        <v>0</v>
      </c>
      <c r="U140" s="18">
        <v>0</v>
      </c>
      <c r="V140" s="19">
        <v>0</v>
      </c>
      <c r="W140" s="13" t="s">
        <v>135</v>
      </c>
      <c r="X140" s="14" t="s">
        <v>1007</v>
      </c>
      <c r="Y140" s="13" t="s">
        <v>930</v>
      </c>
      <c r="Z140" s="14" t="s">
        <v>850</v>
      </c>
      <c r="AA140" s="17">
        <v>19</v>
      </c>
      <c r="AB140" s="14" t="s">
        <v>944</v>
      </c>
      <c r="AC140" s="17">
        <v>6490000</v>
      </c>
      <c r="AD140" s="14" t="s">
        <v>849</v>
      </c>
      <c r="AE140" s="17">
        <v>5900000</v>
      </c>
      <c r="AF140" s="14" t="s">
        <v>2595</v>
      </c>
      <c r="AG140" s="20" t="s">
        <v>931</v>
      </c>
      <c r="AH140" s="10">
        <v>4563330</v>
      </c>
      <c r="AI140" s="24" t="str">
        <f>VLOOKUP(Sales[[#This Row],[Store]],'Store lay bao  cao'!A:B,2,0)</f>
        <v>Lấy BC</v>
      </c>
      <c r="AJ140" s="24" t="e">
        <f>VLOOKUP(Sales[[#This Row],[Associate]],'Associate Status'!B:C,2,0)</f>
        <v>#N/A</v>
      </c>
    </row>
    <row r="141" spans="1:36" x14ac:dyDescent="0.25">
      <c r="A141" s="7">
        <v>2023</v>
      </c>
      <c r="B141" s="8">
        <v>4</v>
      </c>
      <c r="C141" s="8">
        <v>15</v>
      </c>
      <c r="D141" s="8" t="s">
        <v>51</v>
      </c>
      <c r="E141" s="8" t="s">
        <v>37</v>
      </c>
      <c r="F141" s="8" t="s">
        <v>51</v>
      </c>
      <c r="G141" s="9">
        <v>2010080</v>
      </c>
      <c r="H141" s="10">
        <v>1752300</v>
      </c>
      <c r="I141" s="11">
        <v>45022</v>
      </c>
      <c r="J141" s="12">
        <v>174895</v>
      </c>
      <c r="K141" s="13" t="s">
        <v>386</v>
      </c>
      <c r="L141" s="14" t="s">
        <v>47</v>
      </c>
      <c r="M141" s="11" t="s">
        <v>15</v>
      </c>
      <c r="N141" s="14" t="s">
        <v>11</v>
      </c>
      <c r="O141" s="15">
        <v>2048</v>
      </c>
      <c r="P141" s="12">
        <v>1</v>
      </c>
      <c r="Q141" s="13" t="s">
        <v>144</v>
      </c>
      <c r="R141" s="16">
        <v>9735000</v>
      </c>
      <c r="S141" s="17">
        <v>8850000</v>
      </c>
      <c r="T141" s="12">
        <v>0</v>
      </c>
      <c r="U141" s="18">
        <v>0</v>
      </c>
      <c r="V141" s="19">
        <v>0</v>
      </c>
      <c r="W141" s="13" t="s">
        <v>104</v>
      </c>
      <c r="X141" s="14" t="s">
        <v>952</v>
      </c>
      <c r="Y141" s="13" t="s">
        <v>968</v>
      </c>
      <c r="Z141" s="14" t="s">
        <v>1145</v>
      </c>
      <c r="AA141" s="17">
        <v>12</v>
      </c>
      <c r="AB141" s="14" t="s">
        <v>301</v>
      </c>
      <c r="AC141" s="17">
        <v>9735000</v>
      </c>
      <c r="AD141" s="14" t="s">
        <v>849</v>
      </c>
      <c r="AE141" s="17">
        <v>8850000</v>
      </c>
      <c r="AF141" s="14" t="s">
        <v>106</v>
      </c>
      <c r="AG141" s="21" t="s">
        <v>969</v>
      </c>
      <c r="AH141" s="10">
        <v>6839920</v>
      </c>
      <c r="AI141" s="24" t="str">
        <f>VLOOKUP(Sales[[#This Row],[Store]],'Store lay bao  cao'!A:B,2,0)</f>
        <v>Lấy BC</v>
      </c>
      <c r="AJ141" s="24" t="str">
        <f>VLOOKUP(Sales[[#This Row],[Associate]],'Associate Status'!B:C,2,0)</f>
        <v>Active</v>
      </c>
    </row>
    <row r="142" spans="1:36" x14ac:dyDescent="0.25">
      <c r="A142" s="7">
        <v>2023</v>
      </c>
      <c r="B142" s="8">
        <v>4</v>
      </c>
      <c r="C142" s="8">
        <v>17</v>
      </c>
      <c r="D142" s="8" t="s">
        <v>31</v>
      </c>
      <c r="E142" s="8" t="s">
        <v>12</v>
      </c>
      <c r="F142" s="8" t="s">
        <v>31</v>
      </c>
      <c r="G142" s="9">
        <v>15421801</v>
      </c>
      <c r="H142" s="10">
        <v>16753300.000000002</v>
      </c>
      <c r="I142" s="11">
        <v>45035</v>
      </c>
      <c r="J142" s="12">
        <v>125438</v>
      </c>
      <c r="K142" s="13" t="s">
        <v>393</v>
      </c>
      <c r="L142" s="14" t="s">
        <v>32</v>
      </c>
      <c r="M142" s="11" t="s">
        <v>15</v>
      </c>
      <c r="N142" s="14" t="s">
        <v>11</v>
      </c>
      <c r="O142" s="15">
        <v>2154</v>
      </c>
      <c r="P142" s="12">
        <v>1</v>
      </c>
      <c r="Q142" s="13" t="s">
        <v>144</v>
      </c>
      <c r="R142" s="16">
        <v>33381000</v>
      </c>
      <c r="S142" s="17">
        <v>30346364</v>
      </c>
      <c r="T142" s="12">
        <v>0</v>
      </c>
      <c r="U142" s="18">
        <v>0</v>
      </c>
      <c r="V142" s="19">
        <v>0</v>
      </c>
      <c r="W142" s="13" t="s">
        <v>104</v>
      </c>
      <c r="X142" s="14" t="s">
        <v>1147</v>
      </c>
      <c r="Y142" s="13" t="s">
        <v>742</v>
      </c>
      <c r="Z142" s="14" t="s">
        <v>1148</v>
      </c>
      <c r="AA142" s="17">
        <v>15</v>
      </c>
      <c r="AB142" s="14" t="s">
        <v>173</v>
      </c>
      <c r="AC142" s="17">
        <v>33381000</v>
      </c>
      <c r="AD142" s="14" t="s">
        <v>108</v>
      </c>
      <c r="AE142" s="17">
        <v>30346364</v>
      </c>
      <c r="AF142" s="14" t="s">
        <v>2595</v>
      </c>
      <c r="AG142" s="20" t="s">
        <v>743</v>
      </c>
      <c r="AH142" s="10">
        <v>14924563</v>
      </c>
      <c r="AI142" s="24" t="str">
        <f>VLOOKUP(Sales[[#This Row],[Store]],'Store lay bao  cao'!A:B,2,0)</f>
        <v>Lấy BC</v>
      </c>
      <c r="AJ142" s="24" t="e">
        <f>VLOOKUP(Sales[[#This Row],[Associate]],'Associate Status'!B:C,2,0)</f>
        <v>#N/A</v>
      </c>
    </row>
    <row r="143" spans="1:36" x14ac:dyDescent="0.25">
      <c r="A143" s="7">
        <v>2023</v>
      </c>
      <c r="B143" s="8">
        <v>4</v>
      </c>
      <c r="C143" s="8">
        <v>17</v>
      </c>
      <c r="D143" s="8" t="s">
        <v>52</v>
      </c>
      <c r="E143" s="8" t="s">
        <v>34</v>
      </c>
      <c r="F143" s="8" t="s">
        <v>52</v>
      </c>
      <c r="G143" s="9">
        <v>2068370</v>
      </c>
      <c r="H143" s="10">
        <v>1863000</v>
      </c>
      <c r="I143" s="11">
        <v>45035</v>
      </c>
      <c r="J143" s="12">
        <v>182249</v>
      </c>
      <c r="K143" s="13" t="s">
        <v>1149</v>
      </c>
      <c r="L143" s="14" t="s">
        <v>50</v>
      </c>
      <c r="M143" s="11" t="s">
        <v>17</v>
      </c>
      <c r="N143" s="14" t="s">
        <v>11</v>
      </c>
      <c r="O143" s="15">
        <v>6719</v>
      </c>
      <c r="P143" s="12">
        <v>1</v>
      </c>
      <c r="Q143" s="13" t="s">
        <v>144</v>
      </c>
      <c r="R143" s="16">
        <v>5663900</v>
      </c>
      <c r="S143" s="17">
        <v>5149000</v>
      </c>
      <c r="T143" s="12">
        <v>5</v>
      </c>
      <c r="U143" s="18">
        <v>271000</v>
      </c>
      <c r="V143" s="19">
        <v>298100</v>
      </c>
      <c r="W143" s="13" t="s">
        <v>427</v>
      </c>
      <c r="X143" s="14" t="s">
        <v>1150</v>
      </c>
      <c r="Y143" s="13" t="s">
        <v>318</v>
      </c>
      <c r="Z143" s="14" t="s">
        <v>953</v>
      </c>
      <c r="AA143" s="17">
        <v>17</v>
      </c>
      <c r="AB143" s="14" t="s">
        <v>1151</v>
      </c>
      <c r="AC143" s="17">
        <v>5962000</v>
      </c>
      <c r="AD143" s="14" t="s">
        <v>108</v>
      </c>
      <c r="AE143" s="17">
        <v>5420000</v>
      </c>
      <c r="AF143" s="14" t="s">
        <v>846</v>
      </c>
      <c r="AG143" s="21" t="s">
        <v>325</v>
      </c>
      <c r="AH143" s="10">
        <v>3080630</v>
      </c>
      <c r="AI143" s="24" t="str">
        <f>VLOOKUP(Sales[[#This Row],[Store]],'Store lay bao  cao'!A:B,2,0)</f>
        <v>Lấy BC</v>
      </c>
      <c r="AJ143" s="24" t="str">
        <f>VLOOKUP(Sales[[#This Row],[Associate]],'Associate Status'!B:C,2,0)</f>
        <v>Active</v>
      </c>
    </row>
    <row r="144" spans="1:36" x14ac:dyDescent="0.25">
      <c r="A144" s="7">
        <v>2023</v>
      </c>
      <c r="B144" s="8">
        <v>4</v>
      </c>
      <c r="C144" s="8">
        <v>18</v>
      </c>
      <c r="D144" s="8" t="s">
        <v>52</v>
      </c>
      <c r="E144" s="8" t="s">
        <v>43</v>
      </c>
      <c r="F144" s="8" t="s">
        <v>52</v>
      </c>
      <c r="G144" s="9">
        <v>63338832</v>
      </c>
      <c r="H144" s="10">
        <v>62334360</v>
      </c>
      <c r="I144" s="11">
        <v>45045</v>
      </c>
      <c r="J144" s="12">
        <v>181400</v>
      </c>
      <c r="K144" s="13" t="s">
        <v>1153</v>
      </c>
      <c r="L144" s="14" t="s">
        <v>58</v>
      </c>
      <c r="M144" s="11" t="s">
        <v>17</v>
      </c>
      <c r="N144" s="14" t="s">
        <v>11</v>
      </c>
      <c r="O144" s="15">
        <v>6764</v>
      </c>
      <c r="P144" s="12">
        <v>1</v>
      </c>
      <c r="Q144" s="13" t="s">
        <v>110</v>
      </c>
      <c r="R144" s="16">
        <v>154193400</v>
      </c>
      <c r="S144" s="17">
        <v>140175818</v>
      </c>
      <c r="T144" s="12">
        <v>10</v>
      </c>
      <c r="U144" s="18">
        <v>15575091</v>
      </c>
      <c r="V144" s="19">
        <v>17132600</v>
      </c>
      <c r="W144" s="13" t="s">
        <v>427</v>
      </c>
      <c r="X144" s="14" t="s">
        <v>1154</v>
      </c>
      <c r="Y144" s="13" t="s">
        <v>318</v>
      </c>
      <c r="Z144" s="14" t="s">
        <v>1155</v>
      </c>
      <c r="AA144" s="17">
        <v>18</v>
      </c>
      <c r="AB144" s="14" t="s">
        <v>1156</v>
      </c>
      <c r="AC144" s="17">
        <v>171326000</v>
      </c>
      <c r="AD144" s="14" t="s">
        <v>108</v>
      </c>
      <c r="AE144" s="17">
        <v>155750909</v>
      </c>
      <c r="AF144" s="14" t="s">
        <v>846</v>
      </c>
      <c r="AG144" s="20" t="s">
        <v>325</v>
      </c>
      <c r="AH144" s="10">
        <v>76836986</v>
      </c>
      <c r="AI144" s="24" t="str">
        <f>VLOOKUP(Sales[[#This Row],[Store]],'Store lay bao  cao'!A:B,2,0)</f>
        <v>Lấy BC</v>
      </c>
      <c r="AJ144" s="24" t="str">
        <f>VLOOKUP(Sales[[#This Row],[Associate]],'Associate Status'!B:C,2,0)</f>
        <v>Active</v>
      </c>
    </row>
    <row r="145" spans="1:36" x14ac:dyDescent="0.25">
      <c r="A145" s="7">
        <v>2023</v>
      </c>
      <c r="B145" s="8">
        <v>5</v>
      </c>
      <c r="C145" s="8">
        <v>19</v>
      </c>
      <c r="D145" s="8" t="s">
        <v>52</v>
      </c>
      <c r="E145" s="8" t="s">
        <v>37</v>
      </c>
      <c r="F145" s="8" t="s">
        <v>52</v>
      </c>
      <c r="G145" s="9">
        <v>41533698</v>
      </c>
      <c r="H145" s="10">
        <v>35139600</v>
      </c>
      <c r="I145" s="11">
        <v>45050</v>
      </c>
      <c r="J145" s="12">
        <v>186479</v>
      </c>
      <c r="K145" s="13" t="s">
        <v>1158</v>
      </c>
      <c r="L145" s="14" t="s">
        <v>19</v>
      </c>
      <c r="M145" s="11" t="s">
        <v>17</v>
      </c>
      <c r="N145" s="14" t="s">
        <v>11</v>
      </c>
      <c r="O145" s="15">
        <v>6785</v>
      </c>
      <c r="P145" s="12">
        <v>1</v>
      </c>
      <c r="Q145" s="13" t="s">
        <v>175</v>
      </c>
      <c r="R145" s="16">
        <v>108493800</v>
      </c>
      <c r="S145" s="17">
        <v>98630727</v>
      </c>
      <c r="T145" s="12">
        <v>5</v>
      </c>
      <c r="U145" s="18">
        <v>5191091</v>
      </c>
      <c r="V145" s="19">
        <v>5710200</v>
      </c>
      <c r="W145" s="13" t="s">
        <v>140</v>
      </c>
      <c r="X145" s="14" t="s">
        <v>1159</v>
      </c>
      <c r="Y145" s="13" t="s">
        <v>206</v>
      </c>
      <c r="Z145" s="14" t="s">
        <v>1160</v>
      </c>
      <c r="AA145" s="17">
        <v>19</v>
      </c>
      <c r="AB145" s="14" t="s">
        <v>1161</v>
      </c>
      <c r="AC145" s="17">
        <v>114204000</v>
      </c>
      <c r="AD145" s="14" t="s">
        <v>108</v>
      </c>
      <c r="AE145" s="17">
        <v>103821818</v>
      </c>
      <c r="AF145" s="14" t="s">
        <v>113</v>
      </c>
      <c r="AG145" s="21" t="s">
        <v>207</v>
      </c>
      <c r="AH145" s="10">
        <v>57097029</v>
      </c>
      <c r="AI145" s="24" t="str">
        <f>VLOOKUP(Sales[[#This Row],[Store]],'Store lay bao  cao'!A:B,2,0)</f>
        <v>Lấy BC</v>
      </c>
      <c r="AJ145" s="24" t="str">
        <f>VLOOKUP(Sales[[#This Row],[Associate]],'Associate Status'!B:C,2,0)</f>
        <v>Active</v>
      </c>
    </row>
    <row r="146" spans="1:36" x14ac:dyDescent="0.25">
      <c r="A146" s="7">
        <v>2023</v>
      </c>
      <c r="B146" s="8">
        <v>5</v>
      </c>
      <c r="C146" s="8">
        <v>19</v>
      </c>
      <c r="D146" s="8" t="s">
        <v>52</v>
      </c>
      <c r="E146" s="8" t="s">
        <v>37</v>
      </c>
      <c r="F146" s="8" t="s">
        <v>52</v>
      </c>
      <c r="G146" s="9">
        <v>25020328</v>
      </c>
      <c r="H146" s="10">
        <v>21310800</v>
      </c>
      <c r="I146" s="11">
        <v>45050</v>
      </c>
      <c r="J146" s="12">
        <v>186475</v>
      </c>
      <c r="K146" s="13" t="s">
        <v>1162</v>
      </c>
      <c r="L146" s="14" t="s">
        <v>19</v>
      </c>
      <c r="M146" s="11" t="s">
        <v>17</v>
      </c>
      <c r="N146" s="14" t="s">
        <v>11</v>
      </c>
      <c r="O146" s="15">
        <v>6784</v>
      </c>
      <c r="P146" s="12">
        <v>1</v>
      </c>
      <c r="Q146" s="13" t="s">
        <v>175</v>
      </c>
      <c r="R146" s="16">
        <v>65797950</v>
      </c>
      <c r="S146" s="17">
        <v>59816318</v>
      </c>
      <c r="T146" s="12">
        <v>5</v>
      </c>
      <c r="U146" s="18">
        <v>3148227</v>
      </c>
      <c r="V146" s="19">
        <v>3463050</v>
      </c>
      <c r="W146" s="13" t="s">
        <v>140</v>
      </c>
      <c r="X146" s="14" t="s">
        <v>1163</v>
      </c>
      <c r="Y146" s="13" t="s">
        <v>206</v>
      </c>
      <c r="Z146" s="14" t="s">
        <v>1164</v>
      </c>
      <c r="AA146" s="17">
        <v>19</v>
      </c>
      <c r="AB146" s="14" t="s">
        <v>1165</v>
      </c>
      <c r="AC146" s="17">
        <v>69261000</v>
      </c>
      <c r="AD146" s="14" t="s">
        <v>108</v>
      </c>
      <c r="AE146" s="17">
        <v>62964545</v>
      </c>
      <c r="AF146" s="14" t="s">
        <v>129</v>
      </c>
      <c r="AG146" s="20" t="s">
        <v>207</v>
      </c>
      <c r="AH146" s="10">
        <v>34795990</v>
      </c>
      <c r="AI146" s="24" t="str">
        <f>VLOOKUP(Sales[[#This Row],[Store]],'Store lay bao  cao'!A:B,2,0)</f>
        <v>Lấy BC</v>
      </c>
      <c r="AJ146" s="24" t="str">
        <f>VLOOKUP(Sales[[#This Row],[Associate]],'Associate Status'!B:C,2,0)</f>
        <v>Active</v>
      </c>
    </row>
    <row r="147" spans="1:36" x14ac:dyDescent="0.25">
      <c r="A147" s="7">
        <v>2023</v>
      </c>
      <c r="B147" s="8">
        <v>5</v>
      </c>
      <c r="C147" s="8">
        <v>19</v>
      </c>
      <c r="D147" s="8" t="s">
        <v>52</v>
      </c>
      <c r="E147" s="8" t="s">
        <v>34</v>
      </c>
      <c r="F147" s="8" t="s">
        <v>52</v>
      </c>
      <c r="G147" s="9">
        <v>9280769</v>
      </c>
      <c r="H147" s="10">
        <v>8875200</v>
      </c>
      <c r="I147" s="11">
        <v>45050</v>
      </c>
      <c r="J147" s="12">
        <v>186457</v>
      </c>
      <c r="K147" s="13" t="s">
        <v>1162</v>
      </c>
      <c r="L147" s="14" t="s">
        <v>19</v>
      </c>
      <c r="M147" s="11" t="s">
        <v>17</v>
      </c>
      <c r="N147" s="14" t="s">
        <v>11</v>
      </c>
      <c r="O147" s="15">
        <v>6784</v>
      </c>
      <c r="P147" s="12">
        <v>1</v>
      </c>
      <c r="Q147" s="13" t="s">
        <v>175</v>
      </c>
      <c r="R147" s="16">
        <v>27402750</v>
      </c>
      <c r="S147" s="17">
        <v>24911591</v>
      </c>
      <c r="T147" s="12">
        <v>5</v>
      </c>
      <c r="U147" s="18">
        <v>1311136</v>
      </c>
      <c r="V147" s="19">
        <v>1442250</v>
      </c>
      <c r="W147" s="13" t="s">
        <v>140</v>
      </c>
      <c r="X147" s="14" t="s">
        <v>1166</v>
      </c>
      <c r="Y147" s="13" t="s">
        <v>206</v>
      </c>
      <c r="Z147" s="14" t="s">
        <v>1167</v>
      </c>
      <c r="AA147" s="17">
        <v>19</v>
      </c>
      <c r="AB147" s="14" t="s">
        <v>1168</v>
      </c>
      <c r="AC147" s="17">
        <v>28845000</v>
      </c>
      <c r="AD147" s="14" t="s">
        <v>108</v>
      </c>
      <c r="AE147" s="17">
        <v>26222727</v>
      </c>
      <c r="AF147" s="14" t="s">
        <v>129</v>
      </c>
      <c r="AG147" s="21" t="s">
        <v>207</v>
      </c>
      <c r="AH147" s="10">
        <v>15630822</v>
      </c>
      <c r="AI147" s="24" t="str">
        <f>VLOOKUP(Sales[[#This Row],[Store]],'Store lay bao  cao'!A:B,2,0)</f>
        <v>Lấy BC</v>
      </c>
      <c r="AJ147" s="24" t="str">
        <f>VLOOKUP(Sales[[#This Row],[Associate]],'Associate Status'!B:C,2,0)</f>
        <v>Active</v>
      </c>
    </row>
    <row r="148" spans="1:36" x14ac:dyDescent="0.25">
      <c r="A148" s="7">
        <v>2023</v>
      </c>
      <c r="B148" s="8">
        <v>5</v>
      </c>
      <c r="C148" s="8">
        <v>19</v>
      </c>
      <c r="D148" s="8" t="s">
        <v>52</v>
      </c>
      <c r="E148" s="8" t="s">
        <v>34</v>
      </c>
      <c r="F148" s="8" t="s">
        <v>52</v>
      </c>
      <c r="G148" s="9">
        <v>45734672</v>
      </c>
      <c r="H148" s="10">
        <v>38700000</v>
      </c>
      <c r="I148" s="11">
        <v>45050</v>
      </c>
      <c r="J148" s="12">
        <v>186460</v>
      </c>
      <c r="K148" s="13" t="s">
        <v>1162</v>
      </c>
      <c r="L148" s="14" t="s">
        <v>19</v>
      </c>
      <c r="M148" s="11" t="s">
        <v>17</v>
      </c>
      <c r="N148" s="14" t="s">
        <v>11</v>
      </c>
      <c r="O148" s="15">
        <v>6784</v>
      </c>
      <c r="P148" s="12">
        <v>1</v>
      </c>
      <c r="Q148" s="13" t="s">
        <v>175</v>
      </c>
      <c r="R148" s="16">
        <v>119486250</v>
      </c>
      <c r="S148" s="17">
        <v>108623864</v>
      </c>
      <c r="T148" s="12">
        <v>5</v>
      </c>
      <c r="U148" s="18">
        <v>5717045</v>
      </c>
      <c r="V148" s="19">
        <v>6288750</v>
      </c>
      <c r="W148" s="13" t="s">
        <v>140</v>
      </c>
      <c r="X148" s="14" t="s">
        <v>1169</v>
      </c>
      <c r="Y148" s="13" t="s">
        <v>206</v>
      </c>
      <c r="Z148" s="14" t="s">
        <v>1170</v>
      </c>
      <c r="AA148" s="17">
        <v>19</v>
      </c>
      <c r="AB148" s="14" t="s">
        <v>1171</v>
      </c>
      <c r="AC148" s="17">
        <v>125775000</v>
      </c>
      <c r="AD148" s="14" t="s">
        <v>108</v>
      </c>
      <c r="AE148" s="17">
        <v>114340909</v>
      </c>
      <c r="AF148" s="14" t="s">
        <v>129</v>
      </c>
      <c r="AG148" s="20" t="s">
        <v>207</v>
      </c>
      <c r="AH148" s="10">
        <v>62889192</v>
      </c>
      <c r="AI148" s="24" t="str">
        <f>VLOOKUP(Sales[[#This Row],[Store]],'Store lay bao  cao'!A:B,2,0)</f>
        <v>Lấy BC</v>
      </c>
      <c r="AJ148" s="24" t="str">
        <f>VLOOKUP(Sales[[#This Row],[Associate]],'Associate Status'!B:C,2,0)</f>
        <v>Active</v>
      </c>
    </row>
    <row r="149" spans="1:36" x14ac:dyDescent="0.25">
      <c r="A149" s="7">
        <v>2023</v>
      </c>
      <c r="B149" s="8">
        <v>5</v>
      </c>
      <c r="C149" s="8">
        <v>19</v>
      </c>
      <c r="D149" s="8" t="s">
        <v>52</v>
      </c>
      <c r="E149" s="8" t="s">
        <v>34</v>
      </c>
      <c r="F149" s="8" t="s">
        <v>52</v>
      </c>
      <c r="G149" s="9">
        <v>11219376</v>
      </c>
      <c r="H149" s="10">
        <v>9494400</v>
      </c>
      <c r="I149" s="11">
        <v>45050</v>
      </c>
      <c r="J149" s="12">
        <v>186461</v>
      </c>
      <c r="K149" s="13" t="s">
        <v>1162</v>
      </c>
      <c r="L149" s="14" t="s">
        <v>19</v>
      </c>
      <c r="M149" s="11" t="s">
        <v>17</v>
      </c>
      <c r="N149" s="14" t="s">
        <v>11</v>
      </c>
      <c r="O149" s="15">
        <v>6784</v>
      </c>
      <c r="P149" s="12">
        <v>1</v>
      </c>
      <c r="Q149" s="13" t="s">
        <v>175</v>
      </c>
      <c r="R149" s="16">
        <v>29314150</v>
      </c>
      <c r="S149" s="17">
        <v>26649227</v>
      </c>
      <c r="T149" s="12">
        <v>5</v>
      </c>
      <c r="U149" s="18">
        <v>1402591</v>
      </c>
      <c r="V149" s="19">
        <v>1542850</v>
      </c>
      <c r="W149" s="13" t="s">
        <v>140</v>
      </c>
      <c r="X149" s="14" t="s">
        <v>1172</v>
      </c>
      <c r="Y149" s="13" t="s">
        <v>206</v>
      </c>
      <c r="Z149" s="14" t="s">
        <v>1173</v>
      </c>
      <c r="AA149" s="17">
        <v>19</v>
      </c>
      <c r="AB149" s="14" t="s">
        <v>1174</v>
      </c>
      <c r="AC149" s="17">
        <v>30857000</v>
      </c>
      <c r="AD149" s="14" t="s">
        <v>108</v>
      </c>
      <c r="AE149" s="17">
        <v>28051818</v>
      </c>
      <c r="AF149" s="14" t="s">
        <v>129</v>
      </c>
      <c r="AG149" s="21" t="s">
        <v>207</v>
      </c>
      <c r="AH149" s="10">
        <v>15429851</v>
      </c>
      <c r="AI149" s="24" t="str">
        <f>VLOOKUP(Sales[[#This Row],[Store]],'Store lay bao  cao'!A:B,2,0)</f>
        <v>Lấy BC</v>
      </c>
      <c r="AJ149" s="24" t="str">
        <f>VLOOKUP(Sales[[#This Row],[Associate]],'Associate Status'!B:C,2,0)</f>
        <v>Active</v>
      </c>
    </row>
    <row r="150" spans="1:36" x14ac:dyDescent="0.25">
      <c r="A150" s="7">
        <v>2023</v>
      </c>
      <c r="B150" s="8">
        <v>5</v>
      </c>
      <c r="C150" s="8">
        <v>19</v>
      </c>
      <c r="D150" s="8" t="s">
        <v>52</v>
      </c>
      <c r="E150" s="8" t="s">
        <v>37</v>
      </c>
      <c r="F150" s="8" t="s">
        <v>52</v>
      </c>
      <c r="G150" s="9">
        <v>21455027</v>
      </c>
      <c r="H150" s="10">
        <v>18163200</v>
      </c>
      <c r="I150" s="11">
        <v>45050</v>
      </c>
      <c r="J150" s="12">
        <v>186476</v>
      </c>
      <c r="K150" s="13" t="s">
        <v>1162</v>
      </c>
      <c r="L150" s="14" t="s">
        <v>19</v>
      </c>
      <c r="M150" s="11" t="s">
        <v>17</v>
      </c>
      <c r="N150" s="14" t="s">
        <v>11</v>
      </c>
      <c r="O150" s="15">
        <v>6784</v>
      </c>
      <c r="P150" s="12">
        <v>1</v>
      </c>
      <c r="Q150" s="13" t="s">
        <v>175</v>
      </c>
      <c r="R150" s="16">
        <v>56079450</v>
      </c>
      <c r="S150" s="17">
        <v>50981318</v>
      </c>
      <c r="T150" s="12">
        <v>5</v>
      </c>
      <c r="U150" s="18">
        <v>2683227</v>
      </c>
      <c r="V150" s="19">
        <v>2951550</v>
      </c>
      <c r="W150" s="13" t="s">
        <v>140</v>
      </c>
      <c r="X150" s="14" t="s">
        <v>1175</v>
      </c>
      <c r="Y150" s="13" t="s">
        <v>206</v>
      </c>
      <c r="Z150" s="14" t="s">
        <v>1176</v>
      </c>
      <c r="AA150" s="17">
        <v>19</v>
      </c>
      <c r="AB150" s="14" t="s">
        <v>1168</v>
      </c>
      <c r="AC150" s="17">
        <v>59031000</v>
      </c>
      <c r="AD150" s="14" t="s">
        <v>108</v>
      </c>
      <c r="AE150" s="17">
        <v>53664545</v>
      </c>
      <c r="AF150" s="14" t="s">
        <v>129</v>
      </c>
      <c r="AG150" s="20" t="s">
        <v>207</v>
      </c>
      <c r="AH150" s="10">
        <v>29526291</v>
      </c>
      <c r="AI150" s="24" t="str">
        <f>VLOOKUP(Sales[[#This Row],[Store]],'Store lay bao  cao'!A:B,2,0)</f>
        <v>Lấy BC</v>
      </c>
      <c r="AJ150" s="24" t="str">
        <f>VLOOKUP(Sales[[#This Row],[Associate]],'Associate Status'!B:C,2,0)</f>
        <v>Active</v>
      </c>
    </row>
    <row r="151" spans="1:36" x14ac:dyDescent="0.25">
      <c r="A151" s="7">
        <v>2023</v>
      </c>
      <c r="B151" s="8">
        <v>5</v>
      </c>
      <c r="C151" s="8">
        <v>19</v>
      </c>
      <c r="D151" s="8" t="s">
        <v>52</v>
      </c>
      <c r="E151" s="8" t="s">
        <v>34</v>
      </c>
      <c r="F151" s="8" t="s">
        <v>52</v>
      </c>
      <c r="G151" s="9">
        <v>27250962</v>
      </c>
      <c r="H151" s="10">
        <v>23065200</v>
      </c>
      <c r="I151" s="11">
        <v>45050</v>
      </c>
      <c r="J151" s="12">
        <v>186454</v>
      </c>
      <c r="K151" s="13" t="s">
        <v>1162</v>
      </c>
      <c r="L151" s="14" t="s">
        <v>19</v>
      </c>
      <c r="M151" s="11" t="s">
        <v>17</v>
      </c>
      <c r="N151" s="14" t="s">
        <v>11</v>
      </c>
      <c r="O151" s="15">
        <v>6784</v>
      </c>
      <c r="P151" s="12">
        <v>1</v>
      </c>
      <c r="Q151" s="13" t="s">
        <v>175</v>
      </c>
      <c r="R151" s="16">
        <v>71213900</v>
      </c>
      <c r="S151" s="17">
        <v>64739909</v>
      </c>
      <c r="T151" s="12">
        <v>5</v>
      </c>
      <c r="U151" s="18">
        <v>3407364</v>
      </c>
      <c r="V151" s="19">
        <v>3748100</v>
      </c>
      <c r="W151" s="13" t="s">
        <v>140</v>
      </c>
      <c r="X151" s="14" t="s">
        <v>1177</v>
      </c>
      <c r="Y151" s="13" t="s">
        <v>206</v>
      </c>
      <c r="Z151" s="14" t="s">
        <v>1178</v>
      </c>
      <c r="AA151" s="17">
        <v>19</v>
      </c>
      <c r="AB151" s="14" t="s">
        <v>1165</v>
      </c>
      <c r="AC151" s="17">
        <v>74962000</v>
      </c>
      <c r="AD151" s="14" t="s">
        <v>108</v>
      </c>
      <c r="AE151" s="17">
        <v>68147273</v>
      </c>
      <c r="AF151" s="14" t="s">
        <v>129</v>
      </c>
      <c r="AG151" s="21" t="s">
        <v>207</v>
      </c>
      <c r="AH151" s="10">
        <v>37488947</v>
      </c>
      <c r="AI151" s="24" t="str">
        <f>VLOOKUP(Sales[[#This Row],[Store]],'Store lay bao  cao'!A:B,2,0)</f>
        <v>Lấy BC</v>
      </c>
      <c r="AJ151" s="24" t="str">
        <f>VLOOKUP(Sales[[#This Row],[Associate]],'Associate Status'!B:C,2,0)</f>
        <v>Active</v>
      </c>
    </row>
    <row r="152" spans="1:36" x14ac:dyDescent="0.25">
      <c r="A152" s="7">
        <v>2023</v>
      </c>
      <c r="B152" s="8">
        <v>5</v>
      </c>
      <c r="C152" s="8">
        <v>19</v>
      </c>
      <c r="D152" s="8" t="s">
        <v>52</v>
      </c>
      <c r="E152" s="8" t="s">
        <v>34</v>
      </c>
      <c r="F152" s="8" t="s">
        <v>52</v>
      </c>
      <c r="G152" s="9">
        <v>36067946</v>
      </c>
      <c r="H152" s="10">
        <v>35495955</v>
      </c>
      <c r="I152" s="11">
        <v>45050</v>
      </c>
      <c r="J152" s="12">
        <v>181405</v>
      </c>
      <c r="K152" s="13" t="s">
        <v>1162</v>
      </c>
      <c r="L152" s="14" t="s">
        <v>58</v>
      </c>
      <c r="M152" s="11" t="s">
        <v>17</v>
      </c>
      <c r="N152" s="14" t="s">
        <v>11</v>
      </c>
      <c r="O152" s="15">
        <v>6784</v>
      </c>
      <c r="P152" s="12">
        <v>1</v>
      </c>
      <c r="Q152" s="13" t="s">
        <v>175</v>
      </c>
      <c r="R152" s="16">
        <v>100742750</v>
      </c>
      <c r="S152" s="17">
        <v>91584318</v>
      </c>
      <c r="T152" s="12">
        <v>5</v>
      </c>
      <c r="U152" s="18">
        <v>4820227</v>
      </c>
      <c r="V152" s="19">
        <v>5302250</v>
      </c>
      <c r="W152" s="13" t="s">
        <v>140</v>
      </c>
      <c r="X152" s="14" t="s">
        <v>1179</v>
      </c>
      <c r="Y152" s="13" t="s">
        <v>206</v>
      </c>
      <c r="Z152" s="14" t="s">
        <v>1180</v>
      </c>
      <c r="AA152" s="17">
        <v>19</v>
      </c>
      <c r="AB152" s="14" t="s">
        <v>1181</v>
      </c>
      <c r="AC152" s="17">
        <v>106045000</v>
      </c>
      <c r="AD152" s="14" t="s">
        <v>108</v>
      </c>
      <c r="AE152" s="17">
        <v>96404545</v>
      </c>
      <c r="AF152" s="14" t="s">
        <v>129</v>
      </c>
      <c r="AG152" s="20" t="s">
        <v>207</v>
      </c>
      <c r="AH152" s="10">
        <v>55516372</v>
      </c>
      <c r="AI152" s="24" t="str">
        <f>VLOOKUP(Sales[[#This Row],[Store]],'Store lay bao  cao'!A:B,2,0)</f>
        <v>Lấy BC</v>
      </c>
      <c r="AJ152" s="24" t="str">
        <f>VLOOKUP(Sales[[#This Row],[Associate]],'Associate Status'!B:C,2,0)</f>
        <v>Active</v>
      </c>
    </row>
    <row r="153" spans="1:36" x14ac:dyDescent="0.25">
      <c r="A153" s="7">
        <v>2023</v>
      </c>
      <c r="B153" s="8">
        <v>5</v>
      </c>
      <c r="C153" s="8">
        <v>19</v>
      </c>
      <c r="D153" s="8" t="s">
        <v>52</v>
      </c>
      <c r="E153" s="8" t="s">
        <v>34</v>
      </c>
      <c r="F153" s="8" t="s">
        <v>52</v>
      </c>
      <c r="G153" s="9">
        <v>4196693</v>
      </c>
      <c r="H153" s="10">
        <v>3780000</v>
      </c>
      <c r="I153" s="11">
        <v>45052</v>
      </c>
      <c r="J153" s="12">
        <v>182244</v>
      </c>
      <c r="K153" s="13" t="s">
        <v>755</v>
      </c>
      <c r="L153" s="14" t="s">
        <v>50</v>
      </c>
      <c r="M153" s="11" t="s">
        <v>21</v>
      </c>
      <c r="N153" s="14" t="s">
        <v>11</v>
      </c>
      <c r="O153" s="15">
        <v>3833</v>
      </c>
      <c r="P153" s="12">
        <v>1</v>
      </c>
      <c r="Q153" s="13" t="s">
        <v>101</v>
      </c>
      <c r="R153" s="16">
        <v>12096000</v>
      </c>
      <c r="S153" s="17">
        <v>10996364</v>
      </c>
      <c r="T153" s="12">
        <v>0</v>
      </c>
      <c r="U153" s="18">
        <v>0</v>
      </c>
      <c r="V153" s="19">
        <v>0</v>
      </c>
      <c r="W153" s="13" t="s">
        <v>124</v>
      </c>
      <c r="X153" s="14" t="s">
        <v>1182</v>
      </c>
      <c r="Y153" s="13" t="s">
        <v>209</v>
      </c>
      <c r="Z153" s="14" t="s">
        <v>1183</v>
      </c>
      <c r="AA153" s="17">
        <v>14</v>
      </c>
      <c r="AB153" s="14" t="s">
        <v>1184</v>
      </c>
      <c r="AC153" s="17">
        <v>12096000</v>
      </c>
      <c r="AD153" s="14" t="s">
        <v>108</v>
      </c>
      <c r="AE153" s="17">
        <v>10996364</v>
      </c>
      <c r="AF153" s="14" t="s">
        <v>139</v>
      </c>
      <c r="AG153" s="21" t="s">
        <v>210</v>
      </c>
      <c r="AH153" s="10">
        <v>6799671</v>
      </c>
      <c r="AI153" s="24" t="str">
        <f>VLOOKUP(Sales[[#This Row],[Store]],'Store lay bao  cao'!A:B,2,0)</f>
        <v>Lấy BC</v>
      </c>
      <c r="AJ153" s="24" t="str">
        <f>VLOOKUP(Sales[[#This Row],[Associate]],'Associate Status'!B:C,2,0)</f>
        <v>Active</v>
      </c>
    </row>
    <row r="154" spans="1:36" x14ac:dyDescent="0.25">
      <c r="A154" s="7">
        <v>2023</v>
      </c>
      <c r="B154" s="8">
        <v>5</v>
      </c>
      <c r="C154" s="8">
        <v>21</v>
      </c>
      <c r="D154" s="8" t="s">
        <v>52</v>
      </c>
      <c r="E154" s="8" t="s">
        <v>37</v>
      </c>
      <c r="F154" s="8" t="s">
        <v>52</v>
      </c>
      <c r="G154" s="9">
        <v>5056788</v>
      </c>
      <c r="H154" s="10">
        <v>4549500</v>
      </c>
      <c r="I154" s="11">
        <v>45062</v>
      </c>
      <c r="J154" s="12">
        <v>182208</v>
      </c>
      <c r="K154" s="13" t="s">
        <v>421</v>
      </c>
      <c r="L154" s="14" t="s">
        <v>50</v>
      </c>
      <c r="M154" s="11" t="s">
        <v>15</v>
      </c>
      <c r="N154" s="14" t="s">
        <v>11</v>
      </c>
      <c r="O154" s="15">
        <v>2299</v>
      </c>
      <c r="P154" s="12">
        <v>1</v>
      </c>
      <c r="Q154" s="13" t="s">
        <v>101</v>
      </c>
      <c r="R154" s="16">
        <v>14559000</v>
      </c>
      <c r="S154" s="17">
        <v>13235455</v>
      </c>
      <c r="T154" s="12">
        <v>0</v>
      </c>
      <c r="U154" s="18">
        <v>0</v>
      </c>
      <c r="V154" s="19">
        <v>0</v>
      </c>
      <c r="W154" s="13" t="s">
        <v>104</v>
      </c>
      <c r="X154" s="14" t="s">
        <v>1185</v>
      </c>
      <c r="Y154" s="13" t="s">
        <v>357</v>
      </c>
      <c r="Z154" s="14" t="s">
        <v>895</v>
      </c>
      <c r="AA154" s="17">
        <v>15</v>
      </c>
      <c r="AB154" s="14" t="s">
        <v>1186</v>
      </c>
      <c r="AC154" s="17">
        <v>14559000</v>
      </c>
      <c r="AD154" s="14" t="s">
        <v>108</v>
      </c>
      <c r="AE154" s="17">
        <v>13235455</v>
      </c>
      <c r="AF154" s="14" t="s">
        <v>112</v>
      </c>
      <c r="AG154" s="20" t="s">
        <v>358</v>
      </c>
      <c r="AH154" s="10">
        <v>8178667</v>
      </c>
      <c r="AI154" s="24" t="str">
        <f>VLOOKUP(Sales[[#This Row],[Store]],'Store lay bao  cao'!A:B,2,0)</f>
        <v>Lấy BC</v>
      </c>
      <c r="AJ154" s="24" t="str">
        <f>VLOOKUP(Sales[[#This Row],[Associate]],'Associate Status'!B:C,2,0)</f>
        <v>Retired</v>
      </c>
    </row>
    <row r="155" spans="1:36" x14ac:dyDescent="0.25">
      <c r="A155" s="7">
        <v>2023</v>
      </c>
      <c r="B155" s="8">
        <v>5</v>
      </c>
      <c r="C155" s="8">
        <v>22</v>
      </c>
      <c r="D155" s="8" t="s">
        <v>51</v>
      </c>
      <c r="E155" s="8" t="s">
        <v>37</v>
      </c>
      <c r="F155" s="8" t="s">
        <v>51</v>
      </c>
      <c r="G155" s="9">
        <v>1336670</v>
      </c>
      <c r="H155" s="10">
        <v>1165250</v>
      </c>
      <c r="I155" s="11">
        <v>45071</v>
      </c>
      <c r="J155" s="12">
        <v>174871</v>
      </c>
      <c r="K155" s="13" t="s">
        <v>423</v>
      </c>
      <c r="L155" s="14" t="s">
        <v>47</v>
      </c>
      <c r="M155" s="11" t="s">
        <v>15</v>
      </c>
      <c r="N155" s="14" t="s">
        <v>11</v>
      </c>
      <c r="O155" s="15">
        <v>2347</v>
      </c>
      <c r="P155" s="12">
        <v>1</v>
      </c>
      <c r="Q155" s="13" t="s">
        <v>101</v>
      </c>
      <c r="R155" s="16">
        <v>6490000</v>
      </c>
      <c r="S155" s="17">
        <v>5900000</v>
      </c>
      <c r="T155" s="12">
        <v>0</v>
      </c>
      <c r="U155" s="18">
        <v>0</v>
      </c>
      <c r="V155" s="19">
        <v>0</v>
      </c>
      <c r="W155" s="13" t="s">
        <v>104</v>
      </c>
      <c r="X155" s="14" t="s">
        <v>1188</v>
      </c>
      <c r="Y155" s="13" t="s">
        <v>718</v>
      </c>
      <c r="Z155" s="14" t="s">
        <v>850</v>
      </c>
      <c r="AA155" s="17">
        <v>13</v>
      </c>
      <c r="AB155" s="14" t="s">
        <v>137</v>
      </c>
      <c r="AC155" s="17">
        <v>6490000</v>
      </c>
      <c r="AD155" s="14" t="s">
        <v>849</v>
      </c>
      <c r="AE155" s="17">
        <v>5900000</v>
      </c>
      <c r="AF155" s="14" t="s">
        <v>112</v>
      </c>
      <c r="AG155" s="21" t="s">
        <v>719</v>
      </c>
      <c r="AH155" s="10">
        <v>4563330</v>
      </c>
      <c r="AI155" s="24" t="str">
        <f>VLOOKUP(Sales[[#This Row],[Store]],'Store lay bao  cao'!A:B,2,0)</f>
        <v>Lấy BC</v>
      </c>
      <c r="AJ155" s="24" t="str">
        <f>VLOOKUP(Sales[[#This Row],[Associate]],'Associate Status'!B:C,2,0)</f>
        <v>Retired</v>
      </c>
    </row>
    <row r="156" spans="1:36" x14ac:dyDescent="0.25">
      <c r="A156" s="7">
        <v>2023</v>
      </c>
      <c r="B156" s="8">
        <v>5</v>
      </c>
      <c r="C156" s="8">
        <v>22</v>
      </c>
      <c r="D156" s="8" t="s">
        <v>52</v>
      </c>
      <c r="E156" s="8" t="s">
        <v>43</v>
      </c>
      <c r="F156" s="8" t="s">
        <v>52</v>
      </c>
      <c r="G156" s="9">
        <v>73816420</v>
      </c>
      <c r="H156" s="10">
        <v>66713750</v>
      </c>
      <c r="I156" s="11">
        <v>45071</v>
      </c>
      <c r="J156" s="12">
        <v>181419</v>
      </c>
      <c r="K156" s="13" t="s">
        <v>1189</v>
      </c>
      <c r="L156" s="14" t="s">
        <v>64</v>
      </c>
      <c r="M156" s="11" t="s">
        <v>17</v>
      </c>
      <c r="N156" s="14" t="s">
        <v>11</v>
      </c>
      <c r="O156" s="15">
        <v>6839</v>
      </c>
      <c r="P156" s="12">
        <v>1</v>
      </c>
      <c r="Q156" s="13" t="s">
        <v>175</v>
      </c>
      <c r="R156" s="16">
        <v>196138900</v>
      </c>
      <c r="S156" s="17">
        <v>178308091</v>
      </c>
      <c r="T156" s="12">
        <v>5</v>
      </c>
      <c r="U156" s="18">
        <v>9384636</v>
      </c>
      <c r="V156" s="19">
        <v>10323100</v>
      </c>
      <c r="W156" s="13" t="s">
        <v>140</v>
      </c>
      <c r="X156" s="14" t="s">
        <v>1190</v>
      </c>
      <c r="Y156" s="13" t="s">
        <v>390</v>
      </c>
      <c r="Z156" s="14" t="s">
        <v>1191</v>
      </c>
      <c r="AA156" s="17">
        <v>18</v>
      </c>
      <c r="AB156" s="14" t="s">
        <v>190</v>
      </c>
      <c r="AC156" s="17">
        <v>206462000</v>
      </c>
      <c r="AD156" s="14">
        <v>12</v>
      </c>
      <c r="AE156" s="17">
        <v>187692727</v>
      </c>
      <c r="AF156" s="14" t="s">
        <v>145</v>
      </c>
      <c r="AG156" s="20" t="s">
        <v>391</v>
      </c>
      <c r="AH156" s="10">
        <v>104491671</v>
      </c>
      <c r="AI156" s="24" t="str">
        <f>VLOOKUP(Sales[[#This Row],[Store]],'Store lay bao  cao'!A:B,2,0)</f>
        <v>Lấy BC</v>
      </c>
      <c r="AJ156" s="24" t="str">
        <f>VLOOKUP(Sales[[#This Row],[Associate]],'Associate Status'!B:C,2,0)</f>
        <v>Retired</v>
      </c>
    </row>
    <row r="157" spans="1:36" x14ac:dyDescent="0.25">
      <c r="A157" s="7">
        <v>2023</v>
      </c>
      <c r="B157" s="8">
        <v>5</v>
      </c>
      <c r="C157" s="8">
        <v>23</v>
      </c>
      <c r="D157" s="8" t="s">
        <v>52</v>
      </c>
      <c r="E157" s="8" t="s">
        <v>37</v>
      </c>
      <c r="F157" s="8" t="s">
        <v>52</v>
      </c>
      <c r="G157" s="9">
        <v>26822379</v>
      </c>
      <c r="H157" s="10">
        <v>22704000</v>
      </c>
      <c r="I157" s="11">
        <v>45075</v>
      </c>
      <c r="J157" s="12">
        <v>186480</v>
      </c>
      <c r="K157" s="13" t="s">
        <v>1192</v>
      </c>
      <c r="L157" s="14" t="s">
        <v>19</v>
      </c>
      <c r="M157" s="11" t="s">
        <v>17</v>
      </c>
      <c r="N157" s="14" t="s">
        <v>11</v>
      </c>
      <c r="O157" s="15">
        <v>6852</v>
      </c>
      <c r="P157" s="12">
        <v>1</v>
      </c>
      <c r="Q157" s="13" t="s">
        <v>110</v>
      </c>
      <c r="R157" s="16">
        <v>70098600</v>
      </c>
      <c r="S157" s="17">
        <v>63726000</v>
      </c>
      <c r="T157" s="12">
        <v>5</v>
      </c>
      <c r="U157" s="18">
        <v>3354000</v>
      </c>
      <c r="V157" s="19">
        <v>3689400</v>
      </c>
      <c r="W157" s="13" t="s">
        <v>140</v>
      </c>
      <c r="X157" s="14" t="s">
        <v>1193</v>
      </c>
      <c r="Y157" s="13" t="s">
        <v>293</v>
      </c>
      <c r="Z157" s="14" t="s">
        <v>1194</v>
      </c>
      <c r="AA157" s="17">
        <v>16</v>
      </c>
      <c r="AB157" s="14" t="s">
        <v>1195</v>
      </c>
      <c r="AC157" s="17">
        <v>73788000</v>
      </c>
      <c r="AD157" s="14" t="s">
        <v>108</v>
      </c>
      <c r="AE157" s="17">
        <v>67080000</v>
      </c>
      <c r="AF157" s="14" t="s">
        <v>129</v>
      </c>
      <c r="AG157" s="21" t="s">
        <v>294</v>
      </c>
      <c r="AH157" s="10">
        <v>36903621</v>
      </c>
      <c r="AI157" s="24" t="str">
        <f>VLOOKUP(Sales[[#This Row],[Store]],'Store lay bao  cao'!A:B,2,0)</f>
        <v>Lấy BC</v>
      </c>
      <c r="AJ157" s="24" t="str">
        <f>VLOOKUP(Sales[[#This Row],[Associate]],'Associate Status'!B:C,2,0)</f>
        <v>Active</v>
      </c>
    </row>
    <row r="158" spans="1:36" x14ac:dyDescent="0.25">
      <c r="A158" s="7">
        <v>2023</v>
      </c>
      <c r="B158" s="8">
        <v>5</v>
      </c>
      <c r="C158" s="8">
        <v>23</v>
      </c>
      <c r="D158" s="8" t="s">
        <v>52</v>
      </c>
      <c r="E158" s="8" t="s">
        <v>43</v>
      </c>
      <c r="F158" s="8" t="s">
        <v>52</v>
      </c>
      <c r="G158" s="9">
        <v>-73816420</v>
      </c>
      <c r="H158" s="10">
        <v>-66713750</v>
      </c>
      <c r="I158" s="11">
        <v>45077</v>
      </c>
      <c r="J158" s="12">
        <v>181419</v>
      </c>
      <c r="K158" s="13" t="s">
        <v>1196</v>
      </c>
      <c r="L158" s="14" t="s">
        <v>64</v>
      </c>
      <c r="M158" s="11" t="s">
        <v>17</v>
      </c>
      <c r="N158" s="14" t="s">
        <v>11</v>
      </c>
      <c r="O158" s="15">
        <v>6857</v>
      </c>
      <c r="P158" s="12">
        <v>-1</v>
      </c>
      <c r="Q158" s="13" t="s">
        <v>156</v>
      </c>
      <c r="R158" s="16">
        <v>-196138900</v>
      </c>
      <c r="S158" s="17">
        <v>-178308091</v>
      </c>
      <c r="T158" s="12">
        <v>5</v>
      </c>
      <c r="U158" s="18">
        <v>-9384636</v>
      </c>
      <c r="V158" s="19">
        <v>-10323100</v>
      </c>
      <c r="W158" s="13" t="s">
        <v>427</v>
      </c>
      <c r="X158" s="14" t="s">
        <v>1190</v>
      </c>
      <c r="Y158" s="13" t="s">
        <v>390</v>
      </c>
      <c r="Z158" s="14" t="s">
        <v>1191</v>
      </c>
      <c r="AA158" s="17">
        <v>15</v>
      </c>
      <c r="AB158" s="14" t="s">
        <v>190</v>
      </c>
      <c r="AC158" s="17">
        <v>-206462000</v>
      </c>
      <c r="AD158" s="14">
        <v>12</v>
      </c>
      <c r="AE158" s="17">
        <v>-187692727</v>
      </c>
      <c r="AF158" s="14" t="s">
        <v>145</v>
      </c>
      <c r="AG158" s="20" t="s">
        <v>391</v>
      </c>
      <c r="AH158" s="10">
        <v>-104491671</v>
      </c>
      <c r="AI158" s="24" t="str">
        <f>VLOOKUP(Sales[[#This Row],[Store]],'Store lay bao  cao'!A:B,2,0)</f>
        <v>Lấy BC</v>
      </c>
      <c r="AJ158" s="24" t="str">
        <f>VLOOKUP(Sales[[#This Row],[Associate]],'Associate Status'!B:C,2,0)</f>
        <v>Retired</v>
      </c>
    </row>
    <row r="159" spans="1:36" x14ac:dyDescent="0.25">
      <c r="A159" s="7">
        <v>2023</v>
      </c>
      <c r="B159" s="8">
        <v>6</v>
      </c>
      <c r="C159" s="8">
        <v>23</v>
      </c>
      <c r="D159" s="8" t="s">
        <v>51</v>
      </c>
      <c r="E159" s="8" t="s">
        <v>37</v>
      </c>
      <c r="F159" s="8" t="s">
        <v>51</v>
      </c>
      <c r="G159" s="9">
        <v>1336670</v>
      </c>
      <c r="H159" s="10">
        <v>1165250</v>
      </c>
      <c r="I159" s="11">
        <v>45080</v>
      </c>
      <c r="J159" s="12">
        <v>174871</v>
      </c>
      <c r="K159" s="13" t="s">
        <v>1197</v>
      </c>
      <c r="L159" s="14" t="s">
        <v>47</v>
      </c>
      <c r="M159" s="11" t="s">
        <v>17</v>
      </c>
      <c r="N159" s="14" t="s">
        <v>11</v>
      </c>
      <c r="O159" s="15">
        <v>6869</v>
      </c>
      <c r="P159" s="12">
        <v>1</v>
      </c>
      <c r="Q159" s="13" t="s">
        <v>101</v>
      </c>
      <c r="R159" s="16">
        <v>6490000</v>
      </c>
      <c r="S159" s="17">
        <v>5900000</v>
      </c>
      <c r="T159" s="12">
        <v>0</v>
      </c>
      <c r="U159" s="18">
        <v>0</v>
      </c>
      <c r="V159" s="19">
        <v>0</v>
      </c>
      <c r="W159" s="13" t="s">
        <v>140</v>
      </c>
      <c r="X159" s="14" t="s">
        <v>1188</v>
      </c>
      <c r="Y159" s="13" t="s">
        <v>314</v>
      </c>
      <c r="Z159" s="14" t="s">
        <v>850</v>
      </c>
      <c r="AA159" s="17">
        <v>11</v>
      </c>
      <c r="AB159" s="14" t="s">
        <v>137</v>
      </c>
      <c r="AC159" s="17">
        <v>6490000</v>
      </c>
      <c r="AD159" s="14" t="s">
        <v>849</v>
      </c>
      <c r="AE159" s="17">
        <v>5900000</v>
      </c>
      <c r="AF159" s="14" t="s">
        <v>125</v>
      </c>
      <c r="AG159" s="21" t="s">
        <v>315</v>
      </c>
      <c r="AH159" s="10">
        <v>4563330</v>
      </c>
      <c r="AI159" s="24" t="str">
        <f>VLOOKUP(Sales[[#This Row],[Store]],'Store lay bao  cao'!A:B,2,0)</f>
        <v>Lấy BC</v>
      </c>
      <c r="AJ159" s="24" t="str">
        <f>VLOOKUP(Sales[[#This Row],[Associate]],'Associate Status'!B:C,2,0)</f>
        <v>Active</v>
      </c>
    </row>
    <row r="160" spans="1:36" x14ac:dyDescent="0.25">
      <c r="A160" s="7">
        <v>2023</v>
      </c>
      <c r="B160" s="8">
        <v>6</v>
      </c>
      <c r="C160" s="8">
        <v>23</v>
      </c>
      <c r="D160" s="8" t="s">
        <v>51</v>
      </c>
      <c r="E160" s="8" t="s">
        <v>37</v>
      </c>
      <c r="F160" s="8" t="s">
        <v>51</v>
      </c>
      <c r="G160" s="9">
        <v>1150552</v>
      </c>
      <c r="H160" s="10">
        <v>1003000</v>
      </c>
      <c r="I160" s="11">
        <v>45080</v>
      </c>
      <c r="J160" s="12">
        <v>174864</v>
      </c>
      <c r="K160" s="13" t="s">
        <v>1197</v>
      </c>
      <c r="L160" s="14" t="s">
        <v>47</v>
      </c>
      <c r="M160" s="11" t="s">
        <v>17</v>
      </c>
      <c r="N160" s="14" t="s">
        <v>11</v>
      </c>
      <c r="O160" s="15">
        <v>6869</v>
      </c>
      <c r="P160" s="12">
        <v>1</v>
      </c>
      <c r="Q160" s="13" t="s">
        <v>101</v>
      </c>
      <c r="R160" s="16">
        <v>5605000</v>
      </c>
      <c r="S160" s="17">
        <v>5095455</v>
      </c>
      <c r="T160" s="12">
        <v>0</v>
      </c>
      <c r="U160" s="18">
        <v>0</v>
      </c>
      <c r="V160" s="19">
        <v>0</v>
      </c>
      <c r="W160" s="13" t="s">
        <v>140</v>
      </c>
      <c r="X160" s="14" t="s">
        <v>949</v>
      </c>
      <c r="Y160" s="13" t="s">
        <v>314</v>
      </c>
      <c r="Z160" s="14" t="s">
        <v>1010</v>
      </c>
      <c r="AA160" s="17">
        <v>11</v>
      </c>
      <c r="AB160" s="14" t="s">
        <v>224</v>
      </c>
      <c r="AC160" s="17">
        <v>5605000</v>
      </c>
      <c r="AD160" s="14" t="s">
        <v>849</v>
      </c>
      <c r="AE160" s="17">
        <v>5095455</v>
      </c>
      <c r="AF160" s="14" t="s">
        <v>125</v>
      </c>
      <c r="AG160" s="20" t="s">
        <v>315</v>
      </c>
      <c r="AH160" s="10">
        <v>3944903</v>
      </c>
      <c r="AI160" s="24" t="str">
        <f>VLOOKUP(Sales[[#This Row],[Store]],'Store lay bao  cao'!A:B,2,0)</f>
        <v>Lấy BC</v>
      </c>
      <c r="AJ160" s="24" t="str">
        <f>VLOOKUP(Sales[[#This Row],[Associate]],'Associate Status'!B:C,2,0)</f>
        <v>Active</v>
      </c>
    </row>
    <row r="161" spans="1:36" x14ac:dyDescent="0.25">
      <c r="A161" s="7">
        <v>2023</v>
      </c>
      <c r="B161" s="8">
        <v>6</v>
      </c>
      <c r="C161" s="8">
        <v>23</v>
      </c>
      <c r="D161" s="8" t="s">
        <v>51</v>
      </c>
      <c r="E161" s="8" t="s">
        <v>37</v>
      </c>
      <c r="F161" s="8" t="s">
        <v>51</v>
      </c>
      <c r="G161" s="9">
        <v>1279142</v>
      </c>
      <c r="H161" s="10">
        <v>1115100</v>
      </c>
      <c r="I161" s="11">
        <v>45080</v>
      </c>
      <c r="J161" s="12">
        <v>174869</v>
      </c>
      <c r="K161" s="13" t="s">
        <v>1197</v>
      </c>
      <c r="L161" s="14" t="s">
        <v>47</v>
      </c>
      <c r="M161" s="11" t="s">
        <v>17</v>
      </c>
      <c r="N161" s="14" t="s">
        <v>11</v>
      </c>
      <c r="O161" s="15">
        <v>6869</v>
      </c>
      <c r="P161" s="12">
        <v>1</v>
      </c>
      <c r="Q161" s="13" t="s">
        <v>101</v>
      </c>
      <c r="R161" s="16">
        <v>6195000</v>
      </c>
      <c r="S161" s="17">
        <v>5631818</v>
      </c>
      <c r="T161" s="12">
        <v>0</v>
      </c>
      <c r="U161" s="18">
        <v>0</v>
      </c>
      <c r="V161" s="19">
        <v>0</v>
      </c>
      <c r="W161" s="13" t="s">
        <v>140</v>
      </c>
      <c r="X161" s="14" t="s">
        <v>932</v>
      </c>
      <c r="Y161" s="13" t="s">
        <v>314</v>
      </c>
      <c r="Z161" s="14" t="s">
        <v>933</v>
      </c>
      <c r="AA161" s="17">
        <v>11</v>
      </c>
      <c r="AB161" s="14" t="s">
        <v>161</v>
      </c>
      <c r="AC161" s="17">
        <v>6195000</v>
      </c>
      <c r="AD161" s="14" t="s">
        <v>849</v>
      </c>
      <c r="AE161" s="17">
        <v>5631818</v>
      </c>
      <c r="AF161" s="14" t="s">
        <v>125</v>
      </c>
      <c r="AG161" s="21" t="s">
        <v>315</v>
      </c>
      <c r="AH161" s="10">
        <v>4352676</v>
      </c>
      <c r="AI161" s="24" t="str">
        <f>VLOOKUP(Sales[[#This Row],[Store]],'Store lay bao  cao'!A:B,2,0)</f>
        <v>Lấy BC</v>
      </c>
      <c r="AJ161" s="24" t="str">
        <f>VLOOKUP(Sales[[#This Row],[Associate]],'Associate Status'!B:C,2,0)</f>
        <v>Active</v>
      </c>
    </row>
    <row r="162" spans="1:36" x14ac:dyDescent="0.25">
      <c r="A162" s="7">
        <v>2023</v>
      </c>
      <c r="B162" s="8">
        <v>6</v>
      </c>
      <c r="C162" s="8">
        <v>23</v>
      </c>
      <c r="D162" s="8" t="s">
        <v>51</v>
      </c>
      <c r="E162" s="8" t="s">
        <v>37</v>
      </c>
      <c r="F162" s="8" t="s">
        <v>51</v>
      </c>
      <c r="G162" s="9">
        <v>1336670</v>
      </c>
      <c r="H162" s="10">
        <v>1165250</v>
      </c>
      <c r="I162" s="11">
        <v>45080</v>
      </c>
      <c r="J162" s="12">
        <v>174874</v>
      </c>
      <c r="K162" s="13" t="s">
        <v>1197</v>
      </c>
      <c r="L162" s="14" t="s">
        <v>47</v>
      </c>
      <c r="M162" s="11" t="s">
        <v>17</v>
      </c>
      <c r="N162" s="14" t="s">
        <v>11</v>
      </c>
      <c r="O162" s="15">
        <v>6869</v>
      </c>
      <c r="P162" s="12">
        <v>1</v>
      </c>
      <c r="Q162" s="13" t="s">
        <v>101</v>
      </c>
      <c r="R162" s="16">
        <v>6490000</v>
      </c>
      <c r="S162" s="17">
        <v>5900000</v>
      </c>
      <c r="T162" s="12">
        <v>0</v>
      </c>
      <c r="U162" s="18">
        <v>0</v>
      </c>
      <c r="V162" s="19">
        <v>0</v>
      </c>
      <c r="W162" s="13" t="s">
        <v>140</v>
      </c>
      <c r="X162" s="14" t="s">
        <v>1007</v>
      </c>
      <c r="Y162" s="13" t="s">
        <v>314</v>
      </c>
      <c r="Z162" s="14" t="s">
        <v>850</v>
      </c>
      <c r="AA162" s="17">
        <v>11</v>
      </c>
      <c r="AB162" s="14" t="s">
        <v>944</v>
      </c>
      <c r="AC162" s="17">
        <v>6490000</v>
      </c>
      <c r="AD162" s="14" t="s">
        <v>849</v>
      </c>
      <c r="AE162" s="17">
        <v>5900000</v>
      </c>
      <c r="AF162" s="14" t="s">
        <v>125</v>
      </c>
      <c r="AG162" s="20" t="s">
        <v>315</v>
      </c>
      <c r="AH162" s="10">
        <v>4563330</v>
      </c>
      <c r="AI162" s="24" t="str">
        <f>VLOOKUP(Sales[[#This Row],[Store]],'Store lay bao  cao'!A:B,2,0)</f>
        <v>Lấy BC</v>
      </c>
      <c r="AJ162" s="24" t="str">
        <f>VLOOKUP(Sales[[#This Row],[Associate]],'Associate Status'!B:C,2,0)</f>
        <v>Active</v>
      </c>
    </row>
    <row r="163" spans="1:36" x14ac:dyDescent="0.25">
      <c r="A163" s="7">
        <v>2023</v>
      </c>
      <c r="B163" s="8">
        <v>6</v>
      </c>
      <c r="C163" s="8">
        <v>24</v>
      </c>
      <c r="D163" s="8" t="s">
        <v>52</v>
      </c>
      <c r="E163" s="8" t="s">
        <v>43</v>
      </c>
      <c r="F163" s="8" t="s">
        <v>52</v>
      </c>
      <c r="G163" s="9">
        <v>2098346</v>
      </c>
      <c r="H163" s="10">
        <v>1890000</v>
      </c>
      <c r="I163" s="11">
        <v>45086</v>
      </c>
      <c r="J163" s="12">
        <v>182166</v>
      </c>
      <c r="K163" s="13" t="s">
        <v>428</v>
      </c>
      <c r="L163" s="14" t="s">
        <v>50</v>
      </c>
      <c r="M163" s="11" t="s">
        <v>15</v>
      </c>
      <c r="N163" s="14" t="s">
        <v>11</v>
      </c>
      <c r="O163" s="15">
        <v>2411</v>
      </c>
      <c r="P163" s="12">
        <v>1</v>
      </c>
      <c r="Q163" s="13" t="s">
        <v>144</v>
      </c>
      <c r="R163" s="16">
        <v>6048000</v>
      </c>
      <c r="S163" s="17">
        <v>5498182</v>
      </c>
      <c r="T163" s="12">
        <v>0</v>
      </c>
      <c r="U163" s="18">
        <v>0</v>
      </c>
      <c r="V163" s="19">
        <v>0</v>
      </c>
      <c r="W163" s="13" t="s">
        <v>104</v>
      </c>
      <c r="X163" s="14" t="s">
        <v>1199</v>
      </c>
      <c r="Y163" s="13" t="s">
        <v>225</v>
      </c>
      <c r="Z163" s="14" t="s">
        <v>1200</v>
      </c>
      <c r="AA163" s="17">
        <v>14</v>
      </c>
      <c r="AB163" s="14" t="s">
        <v>1119</v>
      </c>
      <c r="AC163" s="17">
        <v>6048000</v>
      </c>
      <c r="AD163" s="14">
        <v>12</v>
      </c>
      <c r="AE163" s="17">
        <v>5498182</v>
      </c>
      <c r="AF163" s="14" t="s">
        <v>109</v>
      </c>
      <c r="AG163" s="21" t="s">
        <v>463</v>
      </c>
      <c r="AH163" s="10">
        <v>3399836</v>
      </c>
      <c r="AI163" s="24" t="str">
        <f>VLOOKUP(Sales[[#This Row],[Store]],'Store lay bao  cao'!A:B,2,0)</f>
        <v>Lấy BC</v>
      </c>
      <c r="AJ163" s="24" t="str">
        <f>VLOOKUP(Sales[[#This Row],[Associate]],'Associate Status'!B:C,2,0)</f>
        <v>Active</v>
      </c>
    </row>
    <row r="164" spans="1:36" x14ac:dyDescent="0.25">
      <c r="A164" s="7">
        <v>2023</v>
      </c>
      <c r="B164" s="8">
        <v>6</v>
      </c>
      <c r="C164" s="8">
        <v>26</v>
      </c>
      <c r="D164" s="8" t="s">
        <v>52</v>
      </c>
      <c r="E164" s="8" t="s">
        <v>43</v>
      </c>
      <c r="F164" s="8" t="s">
        <v>52</v>
      </c>
      <c r="G164" s="9">
        <v>-1798582</v>
      </c>
      <c r="H164" s="10">
        <v>-1620000</v>
      </c>
      <c r="I164" s="11">
        <v>45096</v>
      </c>
      <c r="J164" s="12">
        <v>182192</v>
      </c>
      <c r="K164" s="13" t="s">
        <v>1204</v>
      </c>
      <c r="L164" s="14" t="s">
        <v>50</v>
      </c>
      <c r="M164" s="11" t="s">
        <v>17</v>
      </c>
      <c r="N164" s="14" t="s">
        <v>11</v>
      </c>
      <c r="O164" s="15">
        <v>6934</v>
      </c>
      <c r="P164" s="12">
        <v>-1</v>
      </c>
      <c r="Q164" s="13" t="s">
        <v>101</v>
      </c>
      <c r="R164" s="16">
        <v>-5184000</v>
      </c>
      <c r="S164" s="17">
        <v>-4712727</v>
      </c>
      <c r="T164" s="12">
        <v>0</v>
      </c>
      <c r="U164" s="18">
        <v>0</v>
      </c>
      <c r="V164" s="19">
        <v>0</v>
      </c>
      <c r="W164" s="13" t="s">
        <v>427</v>
      </c>
      <c r="X164" s="14" t="s">
        <v>1205</v>
      </c>
      <c r="Y164" s="13" t="s">
        <v>103</v>
      </c>
      <c r="Z164" s="14" t="s">
        <v>1206</v>
      </c>
      <c r="AA164" s="17">
        <v>19</v>
      </c>
      <c r="AB164" s="14" t="s">
        <v>1051</v>
      </c>
      <c r="AC164" s="17">
        <v>-5184000</v>
      </c>
      <c r="AD164" s="14">
        <v>12</v>
      </c>
      <c r="AE164" s="17">
        <v>-4712727</v>
      </c>
      <c r="AF164" s="14" t="s">
        <v>286</v>
      </c>
      <c r="AG164" s="20"/>
      <c r="AH164" s="10">
        <v>-2914145</v>
      </c>
      <c r="AI164" s="24" t="str">
        <f>VLOOKUP(Sales[[#This Row],[Store]],'Store lay bao  cao'!A:B,2,0)</f>
        <v>Lấy BC</v>
      </c>
      <c r="AJ164" s="24" t="str">
        <f>VLOOKUP(Sales[[#This Row],[Associate]],'Associate Status'!B:C,2,0)</f>
        <v>Retired</v>
      </c>
    </row>
    <row r="165" spans="1:36" x14ac:dyDescent="0.25">
      <c r="A165" s="7">
        <v>2023</v>
      </c>
      <c r="B165" s="8">
        <v>6</v>
      </c>
      <c r="C165" s="8">
        <v>26</v>
      </c>
      <c r="D165" s="8" t="s">
        <v>52</v>
      </c>
      <c r="E165" s="8" t="s">
        <v>43</v>
      </c>
      <c r="F165" s="8" t="s">
        <v>52</v>
      </c>
      <c r="G165" s="9">
        <v>1798582</v>
      </c>
      <c r="H165" s="10">
        <v>1620000</v>
      </c>
      <c r="I165" s="11">
        <v>45096</v>
      </c>
      <c r="J165" s="12">
        <v>182192</v>
      </c>
      <c r="K165" s="13" t="s">
        <v>1207</v>
      </c>
      <c r="L165" s="14" t="s">
        <v>50</v>
      </c>
      <c r="M165" s="11" t="s">
        <v>17</v>
      </c>
      <c r="N165" s="14" t="s">
        <v>11</v>
      </c>
      <c r="O165" s="15">
        <v>6933</v>
      </c>
      <c r="P165" s="12">
        <v>1</v>
      </c>
      <c r="Q165" s="13" t="s">
        <v>101</v>
      </c>
      <c r="R165" s="16">
        <v>5184000</v>
      </c>
      <c r="S165" s="17">
        <v>4712727</v>
      </c>
      <c r="T165" s="12">
        <v>0</v>
      </c>
      <c r="U165" s="18">
        <v>0</v>
      </c>
      <c r="V165" s="19">
        <v>0</v>
      </c>
      <c r="W165" s="13" t="s">
        <v>140</v>
      </c>
      <c r="X165" s="14" t="s">
        <v>1205</v>
      </c>
      <c r="Y165" s="13" t="s">
        <v>103</v>
      </c>
      <c r="Z165" s="14" t="s">
        <v>1206</v>
      </c>
      <c r="AA165" s="17">
        <v>16</v>
      </c>
      <c r="AB165" s="14" t="s">
        <v>1051</v>
      </c>
      <c r="AC165" s="17">
        <v>5184000</v>
      </c>
      <c r="AD165" s="14">
        <v>12</v>
      </c>
      <c r="AE165" s="17">
        <v>4712727</v>
      </c>
      <c r="AF165" s="14" t="s">
        <v>286</v>
      </c>
      <c r="AG165" s="21"/>
      <c r="AH165" s="10">
        <v>2914145</v>
      </c>
      <c r="AI165" s="24" t="str">
        <f>VLOOKUP(Sales[[#This Row],[Store]],'Store lay bao  cao'!A:B,2,0)</f>
        <v>Lấy BC</v>
      </c>
      <c r="AJ165" s="24" t="str">
        <f>VLOOKUP(Sales[[#This Row],[Associate]],'Associate Status'!B:C,2,0)</f>
        <v>Retired</v>
      </c>
    </row>
    <row r="166" spans="1:36" x14ac:dyDescent="0.25">
      <c r="A166" s="7">
        <v>2023</v>
      </c>
      <c r="B166" s="8">
        <v>6</v>
      </c>
      <c r="C166" s="8">
        <v>26</v>
      </c>
      <c r="D166" s="8" t="s">
        <v>52</v>
      </c>
      <c r="E166" s="8" t="s">
        <v>43</v>
      </c>
      <c r="F166" s="8" t="s">
        <v>52</v>
      </c>
      <c r="G166" s="9">
        <v>1798582</v>
      </c>
      <c r="H166" s="10">
        <v>1620000</v>
      </c>
      <c r="I166" s="11">
        <v>45096</v>
      </c>
      <c r="J166" s="12">
        <v>182192</v>
      </c>
      <c r="K166" s="13" t="s">
        <v>1208</v>
      </c>
      <c r="L166" s="14" t="s">
        <v>50</v>
      </c>
      <c r="M166" s="11" t="s">
        <v>17</v>
      </c>
      <c r="N166" s="14" t="s">
        <v>11</v>
      </c>
      <c r="O166" s="15">
        <v>6935</v>
      </c>
      <c r="P166" s="12">
        <v>1</v>
      </c>
      <c r="Q166" s="13" t="s">
        <v>101</v>
      </c>
      <c r="R166" s="16">
        <v>5184000</v>
      </c>
      <c r="S166" s="17">
        <v>4712727</v>
      </c>
      <c r="T166" s="12">
        <v>0</v>
      </c>
      <c r="U166" s="18">
        <v>0</v>
      </c>
      <c r="V166" s="19">
        <v>0</v>
      </c>
      <c r="W166" s="13" t="s">
        <v>140</v>
      </c>
      <c r="X166" s="14" t="s">
        <v>1205</v>
      </c>
      <c r="Y166" s="13" t="s">
        <v>103</v>
      </c>
      <c r="Z166" s="14" t="s">
        <v>1206</v>
      </c>
      <c r="AA166" s="17">
        <v>19</v>
      </c>
      <c r="AB166" s="14" t="s">
        <v>1051</v>
      </c>
      <c r="AC166" s="17">
        <v>5184000</v>
      </c>
      <c r="AD166" s="14">
        <v>12</v>
      </c>
      <c r="AE166" s="17">
        <v>4712727</v>
      </c>
      <c r="AF166" s="14" t="s">
        <v>123</v>
      </c>
      <c r="AG166" s="20"/>
      <c r="AH166" s="10">
        <v>2914145</v>
      </c>
      <c r="AI166" s="24" t="str">
        <f>VLOOKUP(Sales[[#This Row],[Store]],'Store lay bao  cao'!A:B,2,0)</f>
        <v>Lấy BC</v>
      </c>
      <c r="AJ166" s="24" t="str">
        <f>VLOOKUP(Sales[[#This Row],[Associate]],'Associate Status'!B:C,2,0)</f>
        <v>Active</v>
      </c>
    </row>
    <row r="167" spans="1:36" x14ac:dyDescent="0.25">
      <c r="A167" s="7">
        <v>2023</v>
      </c>
      <c r="B167" s="8">
        <v>6</v>
      </c>
      <c r="C167" s="8">
        <v>26</v>
      </c>
      <c r="D167" s="8" t="s">
        <v>52</v>
      </c>
      <c r="E167" s="8" t="s">
        <v>37</v>
      </c>
      <c r="F167" s="8" t="s">
        <v>52</v>
      </c>
      <c r="G167" s="9">
        <v>2697875</v>
      </c>
      <c r="H167" s="10">
        <v>2430000</v>
      </c>
      <c r="I167" s="11">
        <v>45096</v>
      </c>
      <c r="J167" s="12">
        <v>182231</v>
      </c>
      <c r="K167" s="13" t="s">
        <v>776</v>
      </c>
      <c r="L167" s="14" t="s">
        <v>50</v>
      </c>
      <c r="M167" s="11" t="s">
        <v>21</v>
      </c>
      <c r="N167" s="14" t="s">
        <v>11</v>
      </c>
      <c r="O167" s="15">
        <v>4137</v>
      </c>
      <c r="P167" s="12">
        <v>1</v>
      </c>
      <c r="Q167" s="13" t="s">
        <v>101</v>
      </c>
      <c r="R167" s="16">
        <v>7776000</v>
      </c>
      <c r="S167" s="17">
        <v>7069091</v>
      </c>
      <c r="T167" s="12">
        <v>0</v>
      </c>
      <c r="U167" s="18">
        <v>0</v>
      </c>
      <c r="V167" s="19">
        <v>0</v>
      </c>
      <c r="W167" s="13" t="s">
        <v>124</v>
      </c>
      <c r="X167" s="14" t="s">
        <v>1209</v>
      </c>
      <c r="Y167" s="13" t="s">
        <v>1210</v>
      </c>
      <c r="Z167" s="14" t="s">
        <v>1211</v>
      </c>
      <c r="AA167" s="17">
        <v>17</v>
      </c>
      <c r="AB167" s="14" t="s">
        <v>1051</v>
      </c>
      <c r="AC167" s="17">
        <v>7776000</v>
      </c>
      <c r="AD167" s="14" t="s">
        <v>108</v>
      </c>
      <c r="AE167" s="17">
        <v>7069091</v>
      </c>
      <c r="AF167" s="14" t="s">
        <v>126</v>
      </c>
      <c r="AG167" s="21"/>
      <c r="AH167" s="10">
        <v>4371216</v>
      </c>
      <c r="AI167" s="24" t="str">
        <f>VLOOKUP(Sales[[#This Row],[Store]],'Store lay bao  cao'!A:B,2,0)</f>
        <v>Lấy BC</v>
      </c>
      <c r="AJ167" s="24" t="str">
        <f>VLOOKUP(Sales[[#This Row],[Associate]],'Associate Status'!B:C,2,0)</f>
        <v>Retired</v>
      </c>
    </row>
    <row r="168" spans="1:36" x14ac:dyDescent="0.25">
      <c r="A168" s="7">
        <v>2023</v>
      </c>
      <c r="B168" s="8">
        <v>6</v>
      </c>
      <c r="C168" s="8">
        <v>27</v>
      </c>
      <c r="D168" s="8" t="s">
        <v>52</v>
      </c>
      <c r="E168" s="8" t="s">
        <v>53</v>
      </c>
      <c r="F168" s="8" t="s">
        <v>52</v>
      </c>
      <c r="G168" s="9">
        <v>3383434</v>
      </c>
      <c r="H168" s="10">
        <v>3435750</v>
      </c>
      <c r="I168" s="11">
        <v>45105</v>
      </c>
      <c r="J168" s="12">
        <v>182205</v>
      </c>
      <c r="K168" s="13" t="s">
        <v>777</v>
      </c>
      <c r="L168" s="14" t="s">
        <v>50</v>
      </c>
      <c r="M168" s="11" t="s">
        <v>21</v>
      </c>
      <c r="N168" s="14" t="s">
        <v>11</v>
      </c>
      <c r="O168" s="15">
        <v>4194</v>
      </c>
      <c r="P168" s="12">
        <v>1</v>
      </c>
      <c r="Q168" s="13" t="s">
        <v>101</v>
      </c>
      <c r="R168" s="16">
        <v>10995000</v>
      </c>
      <c r="S168" s="17">
        <v>9995455</v>
      </c>
      <c r="T168" s="12">
        <v>0</v>
      </c>
      <c r="U168" s="18">
        <v>0</v>
      </c>
      <c r="V168" s="19">
        <v>0</v>
      </c>
      <c r="W168" s="13" t="s">
        <v>124</v>
      </c>
      <c r="X168" s="14" t="s">
        <v>1212</v>
      </c>
      <c r="Y168" s="13" t="s">
        <v>146</v>
      </c>
      <c r="Z168" s="14" t="s">
        <v>1213</v>
      </c>
      <c r="AA168" s="17">
        <v>14</v>
      </c>
      <c r="AB168" s="14" t="s">
        <v>1214</v>
      </c>
      <c r="AC168" s="17">
        <v>10995000</v>
      </c>
      <c r="AD168" s="14" t="s">
        <v>108</v>
      </c>
      <c r="AE168" s="17">
        <v>9995455</v>
      </c>
      <c r="AF168" s="14" t="s">
        <v>139</v>
      </c>
      <c r="AG168" s="20" t="s">
        <v>464</v>
      </c>
      <c r="AH168" s="10">
        <v>6612021</v>
      </c>
      <c r="AI168" s="24" t="str">
        <f>VLOOKUP(Sales[[#This Row],[Store]],'Store lay bao  cao'!A:B,2,0)</f>
        <v>Lấy BC</v>
      </c>
      <c r="AJ168" s="24" t="str">
        <f>VLOOKUP(Sales[[#This Row],[Associate]],'Associate Status'!B:C,2,0)</f>
        <v>Active</v>
      </c>
    </row>
    <row r="169" spans="1:36" x14ac:dyDescent="0.25">
      <c r="A169" s="7">
        <v>2023</v>
      </c>
      <c r="B169" s="8">
        <v>6</v>
      </c>
      <c r="C169" s="8">
        <v>27</v>
      </c>
      <c r="D169" s="8" t="s">
        <v>52</v>
      </c>
      <c r="E169" s="8" t="s">
        <v>43</v>
      </c>
      <c r="F169" s="8" t="s">
        <v>52</v>
      </c>
      <c r="G169" s="9">
        <v>2098346</v>
      </c>
      <c r="H169" s="10">
        <v>1890000</v>
      </c>
      <c r="I169" s="11">
        <v>45105</v>
      </c>
      <c r="J169" s="12">
        <v>182165</v>
      </c>
      <c r="K169" s="13" t="s">
        <v>777</v>
      </c>
      <c r="L169" s="14" t="s">
        <v>50</v>
      </c>
      <c r="M169" s="11" t="s">
        <v>21</v>
      </c>
      <c r="N169" s="14" t="s">
        <v>11</v>
      </c>
      <c r="O169" s="15">
        <v>4194</v>
      </c>
      <c r="P169" s="12">
        <v>1</v>
      </c>
      <c r="Q169" s="13" t="s">
        <v>101</v>
      </c>
      <c r="R169" s="16">
        <v>6048000</v>
      </c>
      <c r="S169" s="17">
        <v>5498182</v>
      </c>
      <c r="T169" s="12">
        <v>0</v>
      </c>
      <c r="U169" s="18">
        <v>0</v>
      </c>
      <c r="V169" s="19">
        <v>0</v>
      </c>
      <c r="W169" s="13" t="s">
        <v>124</v>
      </c>
      <c r="X169" s="14" t="s">
        <v>1215</v>
      </c>
      <c r="Y169" s="13" t="s">
        <v>146</v>
      </c>
      <c r="Z169" s="14" t="s">
        <v>1216</v>
      </c>
      <c r="AA169" s="17">
        <v>14</v>
      </c>
      <c r="AB169" s="14" t="s">
        <v>1217</v>
      </c>
      <c r="AC169" s="17">
        <v>6048000</v>
      </c>
      <c r="AD169" s="14">
        <v>12</v>
      </c>
      <c r="AE169" s="17">
        <v>5498182</v>
      </c>
      <c r="AF169" s="14" t="s">
        <v>139</v>
      </c>
      <c r="AG169" s="21" t="s">
        <v>464</v>
      </c>
      <c r="AH169" s="10">
        <v>3399836</v>
      </c>
      <c r="AI169" s="24" t="str">
        <f>VLOOKUP(Sales[[#This Row],[Store]],'Store lay bao  cao'!A:B,2,0)</f>
        <v>Lấy BC</v>
      </c>
      <c r="AJ169" s="24" t="str">
        <f>VLOOKUP(Sales[[#This Row],[Associate]],'Associate Status'!B:C,2,0)</f>
        <v>Active</v>
      </c>
    </row>
    <row r="170" spans="1:36" x14ac:dyDescent="0.25">
      <c r="A170" s="7">
        <v>2023</v>
      </c>
      <c r="B170" s="8">
        <v>7</v>
      </c>
      <c r="C170" s="8">
        <v>30</v>
      </c>
      <c r="D170" s="8" t="s">
        <v>52</v>
      </c>
      <c r="E170" s="8" t="s">
        <v>34</v>
      </c>
      <c r="F170" s="8" t="s">
        <v>52</v>
      </c>
      <c r="G170" s="9">
        <v>5845393</v>
      </c>
      <c r="H170" s="10">
        <v>5265000</v>
      </c>
      <c r="I170" s="11">
        <v>45127</v>
      </c>
      <c r="J170" s="12">
        <v>182242</v>
      </c>
      <c r="K170" s="13" t="s">
        <v>786</v>
      </c>
      <c r="L170" s="14" t="s">
        <v>50</v>
      </c>
      <c r="M170" s="11" t="s">
        <v>21</v>
      </c>
      <c r="N170" s="14" t="s">
        <v>11</v>
      </c>
      <c r="O170" s="15">
        <v>4316</v>
      </c>
      <c r="P170" s="12">
        <v>1</v>
      </c>
      <c r="Q170" s="13" t="s">
        <v>101</v>
      </c>
      <c r="R170" s="16">
        <v>16848000</v>
      </c>
      <c r="S170" s="17">
        <v>15600000</v>
      </c>
      <c r="T170" s="12">
        <v>0</v>
      </c>
      <c r="U170" s="18">
        <v>0</v>
      </c>
      <c r="V170" s="19">
        <v>0</v>
      </c>
      <c r="W170" s="13" t="s">
        <v>124</v>
      </c>
      <c r="X170" s="14" t="s">
        <v>1222</v>
      </c>
      <c r="Y170" s="13" t="s">
        <v>922</v>
      </c>
      <c r="Z170" s="14" t="s">
        <v>1223</v>
      </c>
      <c r="AA170" s="17">
        <v>14</v>
      </c>
      <c r="AB170" s="14" t="s">
        <v>1224</v>
      </c>
      <c r="AC170" s="17">
        <v>16848000</v>
      </c>
      <c r="AD170" s="14" t="s">
        <v>108</v>
      </c>
      <c r="AE170" s="17">
        <v>15600000</v>
      </c>
      <c r="AF170" s="14" t="s">
        <v>379</v>
      </c>
      <c r="AG170" s="20" t="s">
        <v>923</v>
      </c>
      <c r="AH170" s="10">
        <v>9754607</v>
      </c>
      <c r="AI170" s="24" t="str">
        <f>VLOOKUP(Sales[[#This Row],[Store]],'Store lay bao  cao'!A:B,2,0)</f>
        <v>Lấy BC</v>
      </c>
      <c r="AJ170" s="24" t="str">
        <f>VLOOKUP(Sales[[#This Row],[Associate]],'Associate Status'!B:C,2,0)</f>
        <v>Retired</v>
      </c>
    </row>
    <row r="171" spans="1:36" x14ac:dyDescent="0.25">
      <c r="A171" s="7">
        <v>2023</v>
      </c>
      <c r="B171" s="8">
        <v>7</v>
      </c>
      <c r="C171" s="8">
        <v>30</v>
      </c>
      <c r="D171" s="8" t="s">
        <v>52</v>
      </c>
      <c r="E171" s="8" t="s">
        <v>53</v>
      </c>
      <c r="F171" s="8" t="s">
        <v>52</v>
      </c>
      <c r="G171" s="9">
        <v>51022948</v>
      </c>
      <c r="H171" s="10">
        <v>50213790</v>
      </c>
      <c r="I171" s="11">
        <v>45128</v>
      </c>
      <c r="J171" s="12">
        <v>181402</v>
      </c>
      <c r="K171" s="13" t="s">
        <v>1226</v>
      </c>
      <c r="L171" s="14" t="s">
        <v>58</v>
      </c>
      <c r="M171" s="11" t="s">
        <v>28</v>
      </c>
      <c r="N171" s="14" t="s">
        <v>11</v>
      </c>
      <c r="O171" s="15">
        <v>7</v>
      </c>
      <c r="P171" s="12">
        <v>1</v>
      </c>
      <c r="Q171" s="13" t="s">
        <v>101</v>
      </c>
      <c r="R171" s="16">
        <v>138013000</v>
      </c>
      <c r="S171" s="17">
        <v>127789815</v>
      </c>
      <c r="T171" s="12">
        <v>0</v>
      </c>
      <c r="U171" s="18">
        <v>0</v>
      </c>
      <c r="V171" s="19">
        <v>0</v>
      </c>
      <c r="W171" s="13" t="s">
        <v>1225</v>
      </c>
      <c r="X171" s="14" t="s">
        <v>1227</v>
      </c>
      <c r="Y171" s="13" t="s">
        <v>284</v>
      </c>
      <c r="Z171" s="14" t="s">
        <v>1228</v>
      </c>
      <c r="AA171" s="17">
        <v>18</v>
      </c>
      <c r="AB171" s="14" t="s">
        <v>1229</v>
      </c>
      <c r="AC171" s="17">
        <v>138013000</v>
      </c>
      <c r="AD171" s="14" t="s">
        <v>108</v>
      </c>
      <c r="AE171" s="17">
        <v>127789815</v>
      </c>
      <c r="AF171" s="14" t="s">
        <v>1202</v>
      </c>
      <c r="AG171" s="21" t="s">
        <v>285</v>
      </c>
      <c r="AH171" s="10">
        <v>76766867</v>
      </c>
      <c r="AI171" s="24" t="str">
        <f>VLOOKUP(Sales[[#This Row],[Store]],'Store lay bao  cao'!A:B,2,0)</f>
        <v>Lấy BC</v>
      </c>
      <c r="AJ171" s="24" t="e">
        <f>VLOOKUP(Sales[[#This Row],[Associate]],'Associate Status'!B:C,2,0)</f>
        <v>#N/A</v>
      </c>
    </row>
    <row r="172" spans="1:36" x14ac:dyDescent="0.25">
      <c r="A172" s="7">
        <v>2023</v>
      </c>
      <c r="B172" s="8">
        <v>7</v>
      </c>
      <c r="C172" s="8">
        <v>30</v>
      </c>
      <c r="D172" s="8" t="s">
        <v>52</v>
      </c>
      <c r="E172" s="8" t="s">
        <v>37</v>
      </c>
      <c r="F172" s="8" t="s">
        <v>52</v>
      </c>
      <c r="G172" s="9">
        <v>29243560</v>
      </c>
      <c r="H172" s="10">
        <v>28779795</v>
      </c>
      <c r="I172" s="11">
        <v>45128</v>
      </c>
      <c r="J172" s="12">
        <v>181404</v>
      </c>
      <c r="K172" s="13" t="s">
        <v>1226</v>
      </c>
      <c r="L172" s="14" t="s">
        <v>58</v>
      </c>
      <c r="M172" s="11" t="s">
        <v>28</v>
      </c>
      <c r="N172" s="14" t="s">
        <v>11</v>
      </c>
      <c r="O172" s="15">
        <v>7</v>
      </c>
      <c r="P172" s="12">
        <v>1</v>
      </c>
      <c r="Q172" s="13" t="s">
        <v>101</v>
      </c>
      <c r="R172" s="16">
        <v>96298000</v>
      </c>
      <c r="S172" s="17">
        <v>89164815</v>
      </c>
      <c r="T172" s="12">
        <v>0</v>
      </c>
      <c r="U172" s="18">
        <v>0</v>
      </c>
      <c r="V172" s="19">
        <v>0</v>
      </c>
      <c r="W172" s="13" t="s">
        <v>1225</v>
      </c>
      <c r="X172" s="14" t="s">
        <v>1230</v>
      </c>
      <c r="Y172" s="13" t="s">
        <v>284</v>
      </c>
      <c r="Z172" s="14" t="s">
        <v>1231</v>
      </c>
      <c r="AA172" s="17">
        <v>18</v>
      </c>
      <c r="AB172" s="14" t="s">
        <v>1232</v>
      </c>
      <c r="AC172" s="17">
        <v>96298000</v>
      </c>
      <c r="AD172" s="14" t="s">
        <v>108</v>
      </c>
      <c r="AE172" s="17">
        <v>89164815</v>
      </c>
      <c r="AF172" s="14" t="s">
        <v>1202</v>
      </c>
      <c r="AG172" s="20" t="s">
        <v>285</v>
      </c>
      <c r="AH172" s="10">
        <v>59921255</v>
      </c>
      <c r="AI172" s="24" t="str">
        <f>VLOOKUP(Sales[[#This Row],[Store]],'Store lay bao  cao'!A:B,2,0)</f>
        <v>Lấy BC</v>
      </c>
      <c r="AJ172" s="24" t="e">
        <f>VLOOKUP(Sales[[#This Row],[Associate]],'Associate Status'!B:C,2,0)</f>
        <v>#N/A</v>
      </c>
    </row>
    <row r="173" spans="1:36" x14ac:dyDescent="0.25">
      <c r="A173" s="7">
        <v>2023</v>
      </c>
      <c r="B173" s="8">
        <v>7</v>
      </c>
      <c r="C173" s="8">
        <v>31</v>
      </c>
      <c r="D173" s="8" t="s">
        <v>51</v>
      </c>
      <c r="E173" s="8" t="s">
        <v>37</v>
      </c>
      <c r="F173" s="8" t="s">
        <v>51</v>
      </c>
      <c r="G173" s="9">
        <v>1150551</v>
      </c>
      <c r="H173" s="10">
        <v>1003000</v>
      </c>
      <c r="I173" s="11">
        <v>45132</v>
      </c>
      <c r="J173" s="12">
        <v>174862</v>
      </c>
      <c r="K173" s="13" t="s">
        <v>1233</v>
      </c>
      <c r="L173" s="14" t="s">
        <v>47</v>
      </c>
      <c r="M173" s="11" t="s">
        <v>17</v>
      </c>
      <c r="N173" s="14" t="s">
        <v>11</v>
      </c>
      <c r="O173" s="15">
        <v>7028</v>
      </c>
      <c r="P173" s="12">
        <v>1</v>
      </c>
      <c r="Q173" s="13" t="s">
        <v>101</v>
      </c>
      <c r="R173" s="16">
        <v>5605000</v>
      </c>
      <c r="S173" s="17">
        <v>5189815</v>
      </c>
      <c r="T173" s="12">
        <v>0</v>
      </c>
      <c r="U173" s="18">
        <v>0</v>
      </c>
      <c r="V173" s="19">
        <v>0</v>
      </c>
      <c r="W173" s="13" t="s">
        <v>427</v>
      </c>
      <c r="X173" s="14" t="s">
        <v>952</v>
      </c>
      <c r="Y173" s="13" t="s">
        <v>314</v>
      </c>
      <c r="Z173" s="14" t="s">
        <v>1010</v>
      </c>
      <c r="AA173" s="17">
        <v>11</v>
      </c>
      <c r="AB173" s="14" t="s">
        <v>194</v>
      </c>
      <c r="AC173" s="17">
        <v>5605000</v>
      </c>
      <c r="AD173" s="14" t="s">
        <v>849</v>
      </c>
      <c r="AE173" s="17">
        <v>5189815</v>
      </c>
      <c r="AF173" s="14" t="s">
        <v>119</v>
      </c>
      <c r="AG173" s="21" t="s">
        <v>315</v>
      </c>
      <c r="AH173" s="10">
        <v>4039264</v>
      </c>
      <c r="AI173" s="24" t="str">
        <f>VLOOKUP(Sales[[#This Row],[Store]],'Store lay bao  cao'!A:B,2,0)</f>
        <v>Lấy BC</v>
      </c>
      <c r="AJ173" s="24" t="str">
        <f>VLOOKUP(Sales[[#This Row],[Associate]],'Associate Status'!B:C,2,0)</f>
        <v>Retired</v>
      </c>
    </row>
    <row r="174" spans="1:36" x14ac:dyDescent="0.25">
      <c r="A174" s="7">
        <v>2023</v>
      </c>
      <c r="B174" s="8">
        <v>8</v>
      </c>
      <c r="C174" s="8">
        <v>32</v>
      </c>
      <c r="D174" s="8" t="s">
        <v>52</v>
      </c>
      <c r="E174" s="8" t="s">
        <v>34</v>
      </c>
      <c r="F174" s="8" t="s">
        <v>52</v>
      </c>
      <c r="G174" s="9">
        <v>2727850</v>
      </c>
      <c r="H174" s="10">
        <v>2457000</v>
      </c>
      <c r="I174" s="11">
        <v>45139</v>
      </c>
      <c r="J174" s="12">
        <v>182237</v>
      </c>
      <c r="K174" s="13" t="s">
        <v>439</v>
      </c>
      <c r="L174" s="14" t="s">
        <v>50</v>
      </c>
      <c r="M174" s="11" t="s">
        <v>15</v>
      </c>
      <c r="N174" s="14" t="s">
        <v>11</v>
      </c>
      <c r="O174" s="15">
        <v>2652</v>
      </c>
      <c r="P174" s="12">
        <v>1</v>
      </c>
      <c r="Q174" s="13" t="s">
        <v>101</v>
      </c>
      <c r="R174" s="16">
        <v>7863000</v>
      </c>
      <c r="S174" s="17">
        <v>7280556</v>
      </c>
      <c r="T174" s="12">
        <v>0</v>
      </c>
      <c r="U174" s="18">
        <v>0</v>
      </c>
      <c r="V174" s="19">
        <v>0</v>
      </c>
      <c r="W174" s="13" t="s">
        <v>104</v>
      </c>
      <c r="X174" s="14" t="s">
        <v>1234</v>
      </c>
      <c r="Y174" s="13" t="s">
        <v>913</v>
      </c>
      <c r="Z174" s="14" t="s">
        <v>1235</v>
      </c>
      <c r="AA174" s="17">
        <v>11</v>
      </c>
      <c r="AB174" s="14" t="s">
        <v>1236</v>
      </c>
      <c r="AC174" s="17">
        <v>7863000</v>
      </c>
      <c r="AD174" s="14" t="s">
        <v>108</v>
      </c>
      <c r="AE174" s="17">
        <v>7280556</v>
      </c>
      <c r="AF174" s="14" t="s">
        <v>2595</v>
      </c>
      <c r="AG174" s="20" t="s">
        <v>914</v>
      </c>
      <c r="AH174" s="10">
        <v>4552706</v>
      </c>
      <c r="AI174" s="24" t="str">
        <f>VLOOKUP(Sales[[#This Row],[Store]],'Store lay bao  cao'!A:B,2,0)</f>
        <v>Lấy BC</v>
      </c>
      <c r="AJ174" s="24" t="e">
        <f>VLOOKUP(Sales[[#This Row],[Associate]],'Associate Status'!B:C,2,0)</f>
        <v>#N/A</v>
      </c>
    </row>
    <row r="175" spans="1:36" x14ac:dyDescent="0.25">
      <c r="A175" s="7">
        <v>2023</v>
      </c>
      <c r="B175" s="8">
        <v>8</v>
      </c>
      <c r="C175" s="8">
        <v>34</v>
      </c>
      <c r="D175" s="8" t="s">
        <v>51</v>
      </c>
      <c r="E175" s="8" t="s">
        <v>37</v>
      </c>
      <c r="F175" s="8" t="s">
        <v>51</v>
      </c>
      <c r="G175" s="9">
        <v>1336670</v>
      </c>
      <c r="H175" s="10">
        <v>1165250</v>
      </c>
      <c r="I175" s="11">
        <v>45153</v>
      </c>
      <c r="J175" s="12">
        <v>174866</v>
      </c>
      <c r="K175" s="13" t="s">
        <v>787</v>
      </c>
      <c r="L175" s="14" t="s">
        <v>47</v>
      </c>
      <c r="M175" s="11" t="s">
        <v>21</v>
      </c>
      <c r="N175" s="14" t="s">
        <v>11</v>
      </c>
      <c r="O175" s="15">
        <v>4446</v>
      </c>
      <c r="P175" s="12">
        <v>1</v>
      </c>
      <c r="Q175" s="13" t="s">
        <v>102</v>
      </c>
      <c r="R175" s="16">
        <v>6490000</v>
      </c>
      <c r="S175" s="17">
        <v>6009259</v>
      </c>
      <c r="T175" s="12">
        <v>0</v>
      </c>
      <c r="U175" s="18">
        <v>0</v>
      </c>
      <c r="V175" s="19">
        <v>0</v>
      </c>
      <c r="W175" s="13" t="s">
        <v>160</v>
      </c>
      <c r="X175" s="14" t="s">
        <v>1238</v>
      </c>
      <c r="Y175" s="13" t="s">
        <v>103</v>
      </c>
      <c r="Z175" s="14" t="s">
        <v>850</v>
      </c>
      <c r="AA175" s="17">
        <v>13</v>
      </c>
      <c r="AB175" s="14" t="s">
        <v>301</v>
      </c>
      <c r="AC175" s="17">
        <v>6490000</v>
      </c>
      <c r="AD175" s="14" t="s">
        <v>849</v>
      </c>
      <c r="AE175" s="17">
        <v>6009259</v>
      </c>
      <c r="AF175" s="14" t="s">
        <v>324</v>
      </c>
      <c r="AG175" s="21"/>
      <c r="AH175" s="10">
        <v>4672589</v>
      </c>
      <c r="AI175" s="24" t="str">
        <f>VLOOKUP(Sales[[#This Row],[Store]],'Store lay bao  cao'!A:B,2,0)</f>
        <v>Lấy BC</v>
      </c>
      <c r="AJ175" s="24" t="str">
        <f>VLOOKUP(Sales[[#This Row],[Associate]],'Associate Status'!B:C,2,0)</f>
        <v>Retired</v>
      </c>
    </row>
    <row r="176" spans="1:36" x14ac:dyDescent="0.25">
      <c r="A176" s="7">
        <v>2023</v>
      </c>
      <c r="B176" s="8">
        <v>8</v>
      </c>
      <c r="C176" s="8">
        <v>34</v>
      </c>
      <c r="D176" s="8" t="s">
        <v>52</v>
      </c>
      <c r="E176" s="8" t="s">
        <v>53</v>
      </c>
      <c r="F176" s="8" t="s">
        <v>52</v>
      </c>
      <c r="G176" s="9">
        <v>3383434</v>
      </c>
      <c r="H176" s="10">
        <v>3435750</v>
      </c>
      <c r="I176" s="11">
        <v>45156</v>
      </c>
      <c r="J176" s="12">
        <v>182205</v>
      </c>
      <c r="K176" s="13" t="s">
        <v>1239</v>
      </c>
      <c r="L176" s="14" t="s">
        <v>50</v>
      </c>
      <c r="M176" s="11" t="s">
        <v>28</v>
      </c>
      <c r="N176" s="14" t="s">
        <v>11</v>
      </c>
      <c r="O176" s="15">
        <v>107</v>
      </c>
      <c r="P176" s="12">
        <v>1</v>
      </c>
      <c r="Q176" s="13" t="s">
        <v>101</v>
      </c>
      <c r="R176" s="16">
        <v>10995000</v>
      </c>
      <c r="S176" s="17">
        <v>10180556</v>
      </c>
      <c r="T176" s="12">
        <v>0</v>
      </c>
      <c r="U176" s="18">
        <v>0</v>
      </c>
      <c r="V176" s="19">
        <v>0</v>
      </c>
      <c r="W176" s="13" t="s">
        <v>1225</v>
      </c>
      <c r="X176" s="14" t="s">
        <v>1212</v>
      </c>
      <c r="Y176" s="13" t="s">
        <v>304</v>
      </c>
      <c r="Z176" s="14" t="s">
        <v>1213</v>
      </c>
      <c r="AA176" s="17">
        <v>20</v>
      </c>
      <c r="AB176" s="14" t="s">
        <v>1214</v>
      </c>
      <c r="AC176" s="17">
        <v>10995000</v>
      </c>
      <c r="AD176" s="14" t="s">
        <v>108</v>
      </c>
      <c r="AE176" s="17">
        <v>10180556</v>
      </c>
      <c r="AF176" s="14" t="s">
        <v>1152</v>
      </c>
      <c r="AG176" s="20" t="s">
        <v>305</v>
      </c>
      <c r="AH176" s="10">
        <v>6797122</v>
      </c>
      <c r="AI176" s="24" t="str">
        <f>VLOOKUP(Sales[[#This Row],[Store]],'Store lay bao  cao'!A:B,2,0)</f>
        <v>Lấy BC</v>
      </c>
      <c r="AJ176" s="24" t="e">
        <f>VLOOKUP(Sales[[#This Row],[Associate]],'Associate Status'!B:C,2,0)</f>
        <v>#N/A</v>
      </c>
    </row>
    <row r="177" spans="1:36" x14ac:dyDescent="0.25">
      <c r="A177" s="7">
        <v>2023</v>
      </c>
      <c r="B177" s="8">
        <v>8</v>
      </c>
      <c r="C177" s="8">
        <v>35</v>
      </c>
      <c r="D177" s="8" t="s">
        <v>52</v>
      </c>
      <c r="E177" s="8" t="s">
        <v>43</v>
      </c>
      <c r="F177" s="8" t="s">
        <v>52</v>
      </c>
      <c r="G177" s="9">
        <v>2098348</v>
      </c>
      <c r="H177" s="10">
        <v>1890000</v>
      </c>
      <c r="I177" s="11">
        <v>45162</v>
      </c>
      <c r="J177" s="12">
        <v>182159</v>
      </c>
      <c r="K177" s="13" t="s">
        <v>1240</v>
      </c>
      <c r="L177" s="14" t="s">
        <v>50</v>
      </c>
      <c r="M177" s="11" t="s">
        <v>28</v>
      </c>
      <c r="N177" s="14" t="s">
        <v>11</v>
      </c>
      <c r="O177" s="15">
        <v>141</v>
      </c>
      <c r="P177" s="12">
        <v>1</v>
      </c>
      <c r="Q177" s="13" t="s">
        <v>101</v>
      </c>
      <c r="R177" s="16">
        <v>5443200</v>
      </c>
      <c r="S177" s="17">
        <v>5040000</v>
      </c>
      <c r="T177" s="12">
        <v>10</v>
      </c>
      <c r="U177" s="18">
        <v>560000</v>
      </c>
      <c r="V177" s="19">
        <v>604800</v>
      </c>
      <c r="W177" s="13" t="s">
        <v>484</v>
      </c>
      <c r="X177" s="14" t="s">
        <v>1241</v>
      </c>
      <c r="Y177" s="13" t="s">
        <v>1242</v>
      </c>
      <c r="Z177" s="14" t="s">
        <v>1243</v>
      </c>
      <c r="AA177" s="17">
        <v>21</v>
      </c>
      <c r="AB177" s="14" t="s">
        <v>1217</v>
      </c>
      <c r="AC177" s="17">
        <v>6048000</v>
      </c>
      <c r="AD177" s="14">
        <v>13</v>
      </c>
      <c r="AE177" s="17">
        <v>5600000</v>
      </c>
      <c r="AF177" s="14" t="s">
        <v>1146</v>
      </c>
      <c r="AG177" s="21" t="s">
        <v>1244</v>
      </c>
      <c r="AH177" s="10">
        <v>2941652</v>
      </c>
      <c r="AI177" s="24" t="str">
        <f>VLOOKUP(Sales[[#This Row],[Store]],'Store lay bao  cao'!A:B,2,0)</f>
        <v>Lấy BC</v>
      </c>
      <c r="AJ177" s="24" t="str">
        <f>VLOOKUP(Sales[[#This Row],[Associate]],'Associate Status'!B:C,2,0)</f>
        <v>Retired</v>
      </c>
    </row>
    <row r="178" spans="1:36" x14ac:dyDescent="0.25">
      <c r="A178" s="7">
        <v>2023</v>
      </c>
      <c r="B178" s="8">
        <v>8</v>
      </c>
      <c r="C178" s="8">
        <v>35</v>
      </c>
      <c r="D178" s="8" t="s">
        <v>52</v>
      </c>
      <c r="E178" s="8" t="s">
        <v>43</v>
      </c>
      <c r="F178" s="8" t="s">
        <v>52</v>
      </c>
      <c r="G178" s="9">
        <v>4046814</v>
      </c>
      <c r="H178" s="10">
        <v>3645000</v>
      </c>
      <c r="I178" s="11">
        <v>45162</v>
      </c>
      <c r="J178" s="12">
        <v>182158</v>
      </c>
      <c r="K178" s="13" t="s">
        <v>1240</v>
      </c>
      <c r="L178" s="14" t="s">
        <v>50</v>
      </c>
      <c r="M178" s="11" t="s">
        <v>28</v>
      </c>
      <c r="N178" s="14" t="s">
        <v>11</v>
      </c>
      <c r="O178" s="15">
        <v>141</v>
      </c>
      <c r="P178" s="12">
        <v>1</v>
      </c>
      <c r="Q178" s="13" t="s">
        <v>101</v>
      </c>
      <c r="R178" s="16">
        <v>10497600</v>
      </c>
      <c r="S178" s="17">
        <v>9720000</v>
      </c>
      <c r="T178" s="12">
        <v>10</v>
      </c>
      <c r="U178" s="18">
        <v>1080000</v>
      </c>
      <c r="V178" s="19">
        <v>1166400</v>
      </c>
      <c r="W178" s="13" t="s">
        <v>484</v>
      </c>
      <c r="X178" s="14" t="s">
        <v>1245</v>
      </c>
      <c r="Y178" s="13" t="s">
        <v>1242</v>
      </c>
      <c r="Z178" s="14" t="s">
        <v>1246</v>
      </c>
      <c r="AA178" s="17">
        <v>21</v>
      </c>
      <c r="AB178" s="14" t="s">
        <v>1247</v>
      </c>
      <c r="AC178" s="17">
        <v>11664000</v>
      </c>
      <c r="AD178" s="14">
        <v>13</v>
      </c>
      <c r="AE178" s="17">
        <v>10800000</v>
      </c>
      <c r="AF178" s="14" t="s">
        <v>1146</v>
      </c>
      <c r="AG178" s="20" t="s">
        <v>1244</v>
      </c>
      <c r="AH178" s="10">
        <v>5673186</v>
      </c>
      <c r="AI178" s="24" t="str">
        <f>VLOOKUP(Sales[[#This Row],[Store]],'Store lay bao  cao'!A:B,2,0)</f>
        <v>Lấy BC</v>
      </c>
      <c r="AJ178" s="24" t="str">
        <f>VLOOKUP(Sales[[#This Row],[Associate]],'Associate Status'!B:C,2,0)</f>
        <v>Retired</v>
      </c>
    </row>
    <row r="179" spans="1:36" x14ac:dyDescent="0.25">
      <c r="A179" s="7">
        <v>2023</v>
      </c>
      <c r="B179" s="8">
        <v>8</v>
      </c>
      <c r="C179" s="8">
        <v>35</v>
      </c>
      <c r="D179" s="8" t="s">
        <v>52</v>
      </c>
      <c r="E179" s="8" t="s">
        <v>43</v>
      </c>
      <c r="F179" s="8" t="s">
        <v>52</v>
      </c>
      <c r="G179" s="9">
        <v>44090812</v>
      </c>
      <c r="H179" s="10">
        <v>37306800</v>
      </c>
      <c r="I179" s="11">
        <v>45162</v>
      </c>
      <c r="J179" s="12">
        <v>186471</v>
      </c>
      <c r="K179" s="13" t="s">
        <v>1240</v>
      </c>
      <c r="L179" s="14" t="s">
        <v>19</v>
      </c>
      <c r="M179" s="11" t="s">
        <v>28</v>
      </c>
      <c r="N179" s="14" t="s">
        <v>11</v>
      </c>
      <c r="O179" s="15">
        <v>141</v>
      </c>
      <c r="P179" s="12">
        <v>1</v>
      </c>
      <c r="Q179" s="13" t="s">
        <v>101</v>
      </c>
      <c r="R179" s="16">
        <v>109123200</v>
      </c>
      <c r="S179" s="17">
        <v>101040000</v>
      </c>
      <c r="T179" s="12">
        <v>10</v>
      </c>
      <c r="U179" s="18">
        <v>11226667</v>
      </c>
      <c r="V179" s="19">
        <v>12124800</v>
      </c>
      <c r="W179" s="13" t="s">
        <v>484</v>
      </c>
      <c r="X179" s="14" t="s">
        <v>1248</v>
      </c>
      <c r="Y179" s="13" t="s">
        <v>1242</v>
      </c>
      <c r="Z179" s="14" t="s">
        <v>1249</v>
      </c>
      <c r="AA179" s="17">
        <v>21</v>
      </c>
      <c r="AB179" s="14" t="s">
        <v>1250</v>
      </c>
      <c r="AC179" s="17">
        <v>121248000</v>
      </c>
      <c r="AD179" s="14">
        <v>53</v>
      </c>
      <c r="AE179" s="17">
        <v>112266667</v>
      </c>
      <c r="AF179" s="14" t="s">
        <v>1146</v>
      </c>
      <c r="AG179" s="21" t="s">
        <v>1244</v>
      </c>
      <c r="AH179" s="10">
        <v>56949188</v>
      </c>
      <c r="AI179" s="24" t="str">
        <f>VLOOKUP(Sales[[#This Row],[Store]],'Store lay bao  cao'!A:B,2,0)</f>
        <v>Lấy BC</v>
      </c>
      <c r="AJ179" s="24" t="str">
        <f>VLOOKUP(Sales[[#This Row],[Associate]],'Associate Status'!B:C,2,0)</f>
        <v>Retired</v>
      </c>
    </row>
    <row r="180" spans="1:36" x14ac:dyDescent="0.25">
      <c r="A180" s="7">
        <v>2023</v>
      </c>
      <c r="B180" s="8">
        <v>8</v>
      </c>
      <c r="C180" s="8">
        <v>35</v>
      </c>
      <c r="D180" s="8" t="s">
        <v>52</v>
      </c>
      <c r="E180" s="8" t="s">
        <v>43</v>
      </c>
      <c r="F180" s="8" t="s">
        <v>52</v>
      </c>
      <c r="G180" s="9">
        <v>13235729</v>
      </c>
      <c r="H180" s="10">
        <v>11197200</v>
      </c>
      <c r="I180" s="11">
        <v>45162</v>
      </c>
      <c r="J180" s="12">
        <v>186493</v>
      </c>
      <c r="K180" s="13" t="s">
        <v>1240</v>
      </c>
      <c r="L180" s="14" t="s">
        <v>19</v>
      </c>
      <c r="M180" s="11" t="s">
        <v>28</v>
      </c>
      <c r="N180" s="14" t="s">
        <v>11</v>
      </c>
      <c r="O180" s="15">
        <v>141</v>
      </c>
      <c r="P180" s="12">
        <v>1</v>
      </c>
      <c r="Q180" s="13" t="s">
        <v>101</v>
      </c>
      <c r="R180" s="16">
        <v>32751900</v>
      </c>
      <c r="S180" s="17">
        <v>30325833</v>
      </c>
      <c r="T180" s="12">
        <v>10</v>
      </c>
      <c r="U180" s="18">
        <v>3369537</v>
      </c>
      <c r="V180" s="19">
        <v>3639100</v>
      </c>
      <c r="W180" s="13" t="s">
        <v>484</v>
      </c>
      <c r="X180" s="14" t="s">
        <v>1251</v>
      </c>
      <c r="Y180" s="13" t="s">
        <v>1242</v>
      </c>
      <c r="Z180" s="14" t="s">
        <v>1252</v>
      </c>
      <c r="AA180" s="17">
        <v>21</v>
      </c>
      <c r="AB180" s="14" t="s">
        <v>1253</v>
      </c>
      <c r="AC180" s="17">
        <v>36391000</v>
      </c>
      <c r="AD180" s="14" t="s">
        <v>1254</v>
      </c>
      <c r="AE180" s="17">
        <v>33695370</v>
      </c>
      <c r="AF180" s="14" t="s">
        <v>1146</v>
      </c>
      <c r="AG180" s="20" t="s">
        <v>1244</v>
      </c>
      <c r="AH180" s="10">
        <v>17090104</v>
      </c>
      <c r="AI180" s="24" t="str">
        <f>VLOOKUP(Sales[[#This Row],[Store]],'Store lay bao  cao'!A:B,2,0)</f>
        <v>Lấy BC</v>
      </c>
      <c r="AJ180" s="24" t="str">
        <f>VLOOKUP(Sales[[#This Row],[Associate]],'Associate Status'!B:C,2,0)</f>
        <v>Retired</v>
      </c>
    </row>
    <row r="181" spans="1:36" x14ac:dyDescent="0.25">
      <c r="A181" s="7">
        <v>2023</v>
      </c>
      <c r="B181" s="8">
        <v>8</v>
      </c>
      <c r="C181" s="8">
        <v>35</v>
      </c>
      <c r="D181" s="8" t="s">
        <v>52</v>
      </c>
      <c r="E181" s="8" t="s">
        <v>43</v>
      </c>
      <c r="F181" s="8" t="s">
        <v>52</v>
      </c>
      <c r="G181" s="9">
        <v>21216286</v>
      </c>
      <c r="H181" s="10">
        <v>17956800</v>
      </c>
      <c r="I181" s="11">
        <v>45162</v>
      </c>
      <c r="J181" s="12">
        <v>186467</v>
      </c>
      <c r="K181" s="13" t="s">
        <v>1255</v>
      </c>
      <c r="L181" s="14" t="s">
        <v>19</v>
      </c>
      <c r="M181" s="11" t="s">
        <v>28</v>
      </c>
      <c r="N181" s="14" t="s">
        <v>11</v>
      </c>
      <c r="O181" s="15">
        <v>133</v>
      </c>
      <c r="P181" s="12">
        <v>1</v>
      </c>
      <c r="Q181" s="13" t="s">
        <v>101</v>
      </c>
      <c r="R181" s="16">
        <v>55442000</v>
      </c>
      <c r="S181" s="17">
        <v>51335185</v>
      </c>
      <c r="T181" s="12">
        <v>5</v>
      </c>
      <c r="U181" s="18">
        <v>2701852</v>
      </c>
      <c r="V181" s="19">
        <v>2918000</v>
      </c>
      <c r="W181" s="13" t="s">
        <v>484</v>
      </c>
      <c r="X181" s="14" t="s">
        <v>1256</v>
      </c>
      <c r="Y181" s="13" t="s">
        <v>318</v>
      </c>
      <c r="Z181" s="14" t="s">
        <v>1257</v>
      </c>
      <c r="AA181" s="17">
        <v>13</v>
      </c>
      <c r="AB181" s="14" t="s">
        <v>1195</v>
      </c>
      <c r="AC181" s="17">
        <v>58360000</v>
      </c>
      <c r="AD181" s="14" t="s">
        <v>1258</v>
      </c>
      <c r="AE181" s="17">
        <v>54037037</v>
      </c>
      <c r="AF181" s="14" t="s">
        <v>1157</v>
      </c>
      <c r="AG181" s="21" t="s">
        <v>325</v>
      </c>
      <c r="AH181" s="10">
        <v>30118899</v>
      </c>
      <c r="AI181" s="24" t="str">
        <f>VLOOKUP(Sales[[#This Row],[Store]],'Store lay bao  cao'!A:B,2,0)</f>
        <v>Lấy BC</v>
      </c>
      <c r="AJ181" s="24" t="e">
        <f>VLOOKUP(Sales[[#This Row],[Associate]],'Associate Status'!B:C,2,0)</f>
        <v>#N/A</v>
      </c>
    </row>
    <row r="182" spans="1:36" x14ac:dyDescent="0.25">
      <c r="A182" s="7">
        <v>2023</v>
      </c>
      <c r="B182" s="8">
        <v>8</v>
      </c>
      <c r="C182" s="8">
        <v>35</v>
      </c>
      <c r="D182" s="8" t="s">
        <v>52</v>
      </c>
      <c r="E182" s="8" t="s">
        <v>43</v>
      </c>
      <c r="F182" s="8" t="s">
        <v>52</v>
      </c>
      <c r="G182" s="9">
        <v>-10910164</v>
      </c>
      <c r="H182" s="10">
        <v>-9236400</v>
      </c>
      <c r="I182" s="11">
        <v>45165</v>
      </c>
      <c r="J182" s="12">
        <v>186446</v>
      </c>
      <c r="K182" s="13" t="s">
        <v>1259</v>
      </c>
      <c r="L182" s="14" t="s">
        <v>19</v>
      </c>
      <c r="M182" s="11" t="s">
        <v>28</v>
      </c>
      <c r="N182" s="14" t="s">
        <v>11</v>
      </c>
      <c r="O182" s="15">
        <v>169</v>
      </c>
      <c r="P182" s="12">
        <v>-1</v>
      </c>
      <c r="Q182" s="13" t="s">
        <v>101</v>
      </c>
      <c r="R182" s="16">
        <v>-27017100</v>
      </c>
      <c r="S182" s="17">
        <v>-25015833</v>
      </c>
      <c r="T182" s="12">
        <v>10</v>
      </c>
      <c r="U182" s="18">
        <v>-2779537</v>
      </c>
      <c r="V182" s="19">
        <v>-3001900</v>
      </c>
      <c r="W182" s="13" t="s">
        <v>1225</v>
      </c>
      <c r="X182" s="14" t="s">
        <v>1260</v>
      </c>
      <c r="Y182" s="13" t="s">
        <v>1242</v>
      </c>
      <c r="Z182" s="14" t="s">
        <v>1261</v>
      </c>
      <c r="AA182" s="17">
        <v>19</v>
      </c>
      <c r="AB182" s="14" t="s">
        <v>1165</v>
      </c>
      <c r="AC182" s="17">
        <v>-30019000</v>
      </c>
      <c r="AD182" s="14" t="s">
        <v>1262</v>
      </c>
      <c r="AE182" s="17">
        <v>-27795370</v>
      </c>
      <c r="AF182" s="14" t="s">
        <v>121</v>
      </c>
      <c r="AG182" s="20" t="s">
        <v>1244</v>
      </c>
      <c r="AH182" s="10">
        <v>-14105669</v>
      </c>
      <c r="AI182" s="24" t="str">
        <f>VLOOKUP(Sales[[#This Row],[Store]],'Store lay bao  cao'!A:B,2,0)</f>
        <v>Lấy BC</v>
      </c>
      <c r="AJ182" s="24" t="str">
        <f>VLOOKUP(Sales[[#This Row],[Associate]],'Associate Status'!B:C,2,0)</f>
        <v>Active</v>
      </c>
    </row>
    <row r="183" spans="1:36" x14ac:dyDescent="0.25">
      <c r="A183" s="7">
        <v>2023</v>
      </c>
      <c r="B183" s="8">
        <v>8</v>
      </c>
      <c r="C183" s="8">
        <v>35</v>
      </c>
      <c r="D183" s="8" t="s">
        <v>52</v>
      </c>
      <c r="E183" s="8" t="s">
        <v>43</v>
      </c>
      <c r="F183" s="8" t="s">
        <v>52</v>
      </c>
      <c r="G183" s="9">
        <v>-31882678</v>
      </c>
      <c r="H183" s="10">
        <v>-31377060</v>
      </c>
      <c r="I183" s="11">
        <v>45165</v>
      </c>
      <c r="J183" s="12">
        <v>181394</v>
      </c>
      <c r="K183" s="13" t="s">
        <v>1259</v>
      </c>
      <c r="L183" s="14" t="s">
        <v>58</v>
      </c>
      <c r="M183" s="11" t="s">
        <v>28</v>
      </c>
      <c r="N183" s="14" t="s">
        <v>11</v>
      </c>
      <c r="O183" s="15">
        <v>169</v>
      </c>
      <c r="P183" s="12">
        <v>-1</v>
      </c>
      <c r="Q183" s="13" t="s">
        <v>101</v>
      </c>
      <c r="R183" s="16">
        <v>-101238300</v>
      </c>
      <c r="S183" s="17">
        <v>-93739167</v>
      </c>
      <c r="T183" s="12">
        <v>10</v>
      </c>
      <c r="U183" s="18">
        <v>-10415463</v>
      </c>
      <c r="V183" s="19">
        <v>-11248700</v>
      </c>
      <c r="W183" s="13" t="s">
        <v>1225</v>
      </c>
      <c r="X183" s="14" t="s">
        <v>1263</v>
      </c>
      <c r="Y183" s="13" t="s">
        <v>1242</v>
      </c>
      <c r="Z183" s="14" t="s">
        <v>1264</v>
      </c>
      <c r="AA183" s="17">
        <v>19</v>
      </c>
      <c r="AB183" s="14" t="s">
        <v>1265</v>
      </c>
      <c r="AC183" s="17">
        <v>-112487000</v>
      </c>
      <c r="AD183" s="14" t="s">
        <v>108</v>
      </c>
      <c r="AE183" s="17">
        <v>-104154630</v>
      </c>
      <c r="AF183" s="14" t="s">
        <v>121</v>
      </c>
      <c r="AG183" s="21" t="s">
        <v>1244</v>
      </c>
      <c r="AH183" s="10">
        <v>-61856489</v>
      </c>
      <c r="AI183" s="24" t="str">
        <f>VLOOKUP(Sales[[#This Row],[Store]],'Store lay bao  cao'!A:B,2,0)</f>
        <v>Lấy BC</v>
      </c>
      <c r="AJ183" s="24" t="str">
        <f>VLOOKUP(Sales[[#This Row],[Associate]],'Associate Status'!B:C,2,0)</f>
        <v>Active</v>
      </c>
    </row>
    <row r="184" spans="1:36" x14ac:dyDescent="0.25">
      <c r="A184" s="7">
        <v>2023</v>
      </c>
      <c r="B184" s="8">
        <v>8</v>
      </c>
      <c r="C184" s="8">
        <v>35</v>
      </c>
      <c r="D184" s="8" t="s">
        <v>52</v>
      </c>
      <c r="E184" s="8" t="s">
        <v>43</v>
      </c>
      <c r="F184" s="8" t="s">
        <v>52</v>
      </c>
      <c r="G184" s="9">
        <v>10910164</v>
      </c>
      <c r="H184" s="10">
        <v>9236400</v>
      </c>
      <c r="I184" s="11">
        <v>45165</v>
      </c>
      <c r="J184" s="12">
        <v>186446</v>
      </c>
      <c r="K184" s="13" t="s">
        <v>1266</v>
      </c>
      <c r="L184" s="14" t="s">
        <v>19</v>
      </c>
      <c r="M184" s="11" t="s">
        <v>28</v>
      </c>
      <c r="N184" s="14" t="s">
        <v>11</v>
      </c>
      <c r="O184" s="15">
        <v>168</v>
      </c>
      <c r="P184" s="12">
        <v>1</v>
      </c>
      <c r="Q184" s="13" t="s">
        <v>101</v>
      </c>
      <c r="R184" s="16">
        <v>27017100</v>
      </c>
      <c r="S184" s="17">
        <v>25015833</v>
      </c>
      <c r="T184" s="12">
        <v>10</v>
      </c>
      <c r="U184" s="18">
        <v>2779537</v>
      </c>
      <c r="V184" s="19">
        <v>3001900</v>
      </c>
      <c r="W184" s="13" t="s">
        <v>484</v>
      </c>
      <c r="X184" s="14" t="s">
        <v>1260</v>
      </c>
      <c r="Y184" s="13" t="s">
        <v>1242</v>
      </c>
      <c r="Z184" s="14" t="s">
        <v>1261</v>
      </c>
      <c r="AA184" s="17">
        <v>17</v>
      </c>
      <c r="AB184" s="14" t="s">
        <v>1165</v>
      </c>
      <c r="AC184" s="17">
        <v>30019000</v>
      </c>
      <c r="AD184" s="14" t="s">
        <v>1262</v>
      </c>
      <c r="AE184" s="17">
        <v>27795370</v>
      </c>
      <c r="AF184" s="14" t="s">
        <v>121</v>
      </c>
      <c r="AG184" s="20" t="s">
        <v>1244</v>
      </c>
      <c r="AH184" s="10">
        <v>14105669</v>
      </c>
      <c r="AI184" s="24" t="str">
        <f>VLOOKUP(Sales[[#This Row],[Store]],'Store lay bao  cao'!A:B,2,0)</f>
        <v>Lấy BC</v>
      </c>
      <c r="AJ184" s="24" t="str">
        <f>VLOOKUP(Sales[[#This Row],[Associate]],'Associate Status'!B:C,2,0)</f>
        <v>Active</v>
      </c>
    </row>
    <row r="185" spans="1:36" x14ac:dyDescent="0.25">
      <c r="A185" s="7">
        <v>2023</v>
      </c>
      <c r="B185" s="8">
        <v>8</v>
      </c>
      <c r="C185" s="8">
        <v>35</v>
      </c>
      <c r="D185" s="8" t="s">
        <v>52</v>
      </c>
      <c r="E185" s="8" t="s">
        <v>43</v>
      </c>
      <c r="F185" s="8" t="s">
        <v>52</v>
      </c>
      <c r="G185" s="9">
        <v>31882678</v>
      </c>
      <c r="H185" s="10">
        <v>31377060</v>
      </c>
      <c r="I185" s="11">
        <v>45165</v>
      </c>
      <c r="J185" s="12">
        <v>181394</v>
      </c>
      <c r="K185" s="13" t="s">
        <v>1266</v>
      </c>
      <c r="L185" s="14" t="s">
        <v>58</v>
      </c>
      <c r="M185" s="11" t="s">
        <v>28</v>
      </c>
      <c r="N185" s="14" t="s">
        <v>11</v>
      </c>
      <c r="O185" s="15">
        <v>168</v>
      </c>
      <c r="P185" s="12">
        <v>1</v>
      </c>
      <c r="Q185" s="13" t="s">
        <v>101</v>
      </c>
      <c r="R185" s="16">
        <v>101238300</v>
      </c>
      <c r="S185" s="17">
        <v>93739167</v>
      </c>
      <c r="T185" s="12">
        <v>10</v>
      </c>
      <c r="U185" s="18">
        <v>10415463</v>
      </c>
      <c r="V185" s="19">
        <v>11248700</v>
      </c>
      <c r="W185" s="13" t="s">
        <v>484</v>
      </c>
      <c r="X185" s="14" t="s">
        <v>1263</v>
      </c>
      <c r="Y185" s="13" t="s">
        <v>1242</v>
      </c>
      <c r="Z185" s="14" t="s">
        <v>1264</v>
      </c>
      <c r="AA185" s="17">
        <v>17</v>
      </c>
      <c r="AB185" s="14" t="s">
        <v>1265</v>
      </c>
      <c r="AC185" s="17">
        <v>112487000</v>
      </c>
      <c r="AD185" s="14" t="s">
        <v>108</v>
      </c>
      <c r="AE185" s="17">
        <v>104154630</v>
      </c>
      <c r="AF185" s="14" t="s">
        <v>121</v>
      </c>
      <c r="AG185" s="21" t="s">
        <v>1244</v>
      </c>
      <c r="AH185" s="10">
        <v>61856489</v>
      </c>
      <c r="AI185" s="24" t="str">
        <f>VLOOKUP(Sales[[#This Row],[Store]],'Store lay bao  cao'!A:B,2,0)</f>
        <v>Lấy BC</v>
      </c>
      <c r="AJ185" s="24" t="str">
        <f>VLOOKUP(Sales[[#This Row],[Associate]],'Associate Status'!B:C,2,0)</f>
        <v>Active</v>
      </c>
    </row>
    <row r="186" spans="1:36" x14ac:dyDescent="0.25">
      <c r="A186" s="7">
        <v>2023</v>
      </c>
      <c r="B186" s="8">
        <v>8</v>
      </c>
      <c r="C186" s="8">
        <v>35</v>
      </c>
      <c r="D186" s="8" t="s">
        <v>52</v>
      </c>
      <c r="E186" s="8" t="s">
        <v>43</v>
      </c>
      <c r="F186" s="8" t="s">
        <v>52</v>
      </c>
      <c r="G186" s="9">
        <v>-10910164</v>
      </c>
      <c r="H186" s="10">
        <v>-9236400</v>
      </c>
      <c r="I186" s="11">
        <v>45165</v>
      </c>
      <c r="J186" s="12">
        <v>186446</v>
      </c>
      <c r="K186" s="13" t="s">
        <v>1267</v>
      </c>
      <c r="L186" s="14" t="s">
        <v>19</v>
      </c>
      <c r="M186" s="11" t="s">
        <v>28</v>
      </c>
      <c r="N186" s="14" t="s">
        <v>11</v>
      </c>
      <c r="O186" s="15">
        <v>176</v>
      </c>
      <c r="P186" s="12">
        <v>-1</v>
      </c>
      <c r="Q186" s="13" t="s">
        <v>101</v>
      </c>
      <c r="R186" s="16">
        <v>-27017100</v>
      </c>
      <c r="S186" s="17">
        <v>-25015833</v>
      </c>
      <c r="T186" s="12">
        <v>10</v>
      </c>
      <c r="U186" s="18">
        <v>-2779537</v>
      </c>
      <c r="V186" s="19">
        <v>-3001900</v>
      </c>
      <c r="W186" s="13" t="s">
        <v>1225</v>
      </c>
      <c r="X186" s="14" t="s">
        <v>1260</v>
      </c>
      <c r="Y186" s="13" t="s">
        <v>1242</v>
      </c>
      <c r="Z186" s="14" t="s">
        <v>1261</v>
      </c>
      <c r="AA186" s="17">
        <v>20</v>
      </c>
      <c r="AB186" s="14" t="s">
        <v>1165</v>
      </c>
      <c r="AC186" s="17">
        <v>-30019000</v>
      </c>
      <c r="AD186" s="14" t="s">
        <v>1262</v>
      </c>
      <c r="AE186" s="17">
        <v>-27795370</v>
      </c>
      <c r="AF186" s="14" t="s">
        <v>121</v>
      </c>
      <c r="AG186" s="20" t="s">
        <v>1244</v>
      </c>
      <c r="AH186" s="10">
        <v>-14105669</v>
      </c>
      <c r="AI186" s="24" t="str">
        <f>VLOOKUP(Sales[[#This Row],[Store]],'Store lay bao  cao'!A:B,2,0)</f>
        <v>Lấy BC</v>
      </c>
      <c r="AJ186" s="24" t="str">
        <f>VLOOKUP(Sales[[#This Row],[Associate]],'Associate Status'!B:C,2,0)</f>
        <v>Active</v>
      </c>
    </row>
    <row r="187" spans="1:36" x14ac:dyDescent="0.25">
      <c r="A187" s="7">
        <v>2023</v>
      </c>
      <c r="B187" s="8">
        <v>8</v>
      </c>
      <c r="C187" s="8">
        <v>35</v>
      </c>
      <c r="D187" s="8" t="s">
        <v>52</v>
      </c>
      <c r="E187" s="8" t="s">
        <v>43</v>
      </c>
      <c r="F187" s="8" t="s">
        <v>52</v>
      </c>
      <c r="G187" s="9">
        <v>-31882678</v>
      </c>
      <c r="H187" s="10">
        <v>-31377060</v>
      </c>
      <c r="I187" s="11">
        <v>45165</v>
      </c>
      <c r="J187" s="12">
        <v>181394</v>
      </c>
      <c r="K187" s="13" t="s">
        <v>1267</v>
      </c>
      <c r="L187" s="14" t="s">
        <v>58</v>
      </c>
      <c r="M187" s="11" t="s">
        <v>28</v>
      </c>
      <c r="N187" s="14" t="s">
        <v>11</v>
      </c>
      <c r="O187" s="15">
        <v>176</v>
      </c>
      <c r="P187" s="12">
        <v>-1</v>
      </c>
      <c r="Q187" s="13" t="s">
        <v>101</v>
      </c>
      <c r="R187" s="16">
        <v>-101238300</v>
      </c>
      <c r="S187" s="17">
        <v>-93739167</v>
      </c>
      <c r="T187" s="12">
        <v>10</v>
      </c>
      <c r="U187" s="18">
        <v>-10415463</v>
      </c>
      <c r="V187" s="19">
        <v>-11248700</v>
      </c>
      <c r="W187" s="13" t="s">
        <v>1225</v>
      </c>
      <c r="X187" s="14" t="s">
        <v>1263</v>
      </c>
      <c r="Y187" s="13" t="s">
        <v>1242</v>
      </c>
      <c r="Z187" s="14" t="s">
        <v>1264</v>
      </c>
      <c r="AA187" s="17">
        <v>20</v>
      </c>
      <c r="AB187" s="14" t="s">
        <v>1265</v>
      </c>
      <c r="AC187" s="17">
        <v>-112487000</v>
      </c>
      <c r="AD187" s="14" t="s">
        <v>108</v>
      </c>
      <c r="AE187" s="17">
        <v>-104154630</v>
      </c>
      <c r="AF187" s="14" t="s">
        <v>121</v>
      </c>
      <c r="AG187" s="21" t="s">
        <v>1244</v>
      </c>
      <c r="AH187" s="10">
        <v>-61856489</v>
      </c>
      <c r="AI187" s="24" t="str">
        <f>VLOOKUP(Sales[[#This Row],[Store]],'Store lay bao  cao'!A:B,2,0)</f>
        <v>Lấy BC</v>
      </c>
      <c r="AJ187" s="24" t="str">
        <f>VLOOKUP(Sales[[#This Row],[Associate]],'Associate Status'!B:C,2,0)</f>
        <v>Active</v>
      </c>
    </row>
    <row r="188" spans="1:36" x14ac:dyDescent="0.25">
      <c r="A188" s="7">
        <v>2023</v>
      </c>
      <c r="B188" s="8">
        <v>8</v>
      </c>
      <c r="C188" s="8">
        <v>35</v>
      </c>
      <c r="D188" s="8" t="s">
        <v>52</v>
      </c>
      <c r="E188" s="8" t="s">
        <v>43</v>
      </c>
      <c r="F188" s="8" t="s">
        <v>52</v>
      </c>
      <c r="G188" s="9">
        <v>10910164</v>
      </c>
      <c r="H188" s="10">
        <v>9236400</v>
      </c>
      <c r="I188" s="11">
        <v>45165</v>
      </c>
      <c r="J188" s="12">
        <v>186446</v>
      </c>
      <c r="K188" s="13" t="s">
        <v>1268</v>
      </c>
      <c r="L188" s="14" t="s">
        <v>19</v>
      </c>
      <c r="M188" s="11" t="s">
        <v>28</v>
      </c>
      <c r="N188" s="14" t="s">
        <v>11</v>
      </c>
      <c r="O188" s="15">
        <v>177</v>
      </c>
      <c r="P188" s="12">
        <v>1</v>
      </c>
      <c r="Q188" s="13" t="s">
        <v>101</v>
      </c>
      <c r="R188" s="16">
        <v>27017100</v>
      </c>
      <c r="S188" s="17">
        <v>25015833</v>
      </c>
      <c r="T188" s="12">
        <v>10</v>
      </c>
      <c r="U188" s="18">
        <v>2779537</v>
      </c>
      <c r="V188" s="19">
        <v>3001900</v>
      </c>
      <c r="W188" s="13" t="s">
        <v>1225</v>
      </c>
      <c r="X188" s="14" t="s">
        <v>1260</v>
      </c>
      <c r="Y188" s="13" t="s">
        <v>1242</v>
      </c>
      <c r="Z188" s="14" t="s">
        <v>1261</v>
      </c>
      <c r="AA188" s="17">
        <v>20</v>
      </c>
      <c r="AB188" s="14" t="s">
        <v>1165</v>
      </c>
      <c r="AC188" s="17">
        <v>30019000</v>
      </c>
      <c r="AD188" s="14" t="s">
        <v>1262</v>
      </c>
      <c r="AE188" s="17">
        <v>27795370</v>
      </c>
      <c r="AF188" s="14" t="s">
        <v>121</v>
      </c>
      <c r="AG188" s="20" t="s">
        <v>1244</v>
      </c>
      <c r="AH188" s="10">
        <v>14105669</v>
      </c>
      <c r="AI188" s="24" t="str">
        <f>VLOOKUP(Sales[[#This Row],[Store]],'Store lay bao  cao'!A:B,2,0)</f>
        <v>Lấy BC</v>
      </c>
      <c r="AJ188" s="24" t="str">
        <f>VLOOKUP(Sales[[#This Row],[Associate]],'Associate Status'!B:C,2,0)</f>
        <v>Active</v>
      </c>
    </row>
    <row r="189" spans="1:36" x14ac:dyDescent="0.25">
      <c r="A189" s="7">
        <v>2023</v>
      </c>
      <c r="B189" s="8">
        <v>8</v>
      </c>
      <c r="C189" s="8">
        <v>35</v>
      </c>
      <c r="D189" s="8" t="s">
        <v>52</v>
      </c>
      <c r="E189" s="8" t="s">
        <v>43</v>
      </c>
      <c r="F189" s="8" t="s">
        <v>52</v>
      </c>
      <c r="G189" s="9">
        <v>31882678</v>
      </c>
      <c r="H189" s="10">
        <v>31377060</v>
      </c>
      <c r="I189" s="11">
        <v>45165</v>
      </c>
      <c r="J189" s="12">
        <v>181394</v>
      </c>
      <c r="K189" s="13" t="s">
        <v>1268</v>
      </c>
      <c r="L189" s="14" t="s">
        <v>58</v>
      </c>
      <c r="M189" s="11" t="s">
        <v>28</v>
      </c>
      <c r="N189" s="14" t="s">
        <v>11</v>
      </c>
      <c r="O189" s="15">
        <v>177</v>
      </c>
      <c r="P189" s="12">
        <v>1</v>
      </c>
      <c r="Q189" s="13" t="s">
        <v>101</v>
      </c>
      <c r="R189" s="16">
        <v>101238300</v>
      </c>
      <c r="S189" s="17">
        <v>93739167</v>
      </c>
      <c r="T189" s="12">
        <v>10</v>
      </c>
      <c r="U189" s="18">
        <v>10415463</v>
      </c>
      <c r="V189" s="19">
        <v>11248700</v>
      </c>
      <c r="W189" s="13" t="s">
        <v>1225</v>
      </c>
      <c r="X189" s="14" t="s">
        <v>1263</v>
      </c>
      <c r="Y189" s="13" t="s">
        <v>1242</v>
      </c>
      <c r="Z189" s="14" t="s">
        <v>1264</v>
      </c>
      <c r="AA189" s="17">
        <v>20</v>
      </c>
      <c r="AB189" s="14" t="s">
        <v>1265</v>
      </c>
      <c r="AC189" s="17">
        <v>112487000</v>
      </c>
      <c r="AD189" s="14" t="s">
        <v>108</v>
      </c>
      <c r="AE189" s="17">
        <v>104154630</v>
      </c>
      <c r="AF189" s="14" t="s">
        <v>121</v>
      </c>
      <c r="AG189" s="21" t="s">
        <v>1244</v>
      </c>
      <c r="AH189" s="10">
        <v>61856489</v>
      </c>
      <c r="AI189" s="24" t="str">
        <f>VLOOKUP(Sales[[#This Row],[Store]],'Store lay bao  cao'!A:B,2,0)</f>
        <v>Lấy BC</v>
      </c>
      <c r="AJ189" s="24" t="str">
        <f>VLOOKUP(Sales[[#This Row],[Associate]],'Associate Status'!B:C,2,0)</f>
        <v>Active</v>
      </c>
    </row>
    <row r="190" spans="1:36" x14ac:dyDescent="0.25">
      <c r="A190" s="7">
        <v>2023</v>
      </c>
      <c r="B190" s="8">
        <v>8</v>
      </c>
      <c r="C190" s="8">
        <v>35</v>
      </c>
      <c r="D190" s="8" t="s">
        <v>52</v>
      </c>
      <c r="E190" s="8" t="s">
        <v>43</v>
      </c>
      <c r="F190" s="8" t="s">
        <v>52</v>
      </c>
      <c r="G190" s="9">
        <v>10910164</v>
      </c>
      <c r="H190" s="10">
        <v>9236400</v>
      </c>
      <c r="I190" s="11">
        <v>45165</v>
      </c>
      <c r="J190" s="12">
        <v>186446</v>
      </c>
      <c r="K190" s="13" t="s">
        <v>1269</v>
      </c>
      <c r="L190" s="14" t="s">
        <v>19</v>
      </c>
      <c r="M190" s="11" t="s">
        <v>28</v>
      </c>
      <c r="N190" s="14" t="s">
        <v>11</v>
      </c>
      <c r="O190" s="15">
        <v>175</v>
      </c>
      <c r="P190" s="12">
        <v>1</v>
      </c>
      <c r="Q190" s="13" t="s">
        <v>101</v>
      </c>
      <c r="R190" s="16">
        <v>27017100</v>
      </c>
      <c r="S190" s="17">
        <v>25015833</v>
      </c>
      <c r="T190" s="12">
        <v>10</v>
      </c>
      <c r="U190" s="18">
        <v>2779537</v>
      </c>
      <c r="V190" s="19">
        <v>3001900</v>
      </c>
      <c r="W190" s="13" t="s">
        <v>1225</v>
      </c>
      <c r="X190" s="14" t="s">
        <v>1260</v>
      </c>
      <c r="Y190" s="13" t="s">
        <v>1242</v>
      </c>
      <c r="Z190" s="14" t="s">
        <v>1261</v>
      </c>
      <c r="AA190" s="17">
        <v>20</v>
      </c>
      <c r="AB190" s="14" t="s">
        <v>1165</v>
      </c>
      <c r="AC190" s="17">
        <v>30019000</v>
      </c>
      <c r="AD190" s="14" t="s">
        <v>1262</v>
      </c>
      <c r="AE190" s="17">
        <v>27795370</v>
      </c>
      <c r="AF190" s="14" t="s">
        <v>121</v>
      </c>
      <c r="AG190" s="20" t="s">
        <v>1244</v>
      </c>
      <c r="AH190" s="10">
        <v>14105669</v>
      </c>
      <c r="AI190" s="24" t="str">
        <f>VLOOKUP(Sales[[#This Row],[Store]],'Store lay bao  cao'!A:B,2,0)</f>
        <v>Lấy BC</v>
      </c>
      <c r="AJ190" s="24" t="str">
        <f>VLOOKUP(Sales[[#This Row],[Associate]],'Associate Status'!B:C,2,0)</f>
        <v>Active</v>
      </c>
    </row>
    <row r="191" spans="1:36" ht="51.75" x14ac:dyDescent="0.25">
      <c r="A191" s="7">
        <v>2023</v>
      </c>
      <c r="B191" s="8">
        <v>8</v>
      </c>
      <c r="C191" s="8">
        <v>35</v>
      </c>
      <c r="D191" s="8" t="s">
        <v>52</v>
      </c>
      <c r="E191" s="8" t="s">
        <v>43</v>
      </c>
      <c r="F191" s="8" t="s">
        <v>52</v>
      </c>
      <c r="G191" s="9">
        <v>31882678</v>
      </c>
      <c r="H191" s="10">
        <v>31377060</v>
      </c>
      <c r="I191" s="11">
        <v>45165</v>
      </c>
      <c r="J191" s="12">
        <v>181394</v>
      </c>
      <c r="K191" s="13" t="s">
        <v>1269</v>
      </c>
      <c r="L191" s="14" t="s">
        <v>58</v>
      </c>
      <c r="M191" s="11" t="s">
        <v>28</v>
      </c>
      <c r="N191" s="14" t="s">
        <v>11</v>
      </c>
      <c r="O191" s="15">
        <v>175</v>
      </c>
      <c r="P191" s="12">
        <v>1</v>
      </c>
      <c r="Q191" s="13" t="s">
        <v>101</v>
      </c>
      <c r="R191" s="16">
        <v>101238300</v>
      </c>
      <c r="S191" s="17">
        <v>93739167</v>
      </c>
      <c r="T191" s="12">
        <v>10</v>
      </c>
      <c r="U191" s="18">
        <v>10415463</v>
      </c>
      <c r="V191" s="19">
        <v>11248700</v>
      </c>
      <c r="W191" s="13" t="s">
        <v>1225</v>
      </c>
      <c r="X191" s="23" t="s">
        <v>1263</v>
      </c>
      <c r="Y191" s="13" t="s">
        <v>1242</v>
      </c>
      <c r="Z191" s="14" t="s">
        <v>1264</v>
      </c>
      <c r="AA191" s="17">
        <v>20</v>
      </c>
      <c r="AB191" s="14" t="s">
        <v>1265</v>
      </c>
      <c r="AC191" s="17">
        <v>112487000</v>
      </c>
      <c r="AD191" s="14" t="s">
        <v>108</v>
      </c>
      <c r="AE191" s="17">
        <v>104154630</v>
      </c>
      <c r="AF191" s="14" t="s">
        <v>121</v>
      </c>
      <c r="AG191" s="21" t="s">
        <v>1244</v>
      </c>
      <c r="AH191" s="10">
        <v>61856489</v>
      </c>
      <c r="AI191" s="24" t="str">
        <f>VLOOKUP(Sales[[#This Row],[Store]],'Store lay bao  cao'!A:B,2,0)</f>
        <v>Lấy BC</v>
      </c>
      <c r="AJ191" s="24" t="str">
        <f>VLOOKUP(Sales[[#This Row],[Associate]],'Associate Status'!B:C,2,0)</f>
        <v>Active</v>
      </c>
    </row>
    <row r="192" spans="1:36" x14ac:dyDescent="0.25">
      <c r="A192" s="7">
        <v>2023</v>
      </c>
      <c r="B192" s="8">
        <v>9</v>
      </c>
      <c r="C192" s="8">
        <v>38</v>
      </c>
      <c r="D192" s="8" t="s">
        <v>52</v>
      </c>
      <c r="E192" s="8" t="s">
        <v>34</v>
      </c>
      <c r="F192" s="8" t="s">
        <v>52</v>
      </c>
      <c r="G192" s="9">
        <v>2233240</v>
      </c>
      <c r="H192" s="10">
        <v>2011500</v>
      </c>
      <c r="I192" s="11">
        <v>45181</v>
      </c>
      <c r="J192" s="12">
        <v>182236</v>
      </c>
      <c r="K192" s="13" t="s">
        <v>1274</v>
      </c>
      <c r="L192" s="14" t="s">
        <v>50</v>
      </c>
      <c r="M192" s="11" t="s">
        <v>28</v>
      </c>
      <c r="N192" s="14" t="s">
        <v>11</v>
      </c>
      <c r="O192" s="15">
        <v>273</v>
      </c>
      <c r="P192" s="12">
        <v>1</v>
      </c>
      <c r="Q192" s="13" t="s">
        <v>101</v>
      </c>
      <c r="R192" s="16">
        <v>6115150</v>
      </c>
      <c r="S192" s="17">
        <v>5662176</v>
      </c>
      <c r="T192" s="12">
        <v>5</v>
      </c>
      <c r="U192" s="18">
        <v>298009</v>
      </c>
      <c r="V192" s="19">
        <v>321850</v>
      </c>
      <c r="W192" s="13" t="s">
        <v>1225</v>
      </c>
      <c r="X192" s="14" t="s">
        <v>1060</v>
      </c>
      <c r="Y192" s="13" t="s">
        <v>318</v>
      </c>
      <c r="Z192" s="14" t="s">
        <v>1061</v>
      </c>
      <c r="AA192" s="17">
        <v>16</v>
      </c>
      <c r="AB192" s="14" t="s">
        <v>1062</v>
      </c>
      <c r="AC192" s="17">
        <v>6437000</v>
      </c>
      <c r="AD192" s="14" t="s">
        <v>108</v>
      </c>
      <c r="AE192" s="17">
        <v>5960185</v>
      </c>
      <c r="AF192" s="14" t="s">
        <v>139</v>
      </c>
      <c r="AG192" s="20" t="s">
        <v>325</v>
      </c>
      <c r="AH192" s="10">
        <v>3428936</v>
      </c>
      <c r="AI192" s="24" t="str">
        <f>VLOOKUP(Sales[[#This Row],[Store]],'Store lay bao  cao'!A:B,2,0)</f>
        <v>Lấy BC</v>
      </c>
      <c r="AJ192" s="24" t="str">
        <f>VLOOKUP(Sales[[#This Row],[Associate]],'Associate Status'!B:C,2,0)</f>
        <v>Active</v>
      </c>
    </row>
    <row r="193" spans="1:36" ht="51.75" x14ac:dyDescent="0.25">
      <c r="A193" s="7">
        <v>2023</v>
      </c>
      <c r="B193" s="8">
        <v>9</v>
      </c>
      <c r="C193" s="8">
        <v>38</v>
      </c>
      <c r="D193" s="8" t="s">
        <v>52</v>
      </c>
      <c r="E193" s="8" t="s">
        <v>34</v>
      </c>
      <c r="F193" s="8" t="s">
        <v>52</v>
      </c>
      <c r="G193" s="9">
        <v>-40972974</v>
      </c>
      <c r="H193" s="10">
        <v>-40323195</v>
      </c>
      <c r="I193" s="11">
        <v>45186</v>
      </c>
      <c r="J193" s="12">
        <v>181408</v>
      </c>
      <c r="K193" s="13" t="s">
        <v>1275</v>
      </c>
      <c r="L193" s="14" t="s">
        <v>58</v>
      </c>
      <c r="M193" s="11" t="s">
        <v>28</v>
      </c>
      <c r="N193" s="14" t="s">
        <v>11</v>
      </c>
      <c r="O193" s="15">
        <v>289</v>
      </c>
      <c r="P193" s="12">
        <v>-1</v>
      </c>
      <c r="Q193" s="13" t="s">
        <v>101</v>
      </c>
      <c r="R193" s="16">
        <v>-114442700</v>
      </c>
      <c r="S193" s="17">
        <v>-105965463</v>
      </c>
      <c r="T193" s="12">
        <v>5</v>
      </c>
      <c r="U193" s="18">
        <v>-5577130</v>
      </c>
      <c r="V193" s="19">
        <v>-6023300</v>
      </c>
      <c r="W193" s="13" t="s">
        <v>1225</v>
      </c>
      <c r="X193" s="23" t="s">
        <v>1276</v>
      </c>
      <c r="Y193" s="13" t="s">
        <v>316</v>
      </c>
      <c r="Z193" s="14" t="s">
        <v>1277</v>
      </c>
      <c r="AA193" s="17">
        <v>19</v>
      </c>
      <c r="AB193" s="14" t="s">
        <v>1278</v>
      </c>
      <c r="AC193" s="17">
        <v>-120466000</v>
      </c>
      <c r="AD193" s="14" t="s">
        <v>108</v>
      </c>
      <c r="AE193" s="17">
        <v>-111542593</v>
      </c>
      <c r="AF193" s="14" t="s">
        <v>123</v>
      </c>
      <c r="AG193" s="21" t="s">
        <v>317</v>
      </c>
      <c r="AH193" s="10">
        <v>-64992489</v>
      </c>
      <c r="AI193" s="24" t="str">
        <f>VLOOKUP(Sales[[#This Row],[Store]],'Store lay bao  cao'!A:B,2,0)</f>
        <v>Lấy BC</v>
      </c>
      <c r="AJ193" s="24" t="str">
        <f>VLOOKUP(Sales[[#This Row],[Associate]],'Associate Status'!B:C,2,0)</f>
        <v>Active</v>
      </c>
    </row>
    <row r="194" spans="1:36" x14ac:dyDescent="0.25">
      <c r="A194" s="7">
        <v>2023</v>
      </c>
      <c r="B194" s="8">
        <v>9</v>
      </c>
      <c r="C194" s="8">
        <v>38</v>
      </c>
      <c r="D194" s="8" t="s">
        <v>57</v>
      </c>
      <c r="E194" s="8" t="s">
        <v>43</v>
      </c>
      <c r="F194" s="8" t="s">
        <v>57</v>
      </c>
      <c r="G194" s="9">
        <v>-51932279</v>
      </c>
      <c r="H194" s="10">
        <v>-46285200</v>
      </c>
      <c r="I194" s="11">
        <v>45186</v>
      </c>
      <c r="J194" s="12">
        <v>193098</v>
      </c>
      <c r="K194" s="13" t="s">
        <v>1275</v>
      </c>
      <c r="L194" s="14" t="s">
        <v>59</v>
      </c>
      <c r="M194" s="11" t="s">
        <v>28</v>
      </c>
      <c r="N194" s="14" t="s">
        <v>11</v>
      </c>
      <c r="O194" s="15">
        <v>289</v>
      </c>
      <c r="P194" s="12">
        <v>-1</v>
      </c>
      <c r="Q194" s="13" t="s">
        <v>101</v>
      </c>
      <c r="R194" s="16">
        <v>-109927350</v>
      </c>
      <c r="S194" s="17">
        <v>-101784583</v>
      </c>
      <c r="T194" s="12">
        <v>5</v>
      </c>
      <c r="U194" s="18">
        <v>-5357083</v>
      </c>
      <c r="V194" s="19">
        <v>-5785650</v>
      </c>
      <c r="W194" s="13" t="s">
        <v>1225</v>
      </c>
      <c r="X194" s="14" t="s">
        <v>1279</v>
      </c>
      <c r="Y194" s="13" t="s">
        <v>316</v>
      </c>
      <c r="Z194" s="14" t="s">
        <v>1280</v>
      </c>
      <c r="AA194" s="17">
        <v>19</v>
      </c>
      <c r="AB194" s="14" t="s">
        <v>1281</v>
      </c>
      <c r="AC194" s="17">
        <v>-115713000</v>
      </c>
      <c r="AD194" s="14">
        <v>6.75</v>
      </c>
      <c r="AE194" s="17">
        <v>-107141667</v>
      </c>
      <c r="AF194" s="14" t="s">
        <v>123</v>
      </c>
      <c r="AG194" s="20" t="s">
        <v>317</v>
      </c>
      <c r="AH194" s="10">
        <v>-49852304</v>
      </c>
      <c r="AI194" s="24" t="str">
        <f>VLOOKUP(Sales[[#This Row],[Store]],'Store lay bao  cao'!A:B,2,0)</f>
        <v>Lấy BC</v>
      </c>
      <c r="AJ194" s="24" t="str">
        <f>VLOOKUP(Sales[[#This Row],[Associate]],'Associate Status'!B:C,2,0)</f>
        <v>Active</v>
      </c>
    </row>
    <row r="195" spans="1:36" x14ac:dyDescent="0.25">
      <c r="A195" s="7">
        <v>2023</v>
      </c>
      <c r="B195" s="8">
        <v>9</v>
      </c>
      <c r="C195" s="8">
        <v>38</v>
      </c>
      <c r="D195" s="8" t="s">
        <v>52</v>
      </c>
      <c r="E195" s="8" t="s">
        <v>34</v>
      </c>
      <c r="F195" s="8" t="s">
        <v>52</v>
      </c>
      <c r="G195" s="9">
        <v>40972974</v>
      </c>
      <c r="H195" s="10">
        <v>40323195</v>
      </c>
      <c r="I195" s="11">
        <v>45186</v>
      </c>
      <c r="J195" s="12">
        <v>181408</v>
      </c>
      <c r="K195" s="13" t="s">
        <v>1282</v>
      </c>
      <c r="L195" s="14" t="s">
        <v>58</v>
      </c>
      <c r="M195" s="11" t="s">
        <v>28</v>
      </c>
      <c r="N195" s="14" t="s">
        <v>11</v>
      </c>
      <c r="O195" s="15">
        <v>288</v>
      </c>
      <c r="P195" s="12">
        <v>1</v>
      </c>
      <c r="Q195" s="13" t="s">
        <v>101</v>
      </c>
      <c r="R195" s="16">
        <v>114442700</v>
      </c>
      <c r="S195" s="17">
        <v>105965463</v>
      </c>
      <c r="T195" s="12">
        <v>5</v>
      </c>
      <c r="U195" s="18">
        <v>5577130</v>
      </c>
      <c r="V195" s="19">
        <v>6023300</v>
      </c>
      <c r="W195" s="13" t="s">
        <v>484</v>
      </c>
      <c r="X195" s="14" t="s">
        <v>1276</v>
      </c>
      <c r="Y195" s="13" t="s">
        <v>316</v>
      </c>
      <c r="Z195" s="14" t="s">
        <v>1277</v>
      </c>
      <c r="AA195" s="17">
        <v>18</v>
      </c>
      <c r="AB195" s="14" t="s">
        <v>1278</v>
      </c>
      <c r="AC195" s="17">
        <v>120466000</v>
      </c>
      <c r="AD195" s="14" t="s">
        <v>108</v>
      </c>
      <c r="AE195" s="17">
        <v>111542593</v>
      </c>
      <c r="AF195" s="14" t="s">
        <v>123</v>
      </c>
      <c r="AG195" s="21" t="s">
        <v>317</v>
      </c>
      <c r="AH195" s="10">
        <v>64992489</v>
      </c>
      <c r="AI195" s="24" t="str">
        <f>VLOOKUP(Sales[[#This Row],[Store]],'Store lay bao  cao'!A:B,2,0)</f>
        <v>Lấy BC</v>
      </c>
      <c r="AJ195" s="24" t="str">
        <f>VLOOKUP(Sales[[#This Row],[Associate]],'Associate Status'!B:C,2,0)</f>
        <v>Active</v>
      </c>
    </row>
    <row r="196" spans="1:36" x14ac:dyDescent="0.25">
      <c r="A196" s="7">
        <v>2023</v>
      </c>
      <c r="B196" s="8">
        <v>9</v>
      </c>
      <c r="C196" s="8">
        <v>38</v>
      </c>
      <c r="D196" s="8" t="s">
        <v>57</v>
      </c>
      <c r="E196" s="8" t="s">
        <v>43</v>
      </c>
      <c r="F196" s="8" t="s">
        <v>57</v>
      </c>
      <c r="G196" s="9">
        <v>51932279</v>
      </c>
      <c r="H196" s="10">
        <v>46285200</v>
      </c>
      <c r="I196" s="11">
        <v>45186</v>
      </c>
      <c r="J196" s="12">
        <v>193098</v>
      </c>
      <c r="K196" s="13" t="s">
        <v>1282</v>
      </c>
      <c r="L196" s="14" t="s">
        <v>59</v>
      </c>
      <c r="M196" s="11" t="s">
        <v>28</v>
      </c>
      <c r="N196" s="14" t="s">
        <v>11</v>
      </c>
      <c r="O196" s="15">
        <v>288</v>
      </c>
      <c r="P196" s="12">
        <v>1</v>
      </c>
      <c r="Q196" s="13" t="s">
        <v>101</v>
      </c>
      <c r="R196" s="16">
        <v>109927350</v>
      </c>
      <c r="S196" s="17">
        <v>101784583</v>
      </c>
      <c r="T196" s="12">
        <v>5</v>
      </c>
      <c r="U196" s="18">
        <v>5357083</v>
      </c>
      <c r="V196" s="19">
        <v>5785650</v>
      </c>
      <c r="W196" s="13" t="s">
        <v>484</v>
      </c>
      <c r="X196" s="14" t="s">
        <v>1279</v>
      </c>
      <c r="Y196" s="13" t="s">
        <v>316</v>
      </c>
      <c r="Z196" s="14" t="s">
        <v>1280</v>
      </c>
      <c r="AA196" s="17">
        <v>18</v>
      </c>
      <c r="AB196" s="14" t="s">
        <v>1281</v>
      </c>
      <c r="AC196" s="17">
        <v>115713000</v>
      </c>
      <c r="AD196" s="14">
        <v>6.75</v>
      </c>
      <c r="AE196" s="17">
        <v>107141667</v>
      </c>
      <c r="AF196" s="14" t="s">
        <v>123</v>
      </c>
      <c r="AG196" s="20" t="s">
        <v>317</v>
      </c>
      <c r="AH196" s="10">
        <v>49852304</v>
      </c>
      <c r="AI196" s="24" t="str">
        <f>VLOOKUP(Sales[[#This Row],[Store]],'Store lay bao  cao'!A:B,2,0)</f>
        <v>Lấy BC</v>
      </c>
      <c r="AJ196" s="24" t="str">
        <f>VLOOKUP(Sales[[#This Row],[Associate]],'Associate Status'!B:C,2,0)</f>
        <v>Active</v>
      </c>
    </row>
    <row r="197" spans="1:36" x14ac:dyDescent="0.25">
      <c r="A197" s="7">
        <v>2023</v>
      </c>
      <c r="B197" s="8">
        <v>9</v>
      </c>
      <c r="C197" s="8">
        <v>38</v>
      </c>
      <c r="D197" s="8" t="s">
        <v>52</v>
      </c>
      <c r="E197" s="8" t="s">
        <v>34</v>
      </c>
      <c r="F197" s="8" t="s">
        <v>52</v>
      </c>
      <c r="G197" s="9">
        <v>40972974</v>
      </c>
      <c r="H197" s="10">
        <v>40323195</v>
      </c>
      <c r="I197" s="11">
        <v>45186</v>
      </c>
      <c r="J197" s="12">
        <v>181408</v>
      </c>
      <c r="K197" s="13" t="s">
        <v>1283</v>
      </c>
      <c r="L197" s="14" t="s">
        <v>58</v>
      </c>
      <c r="M197" s="11" t="s">
        <v>28</v>
      </c>
      <c r="N197" s="14" t="s">
        <v>11</v>
      </c>
      <c r="O197" s="15">
        <v>290</v>
      </c>
      <c r="P197" s="12">
        <v>1</v>
      </c>
      <c r="Q197" s="13" t="s">
        <v>101</v>
      </c>
      <c r="R197" s="16">
        <v>114442700</v>
      </c>
      <c r="S197" s="17">
        <v>105965463</v>
      </c>
      <c r="T197" s="12">
        <v>5</v>
      </c>
      <c r="U197" s="18">
        <v>5577130</v>
      </c>
      <c r="V197" s="19">
        <v>6023300</v>
      </c>
      <c r="W197" s="13" t="s">
        <v>1225</v>
      </c>
      <c r="X197" s="14" t="s">
        <v>1276</v>
      </c>
      <c r="Y197" s="13" t="s">
        <v>316</v>
      </c>
      <c r="Z197" s="14" t="s">
        <v>1277</v>
      </c>
      <c r="AA197" s="17">
        <v>19</v>
      </c>
      <c r="AB197" s="14" t="s">
        <v>1278</v>
      </c>
      <c r="AC197" s="17">
        <v>120466000</v>
      </c>
      <c r="AD197" s="14" t="s">
        <v>108</v>
      </c>
      <c r="AE197" s="17">
        <v>111542593</v>
      </c>
      <c r="AF197" s="14" t="s">
        <v>121</v>
      </c>
      <c r="AG197" s="21" t="s">
        <v>317</v>
      </c>
      <c r="AH197" s="10">
        <v>64992489</v>
      </c>
      <c r="AI197" s="24" t="str">
        <f>VLOOKUP(Sales[[#This Row],[Store]],'Store lay bao  cao'!A:B,2,0)</f>
        <v>Lấy BC</v>
      </c>
      <c r="AJ197" s="24" t="str">
        <f>VLOOKUP(Sales[[#This Row],[Associate]],'Associate Status'!B:C,2,0)</f>
        <v>Active</v>
      </c>
    </row>
    <row r="198" spans="1:36" x14ac:dyDescent="0.25">
      <c r="A198" s="7">
        <v>2023</v>
      </c>
      <c r="B198" s="8">
        <v>9</v>
      </c>
      <c r="C198" s="8">
        <v>38</v>
      </c>
      <c r="D198" s="8" t="s">
        <v>57</v>
      </c>
      <c r="E198" s="8" t="s">
        <v>43</v>
      </c>
      <c r="F198" s="8" t="s">
        <v>57</v>
      </c>
      <c r="G198" s="9">
        <v>51932279</v>
      </c>
      <c r="H198" s="10">
        <v>46285200</v>
      </c>
      <c r="I198" s="11">
        <v>45186</v>
      </c>
      <c r="J198" s="12">
        <v>193098</v>
      </c>
      <c r="K198" s="13" t="s">
        <v>1283</v>
      </c>
      <c r="L198" s="14" t="s">
        <v>59</v>
      </c>
      <c r="M198" s="11" t="s">
        <v>28</v>
      </c>
      <c r="N198" s="14" t="s">
        <v>11</v>
      </c>
      <c r="O198" s="15">
        <v>290</v>
      </c>
      <c r="P198" s="12">
        <v>1</v>
      </c>
      <c r="Q198" s="13" t="s">
        <v>101</v>
      </c>
      <c r="R198" s="16">
        <v>109927350</v>
      </c>
      <c r="S198" s="17">
        <v>101784583</v>
      </c>
      <c r="T198" s="12">
        <v>5</v>
      </c>
      <c r="U198" s="18">
        <v>5357083</v>
      </c>
      <c r="V198" s="19">
        <v>5785650</v>
      </c>
      <c r="W198" s="13" t="s">
        <v>1225</v>
      </c>
      <c r="X198" s="14" t="s">
        <v>1279</v>
      </c>
      <c r="Y198" s="13" t="s">
        <v>316</v>
      </c>
      <c r="Z198" s="14" t="s">
        <v>1280</v>
      </c>
      <c r="AA198" s="17">
        <v>19</v>
      </c>
      <c r="AB198" s="14" t="s">
        <v>1281</v>
      </c>
      <c r="AC198" s="17">
        <v>115713000</v>
      </c>
      <c r="AD198" s="14">
        <v>6.75</v>
      </c>
      <c r="AE198" s="17">
        <v>107141667</v>
      </c>
      <c r="AF198" s="14" t="s">
        <v>121</v>
      </c>
      <c r="AG198" s="20" t="s">
        <v>317</v>
      </c>
      <c r="AH198" s="10">
        <v>49852304</v>
      </c>
      <c r="AI198" s="24" t="str">
        <f>VLOOKUP(Sales[[#This Row],[Store]],'Store lay bao  cao'!A:B,2,0)</f>
        <v>Lấy BC</v>
      </c>
      <c r="AJ198" s="24" t="str">
        <f>VLOOKUP(Sales[[#This Row],[Associate]],'Associate Status'!B:C,2,0)</f>
        <v>Active</v>
      </c>
    </row>
    <row r="199" spans="1:36" x14ac:dyDescent="0.25">
      <c r="A199" s="7">
        <v>2023</v>
      </c>
      <c r="B199" s="8">
        <v>10</v>
      </c>
      <c r="C199" s="8">
        <v>41</v>
      </c>
      <c r="D199" s="8" t="s">
        <v>51</v>
      </c>
      <c r="E199" s="8" t="s">
        <v>37</v>
      </c>
      <c r="F199" s="8" t="s">
        <v>51</v>
      </c>
      <c r="G199" s="9">
        <v>1279142</v>
      </c>
      <c r="H199" s="10">
        <v>1115100</v>
      </c>
      <c r="I199" s="11">
        <v>45201</v>
      </c>
      <c r="J199" s="12">
        <v>174867</v>
      </c>
      <c r="K199" s="13" t="s">
        <v>1284</v>
      </c>
      <c r="L199" s="14" t="s">
        <v>47</v>
      </c>
      <c r="M199" s="11" t="s">
        <v>17</v>
      </c>
      <c r="N199" s="14" t="s">
        <v>11</v>
      </c>
      <c r="O199" s="15">
        <v>7293</v>
      </c>
      <c r="P199" s="12">
        <v>1</v>
      </c>
      <c r="Q199" s="13" t="s">
        <v>144</v>
      </c>
      <c r="R199" s="16">
        <v>6195000</v>
      </c>
      <c r="S199" s="17">
        <v>5736111</v>
      </c>
      <c r="T199" s="12">
        <v>0</v>
      </c>
      <c r="U199" s="18">
        <v>0</v>
      </c>
      <c r="V199" s="19">
        <v>0</v>
      </c>
      <c r="W199" s="13" t="s">
        <v>140</v>
      </c>
      <c r="X199" s="14" t="s">
        <v>949</v>
      </c>
      <c r="Y199" s="13" t="s">
        <v>174</v>
      </c>
      <c r="Z199" s="14" t="s">
        <v>933</v>
      </c>
      <c r="AA199" s="17">
        <v>16</v>
      </c>
      <c r="AB199" s="14" t="s">
        <v>224</v>
      </c>
      <c r="AC199" s="17">
        <v>6195000</v>
      </c>
      <c r="AD199" s="14" t="s">
        <v>849</v>
      </c>
      <c r="AE199" s="17">
        <v>5736111</v>
      </c>
      <c r="AF199" s="14" t="s">
        <v>119</v>
      </c>
      <c r="AG199" s="21" t="s">
        <v>736</v>
      </c>
      <c r="AH199" s="10">
        <v>4456969</v>
      </c>
      <c r="AI199" s="24" t="str">
        <f>VLOOKUP(Sales[[#This Row],[Store]],'Store lay bao  cao'!A:B,2,0)</f>
        <v>Lấy BC</v>
      </c>
      <c r="AJ199" s="24" t="str">
        <f>VLOOKUP(Sales[[#This Row],[Associate]],'Associate Status'!B:C,2,0)</f>
        <v>Retired</v>
      </c>
    </row>
    <row r="200" spans="1:36" x14ac:dyDescent="0.25">
      <c r="A200" s="7">
        <v>2023</v>
      </c>
      <c r="B200" s="8">
        <v>10</v>
      </c>
      <c r="C200" s="8">
        <v>41</v>
      </c>
      <c r="D200" s="8" t="s">
        <v>52</v>
      </c>
      <c r="E200" s="8" t="s">
        <v>37</v>
      </c>
      <c r="F200" s="8" t="s">
        <v>52</v>
      </c>
      <c r="G200" s="9">
        <v>5455701</v>
      </c>
      <c r="H200" s="10">
        <v>4914000</v>
      </c>
      <c r="I200" s="11">
        <v>45206</v>
      </c>
      <c r="J200" s="12">
        <v>182209</v>
      </c>
      <c r="K200" s="13" t="s">
        <v>477</v>
      </c>
      <c r="L200" s="14" t="s">
        <v>50</v>
      </c>
      <c r="M200" s="11" t="s">
        <v>15</v>
      </c>
      <c r="N200" s="14" t="s">
        <v>11</v>
      </c>
      <c r="O200" s="15">
        <v>3013</v>
      </c>
      <c r="P200" s="12">
        <v>1</v>
      </c>
      <c r="Q200" s="13" t="s">
        <v>144</v>
      </c>
      <c r="R200" s="16">
        <v>15725000</v>
      </c>
      <c r="S200" s="17">
        <v>14560185</v>
      </c>
      <c r="T200" s="12">
        <v>0</v>
      </c>
      <c r="U200" s="18">
        <v>0</v>
      </c>
      <c r="V200" s="19">
        <v>0</v>
      </c>
      <c r="W200" s="13" t="s">
        <v>887</v>
      </c>
      <c r="X200" s="14" t="s">
        <v>1285</v>
      </c>
      <c r="Y200" s="13" t="s">
        <v>822</v>
      </c>
      <c r="Z200" s="14" t="s">
        <v>1286</v>
      </c>
      <c r="AA200" s="17">
        <v>18</v>
      </c>
      <c r="AB200" s="14" t="s">
        <v>1287</v>
      </c>
      <c r="AC200" s="17">
        <v>15725000</v>
      </c>
      <c r="AD200" s="14" t="s">
        <v>108</v>
      </c>
      <c r="AE200" s="17">
        <v>14560185</v>
      </c>
      <c r="AF200" s="14" t="s">
        <v>2594</v>
      </c>
      <c r="AG200" s="20" t="s">
        <v>823</v>
      </c>
      <c r="AH200" s="10">
        <v>9104484</v>
      </c>
      <c r="AI200" s="24" t="str">
        <f>VLOOKUP(Sales[[#This Row],[Store]],'Store lay bao  cao'!A:B,2,0)</f>
        <v>Lấy BC</v>
      </c>
      <c r="AJ200" s="24" t="e">
        <f>VLOOKUP(Sales[[#This Row],[Associate]],'Associate Status'!B:C,2,0)</f>
        <v>#N/A</v>
      </c>
    </row>
    <row r="201" spans="1:36" x14ac:dyDescent="0.25">
      <c r="A201" s="7">
        <v>2023</v>
      </c>
      <c r="B201" s="8">
        <v>10</v>
      </c>
      <c r="C201" s="8">
        <v>42</v>
      </c>
      <c r="D201" s="8" t="s">
        <v>52</v>
      </c>
      <c r="E201" s="8" t="s">
        <v>37</v>
      </c>
      <c r="F201" s="8" t="s">
        <v>52</v>
      </c>
      <c r="G201" s="9">
        <v>4436504</v>
      </c>
      <c r="H201" s="10">
        <v>3996000</v>
      </c>
      <c r="I201" s="11">
        <v>45209</v>
      </c>
      <c r="J201" s="12">
        <v>182222</v>
      </c>
      <c r="K201" s="13" t="s">
        <v>1289</v>
      </c>
      <c r="L201" s="14" t="s">
        <v>50</v>
      </c>
      <c r="M201" s="11" t="s">
        <v>17</v>
      </c>
      <c r="N201" s="14" t="s">
        <v>11</v>
      </c>
      <c r="O201" s="15">
        <v>7313</v>
      </c>
      <c r="P201" s="12">
        <v>1</v>
      </c>
      <c r="Q201" s="13" t="s">
        <v>101</v>
      </c>
      <c r="R201" s="16">
        <v>12788000</v>
      </c>
      <c r="S201" s="17">
        <v>11840741</v>
      </c>
      <c r="T201" s="12">
        <v>0</v>
      </c>
      <c r="U201" s="18">
        <v>0</v>
      </c>
      <c r="V201" s="19">
        <v>0</v>
      </c>
      <c r="W201" s="13" t="s">
        <v>140</v>
      </c>
      <c r="X201" s="14" t="s">
        <v>1290</v>
      </c>
      <c r="Y201" s="13" t="s">
        <v>430</v>
      </c>
      <c r="Z201" s="14" t="s">
        <v>1291</v>
      </c>
      <c r="AA201" s="17">
        <v>17</v>
      </c>
      <c r="AB201" s="14" t="s">
        <v>1292</v>
      </c>
      <c r="AC201" s="17">
        <v>12788000</v>
      </c>
      <c r="AD201" s="14" t="s">
        <v>108</v>
      </c>
      <c r="AE201" s="17">
        <v>11840741</v>
      </c>
      <c r="AF201" s="14" t="s">
        <v>789</v>
      </c>
      <c r="AG201" s="21" t="s">
        <v>1288</v>
      </c>
      <c r="AH201" s="10">
        <v>7404237</v>
      </c>
      <c r="AI201" s="24" t="str">
        <f>VLOOKUP(Sales[[#This Row],[Store]],'Store lay bao  cao'!A:B,2,0)</f>
        <v>Lấy BC</v>
      </c>
      <c r="AJ201" s="24" t="str">
        <f>VLOOKUP(Sales[[#This Row],[Associate]],'Associate Status'!B:C,2,0)</f>
        <v>Active</v>
      </c>
    </row>
    <row r="202" spans="1:36" x14ac:dyDescent="0.25">
      <c r="A202" s="7">
        <v>2023</v>
      </c>
      <c r="B202" s="8">
        <v>10</v>
      </c>
      <c r="C202" s="8">
        <v>43</v>
      </c>
      <c r="D202" s="8" t="s">
        <v>57</v>
      </c>
      <c r="E202" s="8" t="s">
        <v>34</v>
      </c>
      <c r="F202" s="8" t="s">
        <v>57</v>
      </c>
      <c r="G202" s="9">
        <v>139997498</v>
      </c>
      <c r="H202" s="10">
        <v>128174400</v>
      </c>
      <c r="I202" s="11">
        <v>45216</v>
      </c>
      <c r="J202" s="12">
        <v>193095</v>
      </c>
      <c r="K202" s="13" t="s">
        <v>1293</v>
      </c>
      <c r="L202" s="14" t="s">
        <v>59</v>
      </c>
      <c r="M202" s="11" t="s">
        <v>28</v>
      </c>
      <c r="N202" s="14" t="s">
        <v>11</v>
      </c>
      <c r="O202" s="15">
        <v>396</v>
      </c>
      <c r="P202" s="12">
        <v>1</v>
      </c>
      <c r="Q202" s="13" t="s">
        <v>175</v>
      </c>
      <c r="R202" s="16">
        <v>288392400</v>
      </c>
      <c r="S202" s="17">
        <v>267030000</v>
      </c>
      <c r="T202" s="12">
        <v>10</v>
      </c>
      <c r="U202" s="18">
        <v>29670000</v>
      </c>
      <c r="V202" s="19">
        <v>32043600</v>
      </c>
      <c r="W202" s="13" t="s">
        <v>1225</v>
      </c>
      <c r="X202" s="14" t="s">
        <v>1294</v>
      </c>
      <c r="Y202" s="13" t="s">
        <v>158</v>
      </c>
      <c r="Z202" s="14" t="s">
        <v>1295</v>
      </c>
      <c r="AA202" s="17">
        <v>14</v>
      </c>
      <c r="AB202" s="14" t="s">
        <v>173</v>
      </c>
      <c r="AC202" s="17">
        <v>320436000</v>
      </c>
      <c r="AD202" s="14" t="s">
        <v>924</v>
      </c>
      <c r="AE202" s="17">
        <v>296700000</v>
      </c>
      <c r="AF202" s="14" t="s">
        <v>121</v>
      </c>
      <c r="AG202" s="20" t="s">
        <v>159</v>
      </c>
      <c r="AH202" s="10">
        <v>127032502</v>
      </c>
      <c r="AI202" s="24" t="str">
        <f>VLOOKUP(Sales[[#This Row],[Store]],'Store lay bao  cao'!A:B,2,0)</f>
        <v>Lấy BC</v>
      </c>
      <c r="AJ202" s="24" t="str">
        <f>VLOOKUP(Sales[[#This Row],[Associate]],'Associate Status'!B:C,2,0)</f>
        <v>Active</v>
      </c>
    </row>
    <row r="203" spans="1:36" x14ac:dyDescent="0.25">
      <c r="A203" s="7">
        <v>2023</v>
      </c>
      <c r="B203" s="8">
        <v>10</v>
      </c>
      <c r="C203" s="8">
        <v>43</v>
      </c>
      <c r="D203" s="8" t="s">
        <v>57</v>
      </c>
      <c r="E203" s="8" t="s">
        <v>43</v>
      </c>
      <c r="F203" s="8" t="s">
        <v>57</v>
      </c>
      <c r="G203" s="9">
        <v>51932279</v>
      </c>
      <c r="H203" s="10">
        <v>46285200</v>
      </c>
      <c r="I203" s="11">
        <v>45219</v>
      </c>
      <c r="J203" s="12">
        <v>193099</v>
      </c>
      <c r="K203" s="13" t="s">
        <v>1299</v>
      </c>
      <c r="L203" s="14" t="s">
        <v>59</v>
      </c>
      <c r="M203" s="11" t="s">
        <v>28</v>
      </c>
      <c r="N203" s="14" t="s">
        <v>11</v>
      </c>
      <c r="O203" s="15">
        <v>412</v>
      </c>
      <c r="P203" s="12">
        <v>1</v>
      </c>
      <c r="Q203" s="13" t="s">
        <v>101</v>
      </c>
      <c r="R203" s="16">
        <v>109927350</v>
      </c>
      <c r="S203" s="17">
        <v>101784583</v>
      </c>
      <c r="T203" s="12">
        <v>5</v>
      </c>
      <c r="U203" s="18">
        <v>5357083</v>
      </c>
      <c r="V203" s="19">
        <v>5785650</v>
      </c>
      <c r="W203" s="13" t="s">
        <v>484</v>
      </c>
      <c r="X203" s="14" t="s">
        <v>1300</v>
      </c>
      <c r="Y203" s="13" t="s">
        <v>922</v>
      </c>
      <c r="Z203" s="14" t="s">
        <v>1301</v>
      </c>
      <c r="AA203" s="17">
        <v>18</v>
      </c>
      <c r="AB203" s="14" t="s">
        <v>1281</v>
      </c>
      <c r="AC203" s="17">
        <v>115713000</v>
      </c>
      <c r="AD203" s="14">
        <v>6.5</v>
      </c>
      <c r="AE203" s="17">
        <v>107141667</v>
      </c>
      <c r="AF203" s="14" t="s">
        <v>379</v>
      </c>
      <c r="AG203" s="21" t="s">
        <v>923</v>
      </c>
      <c r="AH203" s="10">
        <v>49852304</v>
      </c>
      <c r="AI203" s="24" t="str">
        <f>VLOOKUP(Sales[[#This Row],[Store]],'Store lay bao  cao'!A:B,2,0)</f>
        <v>Lấy BC</v>
      </c>
      <c r="AJ203" s="24" t="str">
        <f>VLOOKUP(Sales[[#This Row],[Associate]],'Associate Status'!B:C,2,0)</f>
        <v>Retired</v>
      </c>
    </row>
    <row r="204" spans="1:36" x14ac:dyDescent="0.25">
      <c r="A204" s="7">
        <v>2023</v>
      </c>
      <c r="B204" s="8">
        <v>10</v>
      </c>
      <c r="C204" s="8">
        <v>43</v>
      </c>
      <c r="D204" s="8" t="s">
        <v>52</v>
      </c>
      <c r="E204" s="8" t="s">
        <v>43</v>
      </c>
      <c r="F204" s="8" t="s">
        <v>52</v>
      </c>
      <c r="G204" s="9">
        <v>7193862</v>
      </c>
      <c r="H204" s="10">
        <v>6088800</v>
      </c>
      <c r="I204" s="11">
        <v>45219</v>
      </c>
      <c r="J204" s="12">
        <v>186447</v>
      </c>
      <c r="K204" s="13" t="s">
        <v>1302</v>
      </c>
      <c r="L204" s="14" t="s">
        <v>19</v>
      </c>
      <c r="M204" s="11" t="s">
        <v>28</v>
      </c>
      <c r="N204" s="14" t="s">
        <v>11</v>
      </c>
      <c r="O204" s="15">
        <v>410</v>
      </c>
      <c r="P204" s="12">
        <v>1</v>
      </c>
      <c r="Q204" s="13" t="s">
        <v>101</v>
      </c>
      <c r="R204" s="16">
        <v>15831200</v>
      </c>
      <c r="S204" s="17">
        <v>14658519</v>
      </c>
      <c r="T204" s="12">
        <v>20</v>
      </c>
      <c r="U204" s="18">
        <v>3664630</v>
      </c>
      <c r="V204" s="19">
        <v>3957800</v>
      </c>
      <c r="W204" s="13" t="s">
        <v>484</v>
      </c>
      <c r="X204" s="14" t="s">
        <v>1303</v>
      </c>
      <c r="Y204" s="13" t="s">
        <v>1304</v>
      </c>
      <c r="Z204" s="14" t="s">
        <v>1305</v>
      </c>
      <c r="AA204" s="17">
        <v>14</v>
      </c>
      <c r="AB204" s="14" t="s">
        <v>1306</v>
      </c>
      <c r="AC204" s="17">
        <v>19789000</v>
      </c>
      <c r="AD204" s="14" t="s">
        <v>1307</v>
      </c>
      <c r="AE204" s="17">
        <v>18323148</v>
      </c>
      <c r="AF204" s="14" t="s">
        <v>121</v>
      </c>
      <c r="AG204" s="20"/>
      <c r="AH204" s="10">
        <v>7464657</v>
      </c>
      <c r="AI204" s="24" t="str">
        <f>VLOOKUP(Sales[[#This Row],[Store]],'Store lay bao  cao'!A:B,2,0)</f>
        <v>Lấy BC</v>
      </c>
      <c r="AJ204" s="24" t="str">
        <f>VLOOKUP(Sales[[#This Row],[Associate]],'Associate Status'!B:C,2,0)</f>
        <v>Active</v>
      </c>
    </row>
    <row r="205" spans="1:36" x14ac:dyDescent="0.25">
      <c r="A205" s="7">
        <v>2023</v>
      </c>
      <c r="B205" s="8">
        <v>10</v>
      </c>
      <c r="C205" s="8">
        <v>43</v>
      </c>
      <c r="D205" s="8" t="s">
        <v>51</v>
      </c>
      <c r="E205" s="8" t="s">
        <v>37</v>
      </c>
      <c r="F205" s="8" t="s">
        <v>51</v>
      </c>
      <c r="G205" s="9">
        <v>1150552</v>
      </c>
      <c r="H205" s="10">
        <v>1003000</v>
      </c>
      <c r="I205" s="11">
        <v>45220</v>
      </c>
      <c r="J205" s="12">
        <v>174864</v>
      </c>
      <c r="K205" s="13" t="s">
        <v>797</v>
      </c>
      <c r="L205" s="14" t="s">
        <v>47</v>
      </c>
      <c r="M205" s="11" t="s">
        <v>21</v>
      </c>
      <c r="N205" s="14" t="s">
        <v>11</v>
      </c>
      <c r="O205" s="15">
        <v>4844</v>
      </c>
      <c r="P205" s="12">
        <v>1</v>
      </c>
      <c r="Q205" s="13" t="s">
        <v>101</v>
      </c>
      <c r="R205" s="16">
        <v>5605000</v>
      </c>
      <c r="S205" s="17">
        <v>5189815</v>
      </c>
      <c r="T205" s="12">
        <v>0</v>
      </c>
      <c r="U205" s="18">
        <v>0</v>
      </c>
      <c r="V205" s="19">
        <v>0</v>
      </c>
      <c r="W205" s="13" t="s">
        <v>160</v>
      </c>
      <c r="X205" s="14" t="s">
        <v>949</v>
      </c>
      <c r="Y205" s="13" t="s">
        <v>807</v>
      </c>
      <c r="Z205" s="14" t="s">
        <v>1010</v>
      </c>
      <c r="AA205" s="17">
        <v>13</v>
      </c>
      <c r="AB205" s="14" t="s">
        <v>224</v>
      </c>
      <c r="AC205" s="17">
        <v>5605000</v>
      </c>
      <c r="AD205" s="14" t="s">
        <v>849</v>
      </c>
      <c r="AE205" s="17">
        <v>5189815</v>
      </c>
      <c r="AF205" s="14" t="s">
        <v>1203</v>
      </c>
      <c r="AG205" s="21" t="s">
        <v>808</v>
      </c>
      <c r="AH205" s="10">
        <v>4039263</v>
      </c>
      <c r="AI205" s="24" t="str">
        <f>VLOOKUP(Sales[[#This Row],[Store]],'Store lay bao  cao'!A:B,2,0)</f>
        <v>Lấy BC</v>
      </c>
      <c r="AJ205" s="24" t="e">
        <f>VLOOKUP(Sales[[#This Row],[Associate]],'Associate Status'!B:C,2,0)</f>
        <v>#N/A</v>
      </c>
    </row>
    <row r="206" spans="1:36" x14ac:dyDescent="0.25">
      <c r="A206" s="7">
        <v>2023</v>
      </c>
      <c r="B206" s="8">
        <v>10</v>
      </c>
      <c r="C206" s="8">
        <v>44</v>
      </c>
      <c r="D206" s="8" t="s">
        <v>52</v>
      </c>
      <c r="E206" s="8" t="s">
        <v>37</v>
      </c>
      <c r="F206" s="8" t="s">
        <v>52</v>
      </c>
      <c r="G206" s="9">
        <v>6759673</v>
      </c>
      <c r="H206" s="10">
        <v>6088500</v>
      </c>
      <c r="I206" s="11">
        <v>45225</v>
      </c>
      <c r="J206" s="12">
        <v>182225</v>
      </c>
      <c r="K206" s="13" t="s">
        <v>501</v>
      </c>
      <c r="L206" s="14" t="s">
        <v>50</v>
      </c>
      <c r="M206" s="11" t="s">
        <v>15</v>
      </c>
      <c r="N206" s="14" t="s">
        <v>11</v>
      </c>
      <c r="O206" s="15">
        <v>3117</v>
      </c>
      <c r="P206" s="12">
        <v>1</v>
      </c>
      <c r="Q206" s="13" t="s">
        <v>101</v>
      </c>
      <c r="R206" s="16">
        <v>19484000</v>
      </c>
      <c r="S206" s="17">
        <v>18040741</v>
      </c>
      <c r="T206" s="12">
        <v>0</v>
      </c>
      <c r="U206" s="18">
        <v>0</v>
      </c>
      <c r="V206" s="19">
        <v>0</v>
      </c>
      <c r="W206" s="13" t="s">
        <v>104</v>
      </c>
      <c r="X206" s="14" t="s">
        <v>1309</v>
      </c>
      <c r="Y206" s="13" t="s">
        <v>196</v>
      </c>
      <c r="Z206" s="14" t="s">
        <v>947</v>
      </c>
      <c r="AA206" s="17">
        <v>17</v>
      </c>
      <c r="AB206" s="14" t="s">
        <v>802</v>
      </c>
      <c r="AC206" s="17">
        <v>19484000</v>
      </c>
      <c r="AD206" s="14" t="s">
        <v>108</v>
      </c>
      <c r="AE206" s="17">
        <v>18040741</v>
      </c>
      <c r="AF206" s="14" t="s">
        <v>2596</v>
      </c>
      <c r="AG206" s="20" t="s">
        <v>197</v>
      </c>
      <c r="AH206" s="10">
        <v>11281068</v>
      </c>
      <c r="AI206" s="24" t="str">
        <f>VLOOKUP(Sales[[#This Row],[Store]],'Store lay bao  cao'!A:B,2,0)</f>
        <v>Lấy BC</v>
      </c>
      <c r="AJ206" s="24" t="e">
        <f>VLOOKUP(Sales[[#This Row],[Associate]],'Associate Status'!B:C,2,0)</f>
        <v>#N/A</v>
      </c>
    </row>
    <row r="207" spans="1:36" x14ac:dyDescent="0.25">
      <c r="A207" s="7">
        <v>2023</v>
      </c>
      <c r="B207" s="8">
        <v>10</v>
      </c>
      <c r="C207" s="8">
        <v>45</v>
      </c>
      <c r="D207" s="8" t="s">
        <v>52</v>
      </c>
      <c r="E207" s="8" t="s">
        <v>34</v>
      </c>
      <c r="F207" s="8" t="s">
        <v>52</v>
      </c>
      <c r="G207" s="9">
        <v>50648619</v>
      </c>
      <c r="H207" s="10">
        <v>58800000</v>
      </c>
      <c r="I207" s="11">
        <v>45230</v>
      </c>
      <c r="J207" s="12">
        <v>180396</v>
      </c>
      <c r="K207" s="13" t="s">
        <v>1311</v>
      </c>
      <c r="L207" s="14" t="s">
        <v>55</v>
      </c>
      <c r="M207" s="11" t="s">
        <v>28</v>
      </c>
      <c r="N207" s="14" t="s">
        <v>11</v>
      </c>
      <c r="O207" s="15">
        <v>457</v>
      </c>
      <c r="P207" s="12">
        <v>1</v>
      </c>
      <c r="Q207" s="13" t="s">
        <v>175</v>
      </c>
      <c r="R207" s="16">
        <v>93231683.989999995</v>
      </c>
      <c r="S207" s="17">
        <v>86325633</v>
      </c>
      <c r="T207" s="12">
        <v>28.28</v>
      </c>
      <c r="U207" s="18">
        <v>34044737</v>
      </c>
      <c r="V207" s="19">
        <v>36768316.009999998</v>
      </c>
      <c r="W207" s="13" t="s">
        <v>484</v>
      </c>
      <c r="X207" s="14" t="s">
        <v>1312</v>
      </c>
      <c r="Y207" s="13" t="s">
        <v>216</v>
      </c>
      <c r="Z207" s="14" t="s">
        <v>1313</v>
      </c>
      <c r="AA207" s="17">
        <v>16</v>
      </c>
      <c r="AB207" s="14" t="s">
        <v>1314</v>
      </c>
      <c r="AC207" s="17">
        <v>130000000</v>
      </c>
      <c r="AD207" s="14" t="s">
        <v>893</v>
      </c>
      <c r="AE207" s="17">
        <v>120370370</v>
      </c>
      <c r="AF207" s="14" t="s">
        <v>121</v>
      </c>
      <c r="AG207" s="21" t="s">
        <v>217</v>
      </c>
      <c r="AH207" s="10">
        <v>35677014</v>
      </c>
      <c r="AI207" s="24" t="str">
        <f>VLOOKUP(Sales[[#This Row],[Store]],'Store lay bao  cao'!A:B,2,0)</f>
        <v>Lấy BC</v>
      </c>
      <c r="AJ207" s="24" t="str">
        <f>VLOOKUP(Sales[[#This Row],[Associate]],'Associate Status'!B:C,2,0)</f>
        <v>Active</v>
      </c>
    </row>
    <row r="208" spans="1:36" x14ac:dyDescent="0.25">
      <c r="A208" s="7">
        <v>2023</v>
      </c>
      <c r="B208" s="8">
        <v>10</v>
      </c>
      <c r="C208" s="8">
        <v>45</v>
      </c>
      <c r="D208" s="8" t="s">
        <v>57</v>
      </c>
      <c r="E208" s="8" t="s">
        <v>43</v>
      </c>
      <c r="F208" s="8" t="s">
        <v>57</v>
      </c>
      <c r="G208" s="9">
        <v>45407407</v>
      </c>
      <c r="H208" s="10">
        <v>40469880</v>
      </c>
      <c r="I208" s="11">
        <v>45230</v>
      </c>
      <c r="J208" s="12">
        <v>193100</v>
      </c>
      <c r="K208" s="13" t="s">
        <v>1311</v>
      </c>
      <c r="L208" s="14" t="s">
        <v>59</v>
      </c>
      <c r="M208" s="11" t="s">
        <v>28</v>
      </c>
      <c r="N208" s="14" t="s">
        <v>11</v>
      </c>
      <c r="O208" s="15">
        <v>457</v>
      </c>
      <c r="P208" s="12">
        <v>1</v>
      </c>
      <c r="Q208" s="13" t="s">
        <v>175</v>
      </c>
      <c r="R208" s="16">
        <v>72559350.989999995</v>
      </c>
      <c r="S208" s="17">
        <v>67184584</v>
      </c>
      <c r="T208" s="12">
        <v>28.28</v>
      </c>
      <c r="U208" s="18">
        <v>26495971</v>
      </c>
      <c r="V208" s="19">
        <v>28615649.010000002</v>
      </c>
      <c r="W208" s="13" t="s">
        <v>484</v>
      </c>
      <c r="X208" s="14" t="s">
        <v>1315</v>
      </c>
      <c r="Y208" s="13" t="s">
        <v>216</v>
      </c>
      <c r="Z208" s="14" t="s">
        <v>1316</v>
      </c>
      <c r="AA208" s="17">
        <v>16</v>
      </c>
      <c r="AB208" s="14" t="s">
        <v>1317</v>
      </c>
      <c r="AC208" s="17">
        <v>101175000</v>
      </c>
      <c r="AD208" s="14">
        <v>6.5</v>
      </c>
      <c r="AE208" s="17">
        <v>93680556</v>
      </c>
      <c r="AF208" s="14" t="s">
        <v>121</v>
      </c>
      <c r="AG208" s="20" t="s">
        <v>217</v>
      </c>
      <c r="AH208" s="10">
        <v>21777177</v>
      </c>
      <c r="AI208" s="24" t="str">
        <f>VLOOKUP(Sales[[#This Row],[Store]],'Store lay bao  cao'!A:B,2,0)</f>
        <v>Lấy BC</v>
      </c>
      <c r="AJ208" s="24" t="str">
        <f>VLOOKUP(Sales[[#This Row],[Associate]],'Associate Status'!B:C,2,0)</f>
        <v>Active</v>
      </c>
    </row>
    <row r="209" spans="1:36" x14ac:dyDescent="0.25">
      <c r="A209" s="7">
        <v>2023</v>
      </c>
      <c r="B209" s="8">
        <v>11</v>
      </c>
      <c r="C209" s="8">
        <v>45</v>
      </c>
      <c r="D209" s="8" t="s">
        <v>52</v>
      </c>
      <c r="E209" s="8" t="s">
        <v>43</v>
      </c>
      <c r="F209" s="8" t="s">
        <v>52</v>
      </c>
      <c r="G209" s="9">
        <v>10910164</v>
      </c>
      <c r="H209" s="10">
        <v>9236400</v>
      </c>
      <c r="I209" s="11">
        <v>45231</v>
      </c>
      <c r="J209" s="12">
        <v>186494</v>
      </c>
      <c r="K209" s="13" t="s">
        <v>1318</v>
      </c>
      <c r="L209" s="14" t="s">
        <v>19</v>
      </c>
      <c r="M209" s="11" t="s">
        <v>28</v>
      </c>
      <c r="N209" s="14" t="s">
        <v>11</v>
      </c>
      <c r="O209" s="15">
        <v>459</v>
      </c>
      <c r="P209" s="12">
        <v>1</v>
      </c>
      <c r="Q209" s="13" t="s">
        <v>101</v>
      </c>
      <c r="R209" s="16">
        <v>28217860</v>
      </c>
      <c r="S209" s="17">
        <v>26127648</v>
      </c>
      <c r="T209" s="12">
        <v>6</v>
      </c>
      <c r="U209" s="18">
        <v>1667722</v>
      </c>
      <c r="V209" s="19">
        <v>1801140</v>
      </c>
      <c r="W209" s="13" t="s">
        <v>1271</v>
      </c>
      <c r="X209" s="14" t="s">
        <v>1319</v>
      </c>
      <c r="Y209" s="13" t="s">
        <v>922</v>
      </c>
      <c r="Z209" s="14" t="s">
        <v>1320</v>
      </c>
      <c r="AA209" s="17">
        <v>11</v>
      </c>
      <c r="AB209" s="14" t="s">
        <v>1253</v>
      </c>
      <c r="AC209" s="17">
        <v>30019000</v>
      </c>
      <c r="AD209" s="14" t="s">
        <v>1321</v>
      </c>
      <c r="AE209" s="17">
        <v>27795370</v>
      </c>
      <c r="AF209" s="14" t="s">
        <v>123</v>
      </c>
      <c r="AG209" s="21" t="s">
        <v>923</v>
      </c>
      <c r="AH209" s="10">
        <v>15217484</v>
      </c>
      <c r="AI209" s="24" t="str">
        <f>VLOOKUP(Sales[[#This Row],[Store]],'Store lay bao  cao'!A:B,2,0)</f>
        <v>Lấy BC</v>
      </c>
      <c r="AJ209" s="24" t="str">
        <f>VLOOKUP(Sales[[#This Row],[Associate]],'Associate Status'!B:C,2,0)</f>
        <v>Active</v>
      </c>
    </row>
    <row r="210" spans="1:36" x14ac:dyDescent="0.25">
      <c r="A210" s="7">
        <v>2023</v>
      </c>
      <c r="B210" s="8">
        <v>11</v>
      </c>
      <c r="C210" s="8">
        <v>45</v>
      </c>
      <c r="D210" s="8" t="s">
        <v>52</v>
      </c>
      <c r="E210" s="8" t="s">
        <v>43</v>
      </c>
      <c r="F210" s="8" t="s">
        <v>52</v>
      </c>
      <c r="G210" s="9">
        <v>4868298</v>
      </c>
      <c r="H210" s="10">
        <v>4128000</v>
      </c>
      <c r="I210" s="11">
        <v>45231</v>
      </c>
      <c r="J210" s="12">
        <v>186470</v>
      </c>
      <c r="K210" s="13" t="s">
        <v>1318</v>
      </c>
      <c r="L210" s="14" t="s">
        <v>19</v>
      </c>
      <c r="M210" s="11" t="s">
        <v>28</v>
      </c>
      <c r="N210" s="14" t="s">
        <v>11</v>
      </c>
      <c r="O210" s="15">
        <v>459</v>
      </c>
      <c r="P210" s="12">
        <v>1</v>
      </c>
      <c r="Q210" s="13" t="s">
        <v>101</v>
      </c>
      <c r="R210" s="16">
        <v>12611040</v>
      </c>
      <c r="S210" s="17">
        <v>11676889</v>
      </c>
      <c r="T210" s="12">
        <v>6</v>
      </c>
      <c r="U210" s="18">
        <v>745333</v>
      </c>
      <c r="V210" s="19">
        <v>804960</v>
      </c>
      <c r="W210" s="13" t="s">
        <v>1271</v>
      </c>
      <c r="X210" s="14" t="s">
        <v>1322</v>
      </c>
      <c r="Y210" s="13" t="s">
        <v>922</v>
      </c>
      <c r="Z210" s="14" t="s">
        <v>1323</v>
      </c>
      <c r="AA210" s="17">
        <v>11</v>
      </c>
      <c r="AB210" s="14" t="s">
        <v>422</v>
      </c>
      <c r="AC210" s="17">
        <v>13416000</v>
      </c>
      <c r="AD210" s="14" t="s">
        <v>1324</v>
      </c>
      <c r="AE210" s="17">
        <v>12422222</v>
      </c>
      <c r="AF210" s="14" t="s">
        <v>123</v>
      </c>
      <c r="AG210" s="20" t="s">
        <v>923</v>
      </c>
      <c r="AH210" s="10">
        <v>6808591</v>
      </c>
      <c r="AI210" s="24" t="str">
        <f>VLOOKUP(Sales[[#This Row],[Store]],'Store lay bao  cao'!A:B,2,0)</f>
        <v>Lấy BC</v>
      </c>
      <c r="AJ210" s="24" t="str">
        <f>VLOOKUP(Sales[[#This Row],[Associate]],'Associate Status'!B:C,2,0)</f>
        <v>Active</v>
      </c>
    </row>
    <row r="211" spans="1:36" x14ac:dyDescent="0.25">
      <c r="A211" s="7">
        <v>2023</v>
      </c>
      <c r="B211" s="8">
        <v>11</v>
      </c>
      <c r="C211" s="8">
        <v>45</v>
      </c>
      <c r="D211" s="8" t="s">
        <v>52</v>
      </c>
      <c r="E211" s="8" t="s">
        <v>43</v>
      </c>
      <c r="F211" s="8" t="s">
        <v>52</v>
      </c>
      <c r="G211" s="9">
        <v>9448956</v>
      </c>
      <c r="H211" s="10">
        <v>7998000</v>
      </c>
      <c r="I211" s="11">
        <v>45231</v>
      </c>
      <c r="J211" s="12">
        <v>186448</v>
      </c>
      <c r="K211" s="13" t="s">
        <v>1318</v>
      </c>
      <c r="L211" s="14" t="s">
        <v>19</v>
      </c>
      <c r="M211" s="11" t="s">
        <v>28</v>
      </c>
      <c r="N211" s="14" t="s">
        <v>11</v>
      </c>
      <c r="O211" s="15">
        <v>459</v>
      </c>
      <c r="P211" s="12">
        <v>1</v>
      </c>
      <c r="Q211" s="13" t="s">
        <v>101</v>
      </c>
      <c r="R211" s="16">
        <v>24434360</v>
      </c>
      <c r="S211" s="17">
        <v>22624407</v>
      </c>
      <c r="T211" s="12">
        <v>6</v>
      </c>
      <c r="U211" s="18">
        <v>1444111</v>
      </c>
      <c r="V211" s="19">
        <v>1559640</v>
      </c>
      <c r="W211" s="13" t="s">
        <v>1271</v>
      </c>
      <c r="X211" s="14" t="s">
        <v>1325</v>
      </c>
      <c r="Y211" s="13" t="s">
        <v>922</v>
      </c>
      <c r="Z211" s="14" t="s">
        <v>1326</v>
      </c>
      <c r="AA211" s="17">
        <v>11</v>
      </c>
      <c r="AB211" s="14" t="s">
        <v>1327</v>
      </c>
      <c r="AC211" s="17">
        <v>25994000</v>
      </c>
      <c r="AD211" s="14" t="s">
        <v>1262</v>
      </c>
      <c r="AE211" s="17">
        <v>24068519</v>
      </c>
      <c r="AF211" s="14" t="s">
        <v>123</v>
      </c>
      <c r="AG211" s="21" t="s">
        <v>923</v>
      </c>
      <c r="AH211" s="10">
        <v>13175451</v>
      </c>
      <c r="AI211" s="24" t="str">
        <f>VLOOKUP(Sales[[#This Row],[Store]],'Store lay bao  cao'!A:B,2,0)</f>
        <v>Lấy BC</v>
      </c>
      <c r="AJ211" s="24" t="str">
        <f>VLOOKUP(Sales[[#This Row],[Associate]],'Associate Status'!B:C,2,0)</f>
        <v>Active</v>
      </c>
    </row>
    <row r="212" spans="1:36" x14ac:dyDescent="0.25">
      <c r="A212" s="7">
        <v>2023</v>
      </c>
      <c r="B212" s="8">
        <v>11</v>
      </c>
      <c r="C212" s="8">
        <v>45</v>
      </c>
      <c r="D212" s="8" t="s">
        <v>52</v>
      </c>
      <c r="E212" s="8" t="s">
        <v>43</v>
      </c>
      <c r="F212" s="8" t="s">
        <v>52</v>
      </c>
      <c r="G212" s="9">
        <v>10910164</v>
      </c>
      <c r="H212" s="10">
        <v>9236400</v>
      </c>
      <c r="I212" s="11">
        <v>45231</v>
      </c>
      <c r="J212" s="12">
        <v>186494</v>
      </c>
      <c r="K212" s="13" t="s">
        <v>1328</v>
      </c>
      <c r="L212" s="14" t="s">
        <v>19</v>
      </c>
      <c r="M212" s="11" t="s">
        <v>28</v>
      </c>
      <c r="N212" s="14" t="s">
        <v>11</v>
      </c>
      <c r="O212" s="15">
        <v>462</v>
      </c>
      <c r="P212" s="12">
        <v>1</v>
      </c>
      <c r="Q212" s="13" t="s">
        <v>101</v>
      </c>
      <c r="R212" s="16">
        <v>28217860</v>
      </c>
      <c r="S212" s="17">
        <v>26127648</v>
      </c>
      <c r="T212" s="12">
        <v>6</v>
      </c>
      <c r="U212" s="18">
        <v>1667722</v>
      </c>
      <c r="V212" s="19">
        <v>1801140</v>
      </c>
      <c r="W212" s="13" t="s">
        <v>1225</v>
      </c>
      <c r="X212" s="14" t="s">
        <v>1319</v>
      </c>
      <c r="Y212" s="13" t="s">
        <v>922</v>
      </c>
      <c r="Z212" s="14" t="s">
        <v>1320</v>
      </c>
      <c r="AA212" s="17">
        <v>13</v>
      </c>
      <c r="AB212" s="14" t="s">
        <v>1253</v>
      </c>
      <c r="AC212" s="17">
        <v>30019000</v>
      </c>
      <c r="AD212" s="14" t="s">
        <v>1321</v>
      </c>
      <c r="AE212" s="17">
        <v>27795370</v>
      </c>
      <c r="AF212" s="14" t="s">
        <v>123</v>
      </c>
      <c r="AG212" s="20" t="s">
        <v>923</v>
      </c>
      <c r="AH212" s="10">
        <v>15217484</v>
      </c>
      <c r="AI212" s="24" t="str">
        <f>VLOOKUP(Sales[[#This Row],[Store]],'Store lay bao  cao'!A:B,2,0)</f>
        <v>Lấy BC</v>
      </c>
      <c r="AJ212" s="24" t="str">
        <f>VLOOKUP(Sales[[#This Row],[Associate]],'Associate Status'!B:C,2,0)</f>
        <v>Active</v>
      </c>
    </row>
    <row r="213" spans="1:36" x14ac:dyDescent="0.25">
      <c r="A213" s="7">
        <v>2023</v>
      </c>
      <c r="B213" s="8">
        <v>11</v>
      </c>
      <c r="C213" s="8">
        <v>45</v>
      </c>
      <c r="D213" s="8" t="s">
        <v>52</v>
      </c>
      <c r="E213" s="8" t="s">
        <v>43</v>
      </c>
      <c r="F213" s="8" t="s">
        <v>52</v>
      </c>
      <c r="G213" s="9">
        <v>4868298</v>
      </c>
      <c r="H213" s="10">
        <v>4128000</v>
      </c>
      <c r="I213" s="11">
        <v>45231</v>
      </c>
      <c r="J213" s="12">
        <v>186470</v>
      </c>
      <c r="K213" s="13" t="s">
        <v>1328</v>
      </c>
      <c r="L213" s="14" t="s">
        <v>19</v>
      </c>
      <c r="M213" s="11" t="s">
        <v>28</v>
      </c>
      <c r="N213" s="14" t="s">
        <v>11</v>
      </c>
      <c r="O213" s="15">
        <v>462</v>
      </c>
      <c r="P213" s="12">
        <v>1</v>
      </c>
      <c r="Q213" s="13" t="s">
        <v>101</v>
      </c>
      <c r="R213" s="16">
        <v>12611040</v>
      </c>
      <c r="S213" s="17">
        <v>11676889</v>
      </c>
      <c r="T213" s="12">
        <v>6</v>
      </c>
      <c r="U213" s="18">
        <v>745333</v>
      </c>
      <c r="V213" s="19">
        <v>804960</v>
      </c>
      <c r="W213" s="13" t="s">
        <v>1225</v>
      </c>
      <c r="X213" s="14" t="s">
        <v>1322</v>
      </c>
      <c r="Y213" s="13" t="s">
        <v>922</v>
      </c>
      <c r="Z213" s="14" t="s">
        <v>1323</v>
      </c>
      <c r="AA213" s="17">
        <v>13</v>
      </c>
      <c r="AB213" s="14" t="s">
        <v>422</v>
      </c>
      <c r="AC213" s="17">
        <v>13416000</v>
      </c>
      <c r="AD213" s="14" t="s">
        <v>1324</v>
      </c>
      <c r="AE213" s="17">
        <v>12422222</v>
      </c>
      <c r="AF213" s="14" t="s">
        <v>123</v>
      </c>
      <c r="AG213" s="21" t="s">
        <v>923</v>
      </c>
      <c r="AH213" s="10">
        <v>6808591</v>
      </c>
      <c r="AI213" s="24" t="str">
        <f>VLOOKUP(Sales[[#This Row],[Store]],'Store lay bao  cao'!A:B,2,0)</f>
        <v>Lấy BC</v>
      </c>
      <c r="AJ213" s="24" t="str">
        <f>VLOOKUP(Sales[[#This Row],[Associate]],'Associate Status'!B:C,2,0)</f>
        <v>Active</v>
      </c>
    </row>
    <row r="214" spans="1:36" x14ac:dyDescent="0.25">
      <c r="A214" s="7">
        <v>2023</v>
      </c>
      <c r="B214" s="8">
        <v>11</v>
      </c>
      <c r="C214" s="8">
        <v>45</v>
      </c>
      <c r="D214" s="8" t="s">
        <v>52</v>
      </c>
      <c r="E214" s="8" t="s">
        <v>43</v>
      </c>
      <c r="F214" s="8" t="s">
        <v>52</v>
      </c>
      <c r="G214" s="9">
        <v>9448956</v>
      </c>
      <c r="H214" s="10">
        <v>7998000</v>
      </c>
      <c r="I214" s="11">
        <v>45231</v>
      </c>
      <c r="J214" s="12">
        <v>186448</v>
      </c>
      <c r="K214" s="13" t="s">
        <v>1328</v>
      </c>
      <c r="L214" s="14" t="s">
        <v>19</v>
      </c>
      <c r="M214" s="11" t="s">
        <v>28</v>
      </c>
      <c r="N214" s="14" t="s">
        <v>11</v>
      </c>
      <c r="O214" s="15">
        <v>462</v>
      </c>
      <c r="P214" s="12">
        <v>1</v>
      </c>
      <c r="Q214" s="13" t="s">
        <v>101</v>
      </c>
      <c r="R214" s="16">
        <v>24434360</v>
      </c>
      <c r="S214" s="17">
        <v>22624407</v>
      </c>
      <c r="T214" s="12">
        <v>6</v>
      </c>
      <c r="U214" s="18">
        <v>1444111</v>
      </c>
      <c r="V214" s="19">
        <v>1559640</v>
      </c>
      <c r="W214" s="13" t="s">
        <v>1225</v>
      </c>
      <c r="X214" s="14" t="s">
        <v>1325</v>
      </c>
      <c r="Y214" s="13" t="s">
        <v>922</v>
      </c>
      <c r="Z214" s="14" t="s">
        <v>1326</v>
      </c>
      <c r="AA214" s="17">
        <v>13</v>
      </c>
      <c r="AB214" s="14" t="s">
        <v>1327</v>
      </c>
      <c r="AC214" s="17">
        <v>25994000</v>
      </c>
      <c r="AD214" s="14" t="s">
        <v>1262</v>
      </c>
      <c r="AE214" s="17">
        <v>24068519</v>
      </c>
      <c r="AF214" s="14" t="s">
        <v>123</v>
      </c>
      <c r="AG214" s="20" t="s">
        <v>923</v>
      </c>
      <c r="AH214" s="10">
        <v>13175451</v>
      </c>
      <c r="AI214" s="24" t="str">
        <f>VLOOKUP(Sales[[#This Row],[Store]],'Store lay bao  cao'!A:B,2,0)</f>
        <v>Lấy BC</v>
      </c>
      <c r="AJ214" s="24" t="str">
        <f>VLOOKUP(Sales[[#This Row],[Associate]],'Associate Status'!B:C,2,0)</f>
        <v>Active</v>
      </c>
    </row>
    <row r="215" spans="1:36" x14ac:dyDescent="0.25">
      <c r="A215" s="7">
        <v>2023</v>
      </c>
      <c r="B215" s="8">
        <v>11</v>
      </c>
      <c r="C215" s="8">
        <v>45</v>
      </c>
      <c r="D215" s="8" t="s">
        <v>52</v>
      </c>
      <c r="E215" s="8" t="s">
        <v>43</v>
      </c>
      <c r="F215" s="8" t="s">
        <v>52</v>
      </c>
      <c r="G215" s="9">
        <v>8718351</v>
      </c>
      <c r="H215" s="10">
        <v>7378800</v>
      </c>
      <c r="I215" s="11">
        <v>45231</v>
      </c>
      <c r="J215" s="12">
        <v>186443</v>
      </c>
      <c r="K215" s="13" t="s">
        <v>1328</v>
      </c>
      <c r="L215" s="14" t="s">
        <v>19</v>
      </c>
      <c r="M215" s="11" t="s">
        <v>28</v>
      </c>
      <c r="N215" s="14" t="s">
        <v>11</v>
      </c>
      <c r="O215" s="15">
        <v>462</v>
      </c>
      <c r="P215" s="12">
        <v>1</v>
      </c>
      <c r="Q215" s="13" t="s">
        <v>101</v>
      </c>
      <c r="R215" s="16">
        <v>22543080</v>
      </c>
      <c r="S215" s="17">
        <v>20873222</v>
      </c>
      <c r="T215" s="12">
        <v>6</v>
      </c>
      <c r="U215" s="18">
        <v>1332333</v>
      </c>
      <c r="V215" s="19">
        <v>1438920</v>
      </c>
      <c r="W215" s="13" t="s">
        <v>1225</v>
      </c>
      <c r="X215" s="14" t="s">
        <v>1329</v>
      </c>
      <c r="Y215" s="13" t="s">
        <v>922</v>
      </c>
      <c r="Z215" s="14" t="s">
        <v>1330</v>
      </c>
      <c r="AA215" s="17">
        <v>13</v>
      </c>
      <c r="AB215" s="14" t="s">
        <v>1331</v>
      </c>
      <c r="AC215" s="17">
        <v>23982000</v>
      </c>
      <c r="AD215" s="14" t="s">
        <v>1321</v>
      </c>
      <c r="AE215" s="17">
        <v>22205556</v>
      </c>
      <c r="AF215" s="14" t="s">
        <v>123</v>
      </c>
      <c r="AG215" s="21" t="s">
        <v>923</v>
      </c>
      <c r="AH215" s="10">
        <v>12154871</v>
      </c>
      <c r="AI215" s="24" t="str">
        <f>VLOOKUP(Sales[[#This Row],[Store]],'Store lay bao  cao'!A:B,2,0)</f>
        <v>Lấy BC</v>
      </c>
      <c r="AJ215" s="24" t="str">
        <f>VLOOKUP(Sales[[#This Row],[Associate]],'Associate Status'!B:C,2,0)</f>
        <v>Active</v>
      </c>
    </row>
    <row r="216" spans="1:36" x14ac:dyDescent="0.25">
      <c r="A216" s="7">
        <v>2023</v>
      </c>
      <c r="B216" s="8">
        <v>11</v>
      </c>
      <c r="C216" s="8">
        <v>45</v>
      </c>
      <c r="D216" s="8" t="s">
        <v>52</v>
      </c>
      <c r="E216" s="8" t="s">
        <v>43</v>
      </c>
      <c r="F216" s="8" t="s">
        <v>52</v>
      </c>
      <c r="G216" s="9">
        <v>-10910164</v>
      </c>
      <c r="H216" s="10">
        <v>-9236400</v>
      </c>
      <c r="I216" s="11">
        <v>45231</v>
      </c>
      <c r="J216" s="12">
        <v>186494</v>
      </c>
      <c r="K216" s="13" t="s">
        <v>1332</v>
      </c>
      <c r="L216" s="14" t="s">
        <v>19</v>
      </c>
      <c r="M216" s="11" t="s">
        <v>28</v>
      </c>
      <c r="N216" s="14" t="s">
        <v>11</v>
      </c>
      <c r="O216" s="15">
        <v>460</v>
      </c>
      <c r="P216" s="12">
        <v>-1</v>
      </c>
      <c r="Q216" s="13" t="s">
        <v>101</v>
      </c>
      <c r="R216" s="16">
        <v>-28217860</v>
      </c>
      <c r="S216" s="17">
        <v>-26127648</v>
      </c>
      <c r="T216" s="12">
        <v>6</v>
      </c>
      <c r="U216" s="18">
        <v>-1667722</v>
      </c>
      <c r="V216" s="19">
        <v>-1801140</v>
      </c>
      <c r="W216" s="13" t="s">
        <v>1225</v>
      </c>
      <c r="X216" s="14" t="s">
        <v>1319</v>
      </c>
      <c r="Y216" s="13" t="s">
        <v>922</v>
      </c>
      <c r="Z216" s="14" t="s">
        <v>1320</v>
      </c>
      <c r="AA216" s="17">
        <v>12</v>
      </c>
      <c r="AB216" s="14" t="s">
        <v>1253</v>
      </c>
      <c r="AC216" s="17">
        <v>-30019000</v>
      </c>
      <c r="AD216" s="14" t="s">
        <v>1321</v>
      </c>
      <c r="AE216" s="17">
        <v>-27795370</v>
      </c>
      <c r="AF216" s="14" t="s">
        <v>123</v>
      </c>
      <c r="AG216" s="20" t="s">
        <v>923</v>
      </c>
      <c r="AH216" s="10">
        <v>-15217484</v>
      </c>
      <c r="AI216" s="24" t="str">
        <f>VLOOKUP(Sales[[#This Row],[Store]],'Store lay bao  cao'!A:B,2,0)</f>
        <v>Lấy BC</v>
      </c>
      <c r="AJ216" s="24" t="str">
        <f>VLOOKUP(Sales[[#This Row],[Associate]],'Associate Status'!B:C,2,0)</f>
        <v>Active</v>
      </c>
    </row>
    <row r="217" spans="1:36" x14ac:dyDescent="0.25">
      <c r="A217" s="7">
        <v>2023</v>
      </c>
      <c r="B217" s="8">
        <v>11</v>
      </c>
      <c r="C217" s="8">
        <v>45</v>
      </c>
      <c r="D217" s="8" t="s">
        <v>52</v>
      </c>
      <c r="E217" s="8" t="s">
        <v>43</v>
      </c>
      <c r="F217" s="8" t="s">
        <v>52</v>
      </c>
      <c r="G217" s="9">
        <v>-4868298</v>
      </c>
      <c r="H217" s="10">
        <v>-4128000</v>
      </c>
      <c r="I217" s="11">
        <v>45231</v>
      </c>
      <c r="J217" s="12">
        <v>186470</v>
      </c>
      <c r="K217" s="13" t="s">
        <v>1332</v>
      </c>
      <c r="L217" s="14" t="s">
        <v>19</v>
      </c>
      <c r="M217" s="11" t="s">
        <v>28</v>
      </c>
      <c r="N217" s="14" t="s">
        <v>11</v>
      </c>
      <c r="O217" s="15">
        <v>460</v>
      </c>
      <c r="P217" s="12">
        <v>-1</v>
      </c>
      <c r="Q217" s="13" t="s">
        <v>101</v>
      </c>
      <c r="R217" s="16">
        <v>-12611040</v>
      </c>
      <c r="S217" s="17">
        <v>-11676889</v>
      </c>
      <c r="T217" s="12">
        <v>6</v>
      </c>
      <c r="U217" s="18">
        <v>-745333</v>
      </c>
      <c r="V217" s="19">
        <v>-804960</v>
      </c>
      <c r="W217" s="13" t="s">
        <v>1225</v>
      </c>
      <c r="X217" s="14" t="s">
        <v>1322</v>
      </c>
      <c r="Y217" s="13" t="s">
        <v>922</v>
      </c>
      <c r="Z217" s="14" t="s">
        <v>1323</v>
      </c>
      <c r="AA217" s="17">
        <v>12</v>
      </c>
      <c r="AB217" s="14" t="s">
        <v>422</v>
      </c>
      <c r="AC217" s="17">
        <v>-13416000</v>
      </c>
      <c r="AD217" s="14" t="s">
        <v>1324</v>
      </c>
      <c r="AE217" s="17">
        <v>-12422222</v>
      </c>
      <c r="AF217" s="14" t="s">
        <v>123</v>
      </c>
      <c r="AG217" s="21" t="s">
        <v>923</v>
      </c>
      <c r="AH217" s="10">
        <v>-6808591</v>
      </c>
      <c r="AI217" s="24" t="str">
        <f>VLOOKUP(Sales[[#This Row],[Store]],'Store lay bao  cao'!A:B,2,0)</f>
        <v>Lấy BC</v>
      </c>
      <c r="AJ217" s="24" t="str">
        <f>VLOOKUP(Sales[[#This Row],[Associate]],'Associate Status'!B:C,2,0)</f>
        <v>Active</v>
      </c>
    </row>
    <row r="218" spans="1:36" x14ac:dyDescent="0.25">
      <c r="A218" s="7">
        <v>2023</v>
      </c>
      <c r="B218" s="8">
        <v>11</v>
      </c>
      <c r="C218" s="8">
        <v>45</v>
      </c>
      <c r="D218" s="8" t="s">
        <v>52</v>
      </c>
      <c r="E218" s="8" t="s">
        <v>43</v>
      </c>
      <c r="F218" s="8" t="s">
        <v>52</v>
      </c>
      <c r="G218" s="9">
        <v>-9448956</v>
      </c>
      <c r="H218" s="10">
        <v>-7998000</v>
      </c>
      <c r="I218" s="11">
        <v>45231</v>
      </c>
      <c r="J218" s="12">
        <v>186448</v>
      </c>
      <c r="K218" s="13" t="s">
        <v>1332</v>
      </c>
      <c r="L218" s="14" t="s">
        <v>19</v>
      </c>
      <c r="M218" s="11" t="s">
        <v>28</v>
      </c>
      <c r="N218" s="14" t="s">
        <v>11</v>
      </c>
      <c r="O218" s="15">
        <v>460</v>
      </c>
      <c r="P218" s="12">
        <v>-1</v>
      </c>
      <c r="Q218" s="13" t="s">
        <v>101</v>
      </c>
      <c r="R218" s="16">
        <v>-24434360</v>
      </c>
      <c r="S218" s="17">
        <v>-22624407</v>
      </c>
      <c r="T218" s="12">
        <v>6</v>
      </c>
      <c r="U218" s="18">
        <v>-1444111</v>
      </c>
      <c r="V218" s="19">
        <v>-1559640</v>
      </c>
      <c r="W218" s="13" t="s">
        <v>1225</v>
      </c>
      <c r="X218" s="14" t="s">
        <v>1325</v>
      </c>
      <c r="Y218" s="13" t="s">
        <v>922</v>
      </c>
      <c r="Z218" s="14" t="s">
        <v>1326</v>
      </c>
      <c r="AA218" s="17">
        <v>12</v>
      </c>
      <c r="AB218" s="14" t="s">
        <v>1327</v>
      </c>
      <c r="AC218" s="17">
        <v>-25994000</v>
      </c>
      <c r="AD218" s="14" t="s">
        <v>1262</v>
      </c>
      <c r="AE218" s="17">
        <v>-24068519</v>
      </c>
      <c r="AF218" s="14" t="s">
        <v>123</v>
      </c>
      <c r="AG218" s="20" t="s">
        <v>923</v>
      </c>
      <c r="AH218" s="10">
        <v>-13175451</v>
      </c>
      <c r="AI218" s="24" t="str">
        <f>VLOOKUP(Sales[[#This Row],[Store]],'Store lay bao  cao'!A:B,2,0)</f>
        <v>Lấy BC</v>
      </c>
      <c r="AJ218" s="24" t="str">
        <f>VLOOKUP(Sales[[#This Row],[Associate]],'Associate Status'!B:C,2,0)</f>
        <v>Active</v>
      </c>
    </row>
    <row r="219" spans="1:36" x14ac:dyDescent="0.25">
      <c r="A219" s="7">
        <v>2023</v>
      </c>
      <c r="B219" s="8">
        <v>11</v>
      </c>
      <c r="C219" s="8">
        <v>45</v>
      </c>
      <c r="D219" s="8" t="s">
        <v>52</v>
      </c>
      <c r="E219" s="8" t="s">
        <v>34</v>
      </c>
      <c r="F219" s="8" t="s">
        <v>52</v>
      </c>
      <c r="G219" s="9">
        <v>1139103</v>
      </c>
      <c r="H219" s="10">
        <v>1026000</v>
      </c>
      <c r="I219" s="11">
        <v>45235</v>
      </c>
      <c r="J219" s="12">
        <v>182238</v>
      </c>
      <c r="K219" s="13" t="s">
        <v>1333</v>
      </c>
      <c r="L219" s="14" t="s">
        <v>50</v>
      </c>
      <c r="M219" s="11" t="s">
        <v>28</v>
      </c>
      <c r="N219" s="14" t="s">
        <v>11</v>
      </c>
      <c r="O219" s="15">
        <v>476</v>
      </c>
      <c r="P219" s="12">
        <v>1</v>
      </c>
      <c r="Q219" s="13" t="s">
        <v>102</v>
      </c>
      <c r="R219" s="16">
        <v>3284000</v>
      </c>
      <c r="S219" s="17">
        <v>3040741</v>
      </c>
      <c r="T219" s="12">
        <v>0</v>
      </c>
      <c r="U219" s="18">
        <v>0</v>
      </c>
      <c r="V219" s="19">
        <v>0</v>
      </c>
      <c r="W219" s="13" t="s">
        <v>1225</v>
      </c>
      <c r="X219" s="14" t="s">
        <v>1334</v>
      </c>
      <c r="Y219" s="13" t="s">
        <v>130</v>
      </c>
      <c r="Z219" s="14" t="s">
        <v>954</v>
      </c>
      <c r="AA219" s="17">
        <v>15</v>
      </c>
      <c r="AB219" s="14" t="s">
        <v>1335</v>
      </c>
      <c r="AC219" s="17">
        <v>3284000</v>
      </c>
      <c r="AD219" s="14" t="s">
        <v>108</v>
      </c>
      <c r="AE219" s="17">
        <v>3040741</v>
      </c>
      <c r="AF219" s="14" t="s">
        <v>1144</v>
      </c>
      <c r="AG219" s="21" t="s">
        <v>131</v>
      </c>
      <c r="AH219" s="10">
        <v>1901638</v>
      </c>
      <c r="AI219" s="24" t="str">
        <f>VLOOKUP(Sales[[#This Row],[Store]],'Store lay bao  cao'!A:B,2,0)</f>
        <v>Lấy BC</v>
      </c>
      <c r="AJ219" s="24" t="str">
        <f>VLOOKUP(Sales[[#This Row],[Associate]],'Associate Status'!B:C,2,0)</f>
        <v>Active</v>
      </c>
    </row>
    <row r="220" spans="1:36" x14ac:dyDescent="0.25">
      <c r="A220" s="7">
        <v>2023</v>
      </c>
      <c r="B220" s="8">
        <v>11</v>
      </c>
      <c r="C220" s="8">
        <v>46</v>
      </c>
      <c r="D220" s="8" t="s">
        <v>57</v>
      </c>
      <c r="E220" s="8" t="s">
        <v>34</v>
      </c>
      <c r="F220" s="8" t="s">
        <v>57</v>
      </c>
      <c r="G220" s="9">
        <v>19583140</v>
      </c>
      <c r="H220" s="10">
        <v>17968500</v>
      </c>
      <c r="I220" s="11">
        <v>45236</v>
      </c>
      <c r="J220" s="12">
        <v>193279</v>
      </c>
      <c r="K220" s="13" t="s">
        <v>504</v>
      </c>
      <c r="L220" s="14" t="s">
        <v>58</v>
      </c>
      <c r="M220" s="11" t="s">
        <v>15</v>
      </c>
      <c r="N220" s="14" t="s">
        <v>11</v>
      </c>
      <c r="O220" s="15">
        <v>3164</v>
      </c>
      <c r="P220" s="12">
        <v>1</v>
      </c>
      <c r="Q220" s="13" t="s">
        <v>144</v>
      </c>
      <c r="R220" s="16">
        <v>52469000</v>
      </c>
      <c r="S220" s="17">
        <v>48582407</v>
      </c>
      <c r="T220" s="12">
        <v>0</v>
      </c>
      <c r="U220" s="18">
        <v>0</v>
      </c>
      <c r="V220" s="19">
        <v>0</v>
      </c>
      <c r="W220" s="13" t="s">
        <v>104</v>
      </c>
      <c r="X220" s="14" t="s">
        <v>1336</v>
      </c>
      <c r="Y220" s="13" t="s">
        <v>163</v>
      </c>
      <c r="Z220" s="14" t="s">
        <v>1123</v>
      </c>
      <c r="AA220" s="17">
        <v>12</v>
      </c>
      <c r="AB220" s="14" t="s">
        <v>1337</v>
      </c>
      <c r="AC220" s="17">
        <v>52469000</v>
      </c>
      <c r="AD220" s="14" t="s">
        <v>108</v>
      </c>
      <c r="AE220" s="17">
        <v>48582407</v>
      </c>
      <c r="AF220" s="14" t="s">
        <v>112</v>
      </c>
      <c r="AG220" s="20" t="s">
        <v>164</v>
      </c>
      <c r="AH220" s="10">
        <v>28999267</v>
      </c>
      <c r="AI220" s="24" t="str">
        <f>VLOOKUP(Sales[[#This Row],[Store]],'Store lay bao  cao'!A:B,2,0)</f>
        <v>Lấy BC</v>
      </c>
      <c r="AJ220" s="24" t="str">
        <f>VLOOKUP(Sales[[#This Row],[Associate]],'Associate Status'!B:C,2,0)</f>
        <v>Retired</v>
      </c>
    </row>
    <row r="221" spans="1:36" x14ac:dyDescent="0.25">
      <c r="A221" s="7">
        <v>2023</v>
      </c>
      <c r="B221" s="8">
        <v>11</v>
      </c>
      <c r="C221" s="8">
        <v>46</v>
      </c>
      <c r="D221" s="8" t="s">
        <v>30</v>
      </c>
      <c r="E221" s="8" t="s">
        <v>12</v>
      </c>
      <c r="F221" s="8" t="s">
        <v>30</v>
      </c>
      <c r="G221" s="9">
        <v>42124791</v>
      </c>
      <c r="H221" s="10">
        <v>32782500</v>
      </c>
      <c r="I221" s="11">
        <v>45238</v>
      </c>
      <c r="J221" s="12">
        <v>109922</v>
      </c>
      <c r="K221" s="13" t="s">
        <v>507</v>
      </c>
      <c r="L221" s="14" t="s">
        <v>44</v>
      </c>
      <c r="M221" s="11" t="s">
        <v>15</v>
      </c>
      <c r="N221" s="14" t="s">
        <v>11</v>
      </c>
      <c r="O221" s="15">
        <v>3175</v>
      </c>
      <c r="P221" s="12">
        <v>1</v>
      </c>
      <c r="Q221" s="13" t="s">
        <v>110</v>
      </c>
      <c r="R221" s="16">
        <v>91063000</v>
      </c>
      <c r="S221" s="17">
        <v>84317593</v>
      </c>
      <c r="T221" s="12">
        <v>0</v>
      </c>
      <c r="U221" s="18">
        <v>0</v>
      </c>
      <c r="V221" s="19">
        <v>0</v>
      </c>
      <c r="W221" s="13" t="s">
        <v>104</v>
      </c>
      <c r="X221" s="14" t="s">
        <v>700</v>
      </c>
      <c r="Y221" s="13" t="s">
        <v>265</v>
      </c>
      <c r="Z221" s="14" t="s">
        <v>701</v>
      </c>
      <c r="AA221" s="17">
        <v>11</v>
      </c>
      <c r="AB221" s="14" t="s">
        <v>263</v>
      </c>
      <c r="AC221" s="17">
        <v>91063000</v>
      </c>
      <c r="AD221" s="14" t="s">
        <v>108</v>
      </c>
      <c r="AE221" s="17">
        <v>84317593</v>
      </c>
      <c r="AF221" s="14" t="s">
        <v>136</v>
      </c>
      <c r="AG221" s="21" t="s">
        <v>266</v>
      </c>
      <c r="AH221" s="10">
        <v>42192802</v>
      </c>
      <c r="AI221" s="24" t="str">
        <f>VLOOKUP(Sales[[#This Row],[Store]],'Store lay bao  cao'!A:B,2,0)</f>
        <v>Lấy BC</v>
      </c>
      <c r="AJ221" s="24" t="str">
        <f>VLOOKUP(Sales[[#This Row],[Associate]],'Associate Status'!B:C,2,0)</f>
        <v>Active</v>
      </c>
    </row>
    <row r="222" spans="1:36" x14ac:dyDescent="0.25">
      <c r="A222" s="7">
        <v>2023</v>
      </c>
      <c r="B222" s="8">
        <v>11</v>
      </c>
      <c r="C222" s="8">
        <v>46</v>
      </c>
      <c r="D222" s="8" t="s">
        <v>57</v>
      </c>
      <c r="E222" s="8" t="s">
        <v>37</v>
      </c>
      <c r="F222" s="8" t="s">
        <v>57</v>
      </c>
      <c r="G222" s="9">
        <v>18396283</v>
      </c>
      <c r="H222" s="10">
        <v>16879500</v>
      </c>
      <c r="I222" s="11">
        <v>45241</v>
      </c>
      <c r="J222" s="12">
        <v>193277</v>
      </c>
      <c r="K222" s="13" t="s">
        <v>1339</v>
      </c>
      <c r="L222" s="14" t="s">
        <v>58</v>
      </c>
      <c r="M222" s="11" t="s">
        <v>17</v>
      </c>
      <c r="N222" s="14" t="s">
        <v>11</v>
      </c>
      <c r="O222" s="15">
        <v>7428</v>
      </c>
      <c r="P222" s="12">
        <v>1</v>
      </c>
      <c r="Q222" s="13" t="s">
        <v>175</v>
      </c>
      <c r="R222" s="16">
        <v>44360100</v>
      </c>
      <c r="S222" s="17">
        <v>41074167</v>
      </c>
      <c r="T222" s="12">
        <v>10</v>
      </c>
      <c r="U222" s="18">
        <v>4563796</v>
      </c>
      <c r="V222" s="19">
        <v>4928900</v>
      </c>
      <c r="W222" s="13" t="s">
        <v>140</v>
      </c>
      <c r="X222" s="14" t="s">
        <v>1340</v>
      </c>
      <c r="Y222" s="13" t="s">
        <v>218</v>
      </c>
      <c r="Z222" s="22" t="s">
        <v>1125</v>
      </c>
      <c r="AA222" s="17">
        <v>18</v>
      </c>
      <c r="AB222" s="14" t="s">
        <v>1337</v>
      </c>
      <c r="AC222" s="17">
        <v>49289000</v>
      </c>
      <c r="AD222" s="14">
        <v>395</v>
      </c>
      <c r="AE222" s="17">
        <v>45637963</v>
      </c>
      <c r="AF222" s="14" t="s">
        <v>113</v>
      </c>
      <c r="AG222" s="20" t="s">
        <v>219</v>
      </c>
      <c r="AH222" s="10">
        <v>22677884</v>
      </c>
      <c r="AI222" s="24" t="str">
        <f>VLOOKUP(Sales[[#This Row],[Store]],'Store lay bao  cao'!A:B,2,0)</f>
        <v>Lấy BC</v>
      </c>
      <c r="AJ222" s="24" t="str">
        <f>VLOOKUP(Sales[[#This Row],[Associate]],'Associate Status'!B:C,2,0)</f>
        <v>Active</v>
      </c>
    </row>
    <row r="223" spans="1:36" x14ac:dyDescent="0.25">
      <c r="A223" s="7">
        <v>2023</v>
      </c>
      <c r="B223" s="8">
        <v>11</v>
      </c>
      <c r="C223" s="8">
        <v>47</v>
      </c>
      <c r="D223" s="8" t="s">
        <v>51</v>
      </c>
      <c r="E223" s="8" t="s">
        <v>37</v>
      </c>
      <c r="F223" s="8" t="s">
        <v>51</v>
      </c>
      <c r="G223" s="9">
        <v>1759667</v>
      </c>
      <c r="H223" s="10">
        <v>1534000</v>
      </c>
      <c r="I223" s="11">
        <v>45244</v>
      </c>
      <c r="J223" s="12">
        <v>174891</v>
      </c>
      <c r="K223" s="13" t="s">
        <v>509</v>
      </c>
      <c r="L223" s="14" t="s">
        <v>47</v>
      </c>
      <c r="M223" s="11" t="s">
        <v>15</v>
      </c>
      <c r="N223" s="14" t="s">
        <v>11</v>
      </c>
      <c r="O223" s="15">
        <v>3196</v>
      </c>
      <c r="P223" s="12">
        <v>1</v>
      </c>
      <c r="Q223" s="13" t="s">
        <v>102</v>
      </c>
      <c r="R223" s="16">
        <v>8555000</v>
      </c>
      <c r="S223" s="17">
        <v>7921296</v>
      </c>
      <c r="T223" s="12">
        <v>0</v>
      </c>
      <c r="U223" s="18">
        <v>0</v>
      </c>
      <c r="V223" s="19">
        <v>0</v>
      </c>
      <c r="W223" s="13" t="s">
        <v>104</v>
      </c>
      <c r="X223" s="14" t="s">
        <v>932</v>
      </c>
      <c r="Y223" s="13" t="s">
        <v>228</v>
      </c>
      <c r="Z223" s="14" t="s">
        <v>935</v>
      </c>
      <c r="AA223" s="17">
        <v>14</v>
      </c>
      <c r="AB223" s="14" t="s">
        <v>161</v>
      </c>
      <c r="AC223" s="17">
        <v>8555000</v>
      </c>
      <c r="AD223" s="14" t="s">
        <v>849</v>
      </c>
      <c r="AE223" s="17">
        <v>7921296</v>
      </c>
      <c r="AF223" s="14" t="s">
        <v>2594</v>
      </c>
      <c r="AG223" s="21" t="s">
        <v>229</v>
      </c>
      <c r="AH223" s="10">
        <v>6161629</v>
      </c>
      <c r="AI223" s="24" t="str">
        <f>VLOOKUP(Sales[[#This Row],[Store]],'Store lay bao  cao'!A:B,2,0)</f>
        <v>Lấy BC</v>
      </c>
      <c r="AJ223" s="24" t="e">
        <f>VLOOKUP(Sales[[#This Row],[Associate]],'Associate Status'!B:C,2,0)</f>
        <v>#N/A</v>
      </c>
    </row>
    <row r="224" spans="1:36" x14ac:dyDescent="0.25">
      <c r="A224" s="7">
        <v>2023</v>
      </c>
      <c r="B224" s="8">
        <v>11</v>
      </c>
      <c r="C224" s="8">
        <v>47</v>
      </c>
      <c r="D224" s="8" t="s">
        <v>52</v>
      </c>
      <c r="E224" s="8" t="s">
        <v>53</v>
      </c>
      <c r="F224" s="8" t="s">
        <v>52</v>
      </c>
      <c r="G224" s="9">
        <v>3383734</v>
      </c>
      <c r="H224" s="10">
        <v>3435750</v>
      </c>
      <c r="I224" s="11">
        <v>45244</v>
      </c>
      <c r="J224" s="12">
        <v>182206</v>
      </c>
      <c r="K224" s="13" t="s">
        <v>1341</v>
      </c>
      <c r="L224" s="14" t="s">
        <v>50</v>
      </c>
      <c r="M224" s="11" t="s">
        <v>17</v>
      </c>
      <c r="N224" s="14" t="s">
        <v>11</v>
      </c>
      <c r="O224" s="15">
        <v>7434</v>
      </c>
      <c r="P224" s="12">
        <v>1</v>
      </c>
      <c r="Q224" s="13" t="s">
        <v>101</v>
      </c>
      <c r="R224" s="16">
        <v>10995000</v>
      </c>
      <c r="S224" s="17">
        <v>10180556</v>
      </c>
      <c r="T224" s="12">
        <v>0</v>
      </c>
      <c r="U224" s="18">
        <v>0</v>
      </c>
      <c r="V224" s="19">
        <v>0</v>
      </c>
      <c r="W224" s="13" t="s">
        <v>427</v>
      </c>
      <c r="X224" s="14" t="s">
        <v>1342</v>
      </c>
      <c r="Y224" s="13" t="s">
        <v>267</v>
      </c>
      <c r="Z224" s="14" t="s">
        <v>1343</v>
      </c>
      <c r="AA224" s="17">
        <v>17</v>
      </c>
      <c r="AB224" s="14" t="s">
        <v>1344</v>
      </c>
      <c r="AC224" s="17">
        <v>10995000</v>
      </c>
      <c r="AD224" s="14" t="s">
        <v>108</v>
      </c>
      <c r="AE224" s="17">
        <v>10180556</v>
      </c>
      <c r="AF224" s="14" t="s">
        <v>885</v>
      </c>
      <c r="AG224" s="20" t="s">
        <v>268</v>
      </c>
      <c r="AH224" s="10">
        <v>6796822</v>
      </c>
      <c r="AI224" s="24" t="str">
        <f>VLOOKUP(Sales[[#This Row],[Store]],'Store lay bao  cao'!A:B,2,0)</f>
        <v>Lấy BC</v>
      </c>
      <c r="AJ224" s="24" t="str">
        <f>VLOOKUP(Sales[[#This Row],[Associate]],'Associate Status'!B:C,2,0)</f>
        <v>Retired</v>
      </c>
    </row>
    <row r="225" spans="1:36" x14ac:dyDescent="0.25">
      <c r="A225" s="7">
        <v>2023</v>
      </c>
      <c r="B225" s="8">
        <v>11</v>
      </c>
      <c r="C225" s="8">
        <v>47</v>
      </c>
      <c r="D225" s="8" t="s">
        <v>52</v>
      </c>
      <c r="E225" s="8" t="s">
        <v>34</v>
      </c>
      <c r="F225" s="8" t="s">
        <v>52</v>
      </c>
      <c r="G225" s="9">
        <v>54642566</v>
      </c>
      <c r="H225" s="10">
        <v>50987250</v>
      </c>
      <c r="I225" s="11">
        <v>45246</v>
      </c>
      <c r="J225" s="12">
        <v>182561</v>
      </c>
      <c r="K225" s="13" t="s">
        <v>1345</v>
      </c>
      <c r="L225" s="14" t="s">
        <v>44</v>
      </c>
      <c r="M225" s="11" t="s">
        <v>28</v>
      </c>
      <c r="N225" s="14" t="s">
        <v>11</v>
      </c>
      <c r="O225" s="15">
        <v>494</v>
      </c>
      <c r="P225" s="12">
        <v>1</v>
      </c>
      <c r="Q225" s="13" t="s">
        <v>101</v>
      </c>
      <c r="R225" s="16">
        <v>129412800</v>
      </c>
      <c r="S225" s="17">
        <v>119826667</v>
      </c>
      <c r="T225" s="12">
        <v>5</v>
      </c>
      <c r="U225" s="18">
        <v>6306667</v>
      </c>
      <c r="V225" s="19">
        <v>6811200</v>
      </c>
      <c r="W225" s="13" t="s">
        <v>484</v>
      </c>
      <c r="X225" s="14" t="s">
        <v>1346</v>
      </c>
      <c r="Y225" s="13" t="s">
        <v>922</v>
      </c>
      <c r="Z225" s="14" t="s">
        <v>1347</v>
      </c>
      <c r="AA225" s="17">
        <v>12</v>
      </c>
      <c r="AB225" s="14" t="s">
        <v>1129</v>
      </c>
      <c r="AC225" s="17">
        <v>136224000</v>
      </c>
      <c r="AD225" s="14" t="s">
        <v>108</v>
      </c>
      <c r="AE225" s="17">
        <v>126133333</v>
      </c>
      <c r="AF225" s="14" t="s">
        <v>123</v>
      </c>
      <c r="AG225" s="21" t="s">
        <v>923</v>
      </c>
      <c r="AH225" s="10">
        <v>65184101</v>
      </c>
      <c r="AI225" s="24" t="str">
        <f>VLOOKUP(Sales[[#This Row],[Store]],'Store lay bao  cao'!A:B,2,0)</f>
        <v>Lấy BC</v>
      </c>
      <c r="AJ225" s="24" t="str">
        <f>VLOOKUP(Sales[[#This Row],[Associate]],'Associate Status'!B:C,2,0)</f>
        <v>Active</v>
      </c>
    </row>
    <row r="226" spans="1:36" x14ac:dyDescent="0.25">
      <c r="A226" s="7">
        <v>2023</v>
      </c>
      <c r="B226" s="8">
        <v>11</v>
      </c>
      <c r="C226" s="8">
        <v>47</v>
      </c>
      <c r="D226" s="8" t="s">
        <v>57</v>
      </c>
      <c r="E226" s="8" t="s">
        <v>34</v>
      </c>
      <c r="F226" s="8" t="s">
        <v>57</v>
      </c>
      <c r="G226" s="9">
        <v>12030413</v>
      </c>
      <c r="H226" s="10">
        <v>11038500</v>
      </c>
      <c r="I226" s="11">
        <v>45248</v>
      </c>
      <c r="J226" s="12">
        <v>193280</v>
      </c>
      <c r="K226" s="13" t="s">
        <v>1348</v>
      </c>
      <c r="L226" s="14" t="s">
        <v>58</v>
      </c>
      <c r="M226" s="11" t="s">
        <v>15</v>
      </c>
      <c r="N226" s="14" t="s">
        <v>11</v>
      </c>
      <c r="O226" s="15">
        <v>3241</v>
      </c>
      <c r="P226" s="12">
        <v>1</v>
      </c>
      <c r="Q226" s="13" t="s">
        <v>101</v>
      </c>
      <c r="R226" s="16">
        <v>32233000</v>
      </c>
      <c r="S226" s="17">
        <v>29845370</v>
      </c>
      <c r="T226" s="12">
        <v>0</v>
      </c>
      <c r="U226" s="18">
        <v>0</v>
      </c>
      <c r="V226" s="19">
        <v>0</v>
      </c>
      <c r="W226" s="13" t="s">
        <v>135</v>
      </c>
      <c r="X226" s="14" t="s">
        <v>1349</v>
      </c>
      <c r="Y226" s="13" t="s">
        <v>378</v>
      </c>
      <c r="Z226" s="14" t="s">
        <v>1350</v>
      </c>
      <c r="AA226" s="17">
        <v>18</v>
      </c>
      <c r="AB226" s="14" t="s">
        <v>1337</v>
      </c>
      <c r="AC226" s="17">
        <v>32233000</v>
      </c>
      <c r="AD226" s="14" t="s">
        <v>108</v>
      </c>
      <c r="AE226" s="17">
        <v>29845370</v>
      </c>
      <c r="AF226" s="14" t="s">
        <v>109</v>
      </c>
      <c r="AG226" s="20" t="s">
        <v>763</v>
      </c>
      <c r="AH226" s="10">
        <v>17814957</v>
      </c>
      <c r="AI226" s="24" t="str">
        <f>VLOOKUP(Sales[[#This Row],[Store]],'Store lay bao  cao'!A:B,2,0)</f>
        <v>Lấy BC</v>
      </c>
      <c r="AJ226" s="24" t="str">
        <f>VLOOKUP(Sales[[#This Row],[Associate]],'Associate Status'!B:C,2,0)</f>
        <v>Active</v>
      </c>
    </row>
    <row r="227" spans="1:36" x14ac:dyDescent="0.25">
      <c r="A227" s="7">
        <v>2023</v>
      </c>
      <c r="B227" s="8">
        <v>11</v>
      </c>
      <c r="C227" s="8">
        <v>48</v>
      </c>
      <c r="D227" s="8" t="s">
        <v>57</v>
      </c>
      <c r="E227" s="8" t="s">
        <v>53</v>
      </c>
      <c r="F227" s="8" t="s">
        <v>57</v>
      </c>
      <c r="G227" s="9">
        <v>26785203</v>
      </c>
      <c r="H227" s="10">
        <v>24576750</v>
      </c>
      <c r="I227" s="11">
        <v>45252</v>
      </c>
      <c r="J227" s="12">
        <v>193273</v>
      </c>
      <c r="K227" s="13" t="s">
        <v>1352</v>
      </c>
      <c r="L227" s="14" t="s">
        <v>58</v>
      </c>
      <c r="M227" s="11" t="s">
        <v>17</v>
      </c>
      <c r="N227" s="14" t="s">
        <v>11</v>
      </c>
      <c r="O227" s="15">
        <v>7486</v>
      </c>
      <c r="P227" s="12">
        <v>1</v>
      </c>
      <c r="Q227" s="13" t="s">
        <v>175</v>
      </c>
      <c r="R227" s="16">
        <v>64588500</v>
      </c>
      <c r="S227" s="17">
        <v>59804167</v>
      </c>
      <c r="T227" s="12">
        <v>10</v>
      </c>
      <c r="U227" s="18">
        <v>6644907</v>
      </c>
      <c r="V227" s="19">
        <v>7176500</v>
      </c>
      <c r="W227" s="13" t="s">
        <v>427</v>
      </c>
      <c r="X227" s="14" t="s">
        <v>1353</v>
      </c>
      <c r="Y227" s="13" t="s">
        <v>218</v>
      </c>
      <c r="Z227" s="14" t="s">
        <v>1354</v>
      </c>
      <c r="AA227" s="17">
        <v>17</v>
      </c>
      <c r="AB227" s="14" t="s">
        <v>1337</v>
      </c>
      <c r="AC227" s="17">
        <v>71765000</v>
      </c>
      <c r="AD227" s="14">
        <v>195</v>
      </c>
      <c r="AE227" s="17">
        <v>66449074</v>
      </c>
      <c r="AF227" s="14" t="s">
        <v>113</v>
      </c>
      <c r="AG227" s="21" t="s">
        <v>219</v>
      </c>
      <c r="AH227" s="10">
        <v>33018964</v>
      </c>
      <c r="AI227" s="24" t="str">
        <f>VLOOKUP(Sales[[#This Row],[Store]],'Store lay bao  cao'!A:B,2,0)</f>
        <v>Lấy BC</v>
      </c>
      <c r="AJ227" s="24" t="str">
        <f>VLOOKUP(Sales[[#This Row],[Associate]],'Associate Status'!B:C,2,0)</f>
        <v>Active</v>
      </c>
    </row>
    <row r="228" spans="1:36" x14ac:dyDescent="0.25">
      <c r="A228" s="7">
        <v>2023</v>
      </c>
      <c r="B228" s="8">
        <v>11</v>
      </c>
      <c r="C228" s="8">
        <v>48</v>
      </c>
      <c r="D228" s="8" t="s">
        <v>57</v>
      </c>
      <c r="E228" s="8" t="s">
        <v>34</v>
      </c>
      <c r="F228" s="8" t="s">
        <v>57</v>
      </c>
      <c r="G228" s="9">
        <v>12030413</v>
      </c>
      <c r="H228" s="10">
        <v>11038500</v>
      </c>
      <c r="I228" s="11">
        <v>45256</v>
      </c>
      <c r="J228" s="12">
        <v>193280</v>
      </c>
      <c r="K228" s="13" t="s">
        <v>1355</v>
      </c>
      <c r="L228" s="14" t="s">
        <v>58</v>
      </c>
      <c r="M228" s="11" t="s">
        <v>28</v>
      </c>
      <c r="N228" s="14" t="s">
        <v>11</v>
      </c>
      <c r="O228" s="15">
        <v>668</v>
      </c>
      <c r="P228" s="12">
        <v>1</v>
      </c>
      <c r="Q228" s="13" t="s">
        <v>101</v>
      </c>
      <c r="R228" s="16">
        <v>32233000</v>
      </c>
      <c r="S228" s="17">
        <v>29845370</v>
      </c>
      <c r="T228" s="12">
        <v>0</v>
      </c>
      <c r="U228" s="18">
        <v>0</v>
      </c>
      <c r="V228" s="19">
        <v>0</v>
      </c>
      <c r="W228" s="13" t="s">
        <v>484</v>
      </c>
      <c r="X228" s="14" t="s">
        <v>1349</v>
      </c>
      <c r="Y228" s="13" t="s">
        <v>844</v>
      </c>
      <c r="Z228" s="14" t="s">
        <v>1350</v>
      </c>
      <c r="AA228" s="17">
        <v>13</v>
      </c>
      <c r="AB228" s="14" t="s">
        <v>1337</v>
      </c>
      <c r="AC228" s="17">
        <v>32233000</v>
      </c>
      <c r="AD228" s="14" t="s">
        <v>108</v>
      </c>
      <c r="AE228" s="17">
        <v>29845370</v>
      </c>
      <c r="AF228" s="14" t="s">
        <v>139</v>
      </c>
      <c r="AG228" s="20" t="s">
        <v>236</v>
      </c>
      <c r="AH228" s="10">
        <v>17814957</v>
      </c>
      <c r="AI228" s="24" t="str">
        <f>VLOOKUP(Sales[[#This Row],[Store]],'Store lay bao  cao'!A:B,2,0)</f>
        <v>Lấy BC</v>
      </c>
      <c r="AJ228" s="24" t="str">
        <f>VLOOKUP(Sales[[#This Row],[Associate]],'Associate Status'!B:C,2,0)</f>
        <v>Active</v>
      </c>
    </row>
    <row r="229" spans="1:36" x14ac:dyDescent="0.25">
      <c r="A229" s="7">
        <v>2023</v>
      </c>
      <c r="B229" s="8">
        <v>11</v>
      </c>
      <c r="C229" s="8">
        <v>49</v>
      </c>
      <c r="D229" s="8" t="s">
        <v>57</v>
      </c>
      <c r="E229" s="8" t="s">
        <v>34</v>
      </c>
      <c r="F229" s="8" t="s">
        <v>57</v>
      </c>
      <c r="G229" s="9">
        <v>-12030413</v>
      </c>
      <c r="H229" s="10">
        <v>-11038500</v>
      </c>
      <c r="I229" s="11">
        <v>45257</v>
      </c>
      <c r="J229" s="12">
        <v>193280</v>
      </c>
      <c r="K229" s="13" t="s">
        <v>1356</v>
      </c>
      <c r="L229" s="14" t="s">
        <v>58</v>
      </c>
      <c r="M229" s="11" t="s">
        <v>28</v>
      </c>
      <c r="N229" s="14" t="s">
        <v>11</v>
      </c>
      <c r="O229" s="15">
        <v>712</v>
      </c>
      <c r="P229" s="12">
        <v>-1</v>
      </c>
      <c r="Q229" s="13" t="s">
        <v>101</v>
      </c>
      <c r="R229" s="16">
        <v>-32233000</v>
      </c>
      <c r="S229" s="17">
        <v>-29845370</v>
      </c>
      <c r="T229" s="12">
        <v>0</v>
      </c>
      <c r="U229" s="18">
        <v>0</v>
      </c>
      <c r="V229" s="19">
        <v>0</v>
      </c>
      <c r="W229" s="13" t="s">
        <v>1225</v>
      </c>
      <c r="X229" s="14" t="s">
        <v>1349</v>
      </c>
      <c r="Y229" s="13" t="s">
        <v>844</v>
      </c>
      <c r="Z229" s="14" t="s">
        <v>1350</v>
      </c>
      <c r="AA229" s="17">
        <v>16</v>
      </c>
      <c r="AB229" s="14" t="s">
        <v>1337</v>
      </c>
      <c r="AC229" s="17">
        <v>-32233000</v>
      </c>
      <c r="AD229" s="14" t="s">
        <v>108</v>
      </c>
      <c r="AE229" s="17">
        <v>-29845370</v>
      </c>
      <c r="AF229" s="14" t="s">
        <v>139</v>
      </c>
      <c r="AG229" s="21" t="s">
        <v>236</v>
      </c>
      <c r="AH229" s="10">
        <v>-17814957</v>
      </c>
      <c r="AI229" s="24" t="str">
        <f>VLOOKUP(Sales[[#This Row],[Store]],'Store lay bao  cao'!A:B,2,0)</f>
        <v>Lấy BC</v>
      </c>
      <c r="AJ229" s="24" t="str">
        <f>VLOOKUP(Sales[[#This Row],[Associate]],'Associate Status'!B:C,2,0)</f>
        <v>Active</v>
      </c>
    </row>
    <row r="230" spans="1:36" x14ac:dyDescent="0.25">
      <c r="A230" s="7">
        <v>2023</v>
      </c>
      <c r="B230" s="8">
        <v>11</v>
      </c>
      <c r="C230" s="8">
        <v>49</v>
      </c>
      <c r="D230" s="8" t="s">
        <v>52</v>
      </c>
      <c r="E230" s="8" t="s">
        <v>37</v>
      </c>
      <c r="F230" s="8" t="s">
        <v>52</v>
      </c>
      <c r="G230" s="9">
        <v>3358190</v>
      </c>
      <c r="H230" s="10">
        <v>2838000</v>
      </c>
      <c r="I230" s="11">
        <v>45258</v>
      </c>
      <c r="J230" s="12">
        <v>186486</v>
      </c>
      <c r="K230" s="13" t="s">
        <v>1360</v>
      </c>
      <c r="L230" s="14" t="s">
        <v>19</v>
      </c>
      <c r="M230" s="11" t="s">
        <v>28</v>
      </c>
      <c r="N230" s="14" t="s">
        <v>11</v>
      </c>
      <c r="O230" s="15">
        <v>745</v>
      </c>
      <c r="P230" s="12">
        <v>1</v>
      </c>
      <c r="Q230" s="13" t="s">
        <v>102</v>
      </c>
      <c r="R230" s="16">
        <v>8762800</v>
      </c>
      <c r="S230" s="17">
        <v>8113704</v>
      </c>
      <c r="T230" s="12">
        <v>5</v>
      </c>
      <c r="U230" s="18">
        <v>427037</v>
      </c>
      <c r="V230" s="19">
        <v>461200</v>
      </c>
      <c r="W230" s="13" t="s">
        <v>484</v>
      </c>
      <c r="X230" s="14" t="s">
        <v>1361</v>
      </c>
      <c r="Y230" s="13" t="s">
        <v>251</v>
      </c>
      <c r="Z230" s="14" t="s">
        <v>1362</v>
      </c>
      <c r="AA230" s="17">
        <v>21</v>
      </c>
      <c r="AB230" s="14" t="s">
        <v>422</v>
      </c>
      <c r="AC230" s="17">
        <v>9224000</v>
      </c>
      <c r="AD230" s="14" t="s">
        <v>108</v>
      </c>
      <c r="AE230" s="17">
        <v>8540741</v>
      </c>
      <c r="AF230" s="14" t="s">
        <v>121</v>
      </c>
      <c r="AG230" s="20" t="s">
        <v>252</v>
      </c>
      <c r="AH230" s="10">
        <v>4755514</v>
      </c>
      <c r="AI230" s="24" t="str">
        <f>VLOOKUP(Sales[[#This Row],[Store]],'Store lay bao  cao'!A:B,2,0)</f>
        <v>Lấy BC</v>
      </c>
      <c r="AJ230" s="24" t="str">
        <f>VLOOKUP(Sales[[#This Row],[Associate]],'Associate Status'!B:C,2,0)</f>
        <v>Active</v>
      </c>
    </row>
    <row r="231" spans="1:36" x14ac:dyDescent="0.25">
      <c r="A231" s="7">
        <v>2023</v>
      </c>
      <c r="B231" s="8">
        <v>11</v>
      </c>
      <c r="C231" s="8">
        <v>49</v>
      </c>
      <c r="D231" s="8" t="s">
        <v>52</v>
      </c>
      <c r="E231" s="8" t="s">
        <v>37</v>
      </c>
      <c r="F231" s="8" t="s">
        <v>52</v>
      </c>
      <c r="G231" s="9">
        <v>5184701</v>
      </c>
      <c r="H231" s="10">
        <v>4386000</v>
      </c>
      <c r="I231" s="11">
        <v>45258</v>
      </c>
      <c r="J231" s="12">
        <v>186485</v>
      </c>
      <c r="K231" s="13" t="s">
        <v>1360</v>
      </c>
      <c r="L231" s="14" t="s">
        <v>19</v>
      </c>
      <c r="M231" s="11" t="s">
        <v>28</v>
      </c>
      <c r="N231" s="14" t="s">
        <v>11</v>
      </c>
      <c r="O231" s="15">
        <v>745</v>
      </c>
      <c r="P231" s="12">
        <v>1</v>
      </c>
      <c r="Q231" s="13" t="s">
        <v>102</v>
      </c>
      <c r="R231" s="16">
        <v>13542250</v>
      </c>
      <c r="S231" s="17">
        <v>12539120</v>
      </c>
      <c r="T231" s="12">
        <v>5</v>
      </c>
      <c r="U231" s="18">
        <v>659954</v>
      </c>
      <c r="V231" s="19">
        <v>712750</v>
      </c>
      <c r="W231" s="13" t="s">
        <v>484</v>
      </c>
      <c r="X231" s="14" t="s">
        <v>1363</v>
      </c>
      <c r="Y231" s="13" t="s">
        <v>251</v>
      </c>
      <c r="Z231" s="14" t="s">
        <v>1364</v>
      </c>
      <c r="AA231" s="17">
        <v>21</v>
      </c>
      <c r="AB231" s="14" t="s">
        <v>422</v>
      </c>
      <c r="AC231" s="17">
        <v>14255000</v>
      </c>
      <c r="AD231" s="14" t="s">
        <v>108</v>
      </c>
      <c r="AE231" s="17">
        <v>13199074</v>
      </c>
      <c r="AF231" s="14" t="s">
        <v>121</v>
      </c>
      <c r="AG231" s="21" t="s">
        <v>252</v>
      </c>
      <c r="AH231" s="10">
        <v>7354419</v>
      </c>
      <c r="AI231" s="24" t="str">
        <f>VLOOKUP(Sales[[#This Row],[Store]],'Store lay bao  cao'!A:B,2,0)</f>
        <v>Lấy BC</v>
      </c>
      <c r="AJ231" s="24" t="str">
        <f>VLOOKUP(Sales[[#This Row],[Associate]],'Associate Status'!B:C,2,0)</f>
        <v>Active</v>
      </c>
    </row>
    <row r="232" spans="1:36" x14ac:dyDescent="0.25">
      <c r="A232" s="7">
        <v>2023</v>
      </c>
      <c r="B232" s="8">
        <v>12</v>
      </c>
      <c r="C232" s="8">
        <v>50</v>
      </c>
      <c r="D232" s="8" t="s">
        <v>52</v>
      </c>
      <c r="E232" s="8" t="s">
        <v>37</v>
      </c>
      <c r="F232" s="8" t="s">
        <v>52</v>
      </c>
      <c r="G232" s="9">
        <v>5155938</v>
      </c>
      <c r="H232" s="10">
        <v>4644000</v>
      </c>
      <c r="I232" s="11">
        <v>45265</v>
      </c>
      <c r="J232" s="12">
        <v>182228</v>
      </c>
      <c r="K232" s="13" t="s">
        <v>824</v>
      </c>
      <c r="L232" s="14" t="s">
        <v>50</v>
      </c>
      <c r="M232" s="11" t="s">
        <v>21</v>
      </c>
      <c r="N232" s="14" t="s">
        <v>11</v>
      </c>
      <c r="O232" s="15">
        <v>5492</v>
      </c>
      <c r="P232" s="12">
        <v>1</v>
      </c>
      <c r="Q232" s="13" t="s">
        <v>101</v>
      </c>
      <c r="R232" s="16">
        <v>14861000</v>
      </c>
      <c r="S232" s="17">
        <v>13760185</v>
      </c>
      <c r="T232" s="12">
        <v>0</v>
      </c>
      <c r="U232" s="18">
        <v>0</v>
      </c>
      <c r="V232" s="19">
        <v>0</v>
      </c>
      <c r="W232" s="13" t="s">
        <v>160</v>
      </c>
      <c r="X232" s="14" t="s">
        <v>1365</v>
      </c>
      <c r="Y232" s="13" t="s">
        <v>314</v>
      </c>
      <c r="Z232" s="14" t="s">
        <v>894</v>
      </c>
      <c r="AA232" s="17">
        <v>11</v>
      </c>
      <c r="AB232" s="14" t="s">
        <v>1366</v>
      </c>
      <c r="AC232" s="17">
        <v>14861000</v>
      </c>
      <c r="AD232" s="14" t="s">
        <v>108</v>
      </c>
      <c r="AE232" s="17">
        <v>13760185</v>
      </c>
      <c r="AF232" s="14" t="s">
        <v>132</v>
      </c>
      <c r="AG232" s="20" t="s">
        <v>315</v>
      </c>
      <c r="AH232" s="10">
        <v>8604247</v>
      </c>
      <c r="AI232" s="24" t="str">
        <f>VLOOKUP(Sales[[#This Row],[Store]],'Store lay bao  cao'!A:B,2,0)</f>
        <v>Lấy BC</v>
      </c>
      <c r="AJ232" s="24" t="str">
        <f>VLOOKUP(Sales[[#This Row],[Associate]],'Associate Status'!B:C,2,0)</f>
        <v>Retired</v>
      </c>
    </row>
    <row r="233" spans="1:36" x14ac:dyDescent="0.25">
      <c r="A233" s="7">
        <v>2023</v>
      </c>
      <c r="B233" s="8">
        <v>12</v>
      </c>
      <c r="C233" s="8">
        <v>50</v>
      </c>
      <c r="D233" s="8" t="s">
        <v>51</v>
      </c>
      <c r="E233" s="8" t="s">
        <v>37</v>
      </c>
      <c r="F233" s="8" t="s">
        <v>51</v>
      </c>
      <c r="G233" s="9">
        <v>1336670</v>
      </c>
      <c r="H233" s="10">
        <v>1165250</v>
      </c>
      <c r="I233" s="11">
        <v>45265</v>
      </c>
      <c r="J233" s="12">
        <v>174874</v>
      </c>
      <c r="K233" s="13" t="s">
        <v>824</v>
      </c>
      <c r="L233" s="14" t="s">
        <v>47</v>
      </c>
      <c r="M233" s="11" t="s">
        <v>21</v>
      </c>
      <c r="N233" s="14" t="s">
        <v>11</v>
      </c>
      <c r="O233" s="15">
        <v>5492</v>
      </c>
      <c r="P233" s="12">
        <v>1</v>
      </c>
      <c r="Q233" s="13" t="s">
        <v>101</v>
      </c>
      <c r="R233" s="16">
        <v>6490000</v>
      </c>
      <c r="S233" s="17">
        <v>6009259</v>
      </c>
      <c r="T233" s="12">
        <v>0</v>
      </c>
      <c r="U233" s="18">
        <v>0</v>
      </c>
      <c r="V233" s="19">
        <v>0</v>
      </c>
      <c r="W233" s="13" t="s">
        <v>160</v>
      </c>
      <c r="X233" s="14" t="s">
        <v>1007</v>
      </c>
      <c r="Y233" s="13" t="s">
        <v>314</v>
      </c>
      <c r="Z233" s="22" t="s">
        <v>850</v>
      </c>
      <c r="AA233" s="17">
        <v>11</v>
      </c>
      <c r="AB233" s="14" t="s">
        <v>944</v>
      </c>
      <c r="AC233" s="17">
        <v>6490000</v>
      </c>
      <c r="AD233" s="14" t="s">
        <v>849</v>
      </c>
      <c r="AE233" s="17">
        <v>6009259</v>
      </c>
      <c r="AF233" s="14" t="s">
        <v>132</v>
      </c>
      <c r="AG233" s="21" t="s">
        <v>315</v>
      </c>
      <c r="AH233" s="10">
        <v>4672589</v>
      </c>
      <c r="AI233" s="24" t="str">
        <f>VLOOKUP(Sales[[#This Row],[Store]],'Store lay bao  cao'!A:B,2,0)</f>
        <v>Lấy BC</v>
      </c>
      <c r="AJ233" s="24" t="str">
        <f>VLOOKUP(Sales[[#This Row],[Associate]],'Associate Status'!B:C,2,0)</f>
        <v>Retired</v>
      </c>
    </row>
    <row r="234" spans="1:36" x14ac:dyDescent="0.25">
      <c r="A234" s="7">
        <v>2023</v>
      </c>
      <c r="B234" s="8">
        <v>12</v>
      </c>
      <c r="C234" s="8">
        <v>51</v>
      </c>
      <c r="D234" s="8" t="s">
        <v>57</v>
      </c>
      <c r="E234" s="8" t="s">
        <v>34</v>
      </c>
      <c r="F234" s="8" t="s">
        <v>57</v>
      </c>
      <c r="G234" s="9">
        <v>-139997498</v>
      </c>
      <c r="H234" s="10">
        <v>-128174400</v>
      </c>
      <c r="I234" s="11">
        <v>45271</v>
      </c>
      <c r="J234" s="12">
        <v>193095</v>
      </c>
      <c r="K234" s="13" t="s">
        <v>1368</v>
      </c>
      <c r="L234" s="14" t="s">
        <v>59</v>
      </c>
      <c r="M234" s="11" t="s">
        <v>28</v>
      </c>
      <c r="N234" s="14" t="s">
        <v>11</v>
      </c>
      <c r="O234" s="15">
        <v>809</v>
      </c>
      <c r="P234" s="12">
        <v>-1</v>
      </c>
      <c r="Q234" s="13" t="s">
        <v>156</v>
      </c>
      <c r="R234" s="16">
        <v>-288392400</v>
      </c>
      <c r="S234" s="17">
        <v>-267030000</v>
      </c>
      <c r="T234" s="12">
        <v>10</v>
      </c>
      <c r="U234" s="18">
        <v>-29670000</v>
      </c>
      <c r="V234" s="19">
        <v>-32043600</v>
      </c>
      <c r="W234" s="13" t="s">
        <v>1225</v>
      </c>
      <c r="X234" s="14" t="s">
        <v>1294</v>
      </c>
      <c r="Y234" s="13" t="s">
        <v>158</v>
      </c>
      <c r="Z234" s="14" t="s">
        <v>1295</v>
      </c>
      <c r="AA234" s="17">
        <v>15</v>
      </c>
      <c r="AB234" s="14" t="s">
        <v>173</v>
      </c>
      <c r="AC234" s="17">
        <v>-320436000</v>
      </c>
      <c r="AD234" s="14" t="s">
        <v>924</v>
      </c>
      <c r="AE234" s="17">
        <v>-296700000</v>
      </c>
      <c r="AF234" s="14" t="s">
        <v>121</v>
      </c>
      <c r="AG234" s="20" t="s">
        <v>159</v>
      </c>
      <c r="AH234" s="10">
        <v>-127032502</v>
      </c>
      <c r="AI234" s="24" t="str">
        <f>VLOOKUP(Sales[[#This Row],[Store]],'Store lay bao  cao'!A:B,2,0)</f>
        <v>Lấy BC</v>
      </c>
      <c r="AJ234" s="24" t="str">
        <f>VLOOKUP(Sales[[#This Row],[Associate]],'Associate Status'!B:C,2,0)</f>
        <v>Active</v>
      </c>
    </row>
    <row r="235" spans="1:36" x14ac:dyDescent="0.25">
      <c r="A235" s="7">
        <v>2023</v>
      </c>
      <c r="B235" s="8">
        <v>12</v>
      </c>
      <c r="C235" s="8">
        <v>51</v>
      </c>
      <c r="D235" s="8" t="s">
        <v>52</v>
      </c>
      <c r="E235" s="8" t="s">
        <v>34</v>
      </c>
      <c r="F235" s="8" t="s">
        <v>52</v>
      </c>
      <c r="G235" s="9">
        <v>301102833</v>
      </c>
      <c r="H235" s="10">
        <v>279607500</v>
      </c>
      <c r="I235" s="11">
        <v>45271</v>
      </c>
      <c r="J235" s="12">
        <v>182562</v>
      </c>
      <c r="K235" s="13" t="s">
        <v>1369</v>
      </c>
      <c r="L235" s="14" t="s">
        <v>44</v>
      </c>
      <c r="M235" s="11" t="s">
        <v>17</v>
      </c>
      <c r="N235" s="14" t="s">
        <v>11</v>
      </c>
      <c r="O235" s="15">
        <v>7630</v>
      </c>
      <c r="P235" s="12">
        <v>1</v>
      </c>
      <c r="Q235" s="13" t="s">
        <v>110</v>
      </c>
      <c r="R235" s="16">
        <v>671522400</v>
      </c>
      <c r="S235" s="17">
        <v>621780000</v>
      </c>
      <c r="T235" s="12">
        <v>10</v>
      </c>
      <c r="U235" s="18">
        <v>69086667</v>
      </c>
      <c r="V235" s="19">
        <v>74613600</v>
      </c>
      <c r="W235" s="13" t="s">
        <v>427</v>
      </c>
      <c r="X235" s="14" t="s">
        <v>1370</v>
      </c>
      <c r="Y235" s="13" t="s">
        <v>158</v>
      </c>
      <c r="Z235" s="14" t="s">
        <v>1371</v>
      </c>
      <c r="AA235" s="17">
        <v>16</v>
      </c>
      <c r="AB235" s="14" t="s">
        <v>1372</v>
      </c>
      <c r="AC235" s="17">
        <v>746136000</v>
      </c>
      <c r="AD235" s="14" t="s">
        <v>108</v>
      </c>
      <c r="AE235" s="17">
        <v>690866667</v>
      </c>
      <c r="AF235" s="14" t="s">
        <v>113</v>
      </c>
      <c r="AG235" s="21" t="s">
        <v>159</v>
      </c>
      <c r="AH235" s="10">
        <v>320677167</v>
      </c>
      <c r="AI235" s="24" t="str">
        <f>VLOOKUP(Sales[[#This Row],[Store]],'Store lay bao  cao'!A:B,2,0)</f>
        <v>Lấy BC</v>
      </c>
      <c r="AJ235" s="24" t="str">
        <f>VLOOKUP(Sales[[#This Row],[Associate]],'Associate Status'!B:C,2,0)</f>
        <v>Active</v>
      </c>
    </row>
    <row r="236" spans="1:36" x14ac:dyDescent="0.25">
      <c r="A236" s="7">
        <v>2023</v>
      </c>
      <c r="B236" s="8">
        <v>12</v>
      </c>
      <c r="C236" s="8">
        <v>52</v>
      </c>
      <c r="D236" s="8" t="s">
        <v>52</v>
      </c>
      <c r="E236" s="8" t="s">
        <v>34</v>
      </c>
      <c r="F236" s="8" t="s">
        <v>52</v>
      </c>
      <c r="G236" s="9">
        <v>88463534</v>
      </c>
      <c r="H236" s="10">
        <v>96404000</v>
      </c>
      <c r="I236" s="11">
        <v>45283</v>
      </c>
      <c r="J236" s="12">
        <v>180394</v>
      </c>
      <c r="K236" s="13" t="s">
        <v>1378</v>
      </c>
      <c r="L236" s="14" t="s">
        <v>55</v>
      </c>
      <c r="M236" s="11" t="s">
        <v>28</v>
      </c>
      <c r="N236" s="14" t="s">
        <v>11</v>
      </c>
      <c r="O236" s="15">
        <v>900</v>
      </c>
      <c r="P236" s="12">
        <v>1</v>
      </c>
      <c r="Q236" s="13" t="s">
        <v>101</v>
      </c>
      <c r="R236" s="16">
        <v>200000000</v>
      </c>
      <c r="S236" s="17">
        <v>185185185</v>
      </c>
      <c r="T236" s="12">
        <v>0</v>
      </c>
      <c r="U236" s="18">
        <v>0</v>
      </c>
      <c r="V236" s="19">
        <v>0</v>
      </c>
      <c r="W236" s="13" t="s">
        <v>1225</v>
      </c>
      <c r="X236" s="14" t="s">
        <v>1379</v>
      </c>
      <c r="Y236" s="13" t="s">
        <v>209</v>
      </c>
      <c r="Z236" s="14" t="s">
        <v>1380</v>
      </c>
      <c r="AA236" s="17">
        <v>17</v>
      </c>
      <c r="AB236" s="14" t="s">
        <v>1381</v>
      </c>
      <c r="AC236" s="17">
        <v>200000000</v>
      </c>
      <c r="AD236" s="14" t="s">
        <v>893</v>
      </c>
      <c r="AE236" s="17">
        <v>185185185</v>
      </c>
      <c r="AF236" s="14" t="s">
        <v>1270</v>
      </c>
      <c r="AG236" s="20" t="s">
        <v>210</v>
      </c>
      <c r="AH236" s="10">
        <v>96721651</v>
      </c>
      <c r="AI236" s="24" t="str">
        <f>VLOOKUP(Sales[[#This Row],[Store]],'Store lay bao  cao'!A:B,2,0)</f>
        <v>Lấy BC</v>
      </c>
      <c r="AJ236" s="24" t="e">
        <f>VLOOKUP(Sales[[#This Row],[Associate]],'Associate Status'!B:C,2,0)</f>
        <v>#N/A</v>
      </c>
    </row>
    <row r="237" spans="1:36" x14ac:dyDescent="0.25">
      <c r="A237" s="7">
        <v>2023</v>
      </c>
      <c r="B237" s="8">
        <v>12</v>
      </c>
      <c r="C237" s="8">
        <v>53</v>
      </c>
      <c r="D237" s="8" t="s">
        <v>60</v>
      </c>
      <c r="E237" s="8" t="s">
        <v>43</v>
      </c>
      <c r="F237" s="8" t="s">
        <v>60</v>
      </c>
      <c r="G237" s="9">
        <v>4084969</v>
      </c>
      <c r="H237" s="10">
        <v>3052349.9999999995</v>
      </c>
      <c r="I237" s="11">
        <v>45288</v>
      </c>
      <c r="J237" s="12">
        <v>202764</v>
      </c>
      <c r="K237" s="13" t="s">
        <v>1382</v>
      </c>
      <c r="L237" s="14" t="s">
        <v>19</v>
      </c>
      <c r="M237" s="11" t="s">
        <v>27</v>
      </c>
      <c r="N237" s="14" t="s">
        <v>62</v>
      </c>
      <c r="O237" s="15">
        <v>364</v>
      </c>
      <c r="P237" s="12">
        <v>1</v>
      </c>
      <c r="Q237" s="13" t="s">
        <v>144</v>
      </c>
      <c r="R237" s="16">
        <v>9424950</v>
      </c>
      <c r="S237" s="17">
        <v>8726806</v>
      </c>
      <c r="T237" s="12">
        <v>5</v>
      </c>
      <c r="U237" s="18">
        <v>459306</v>
      </c>
      <c r="V237" s="19">
        <v>496050</v>
      </c>
      <c r="W237" s="13" t="s">
        <v>425</v>
      </c>
      <c r="X237" s="14" t="s">
        <v>1383</v>
      </c>
      <c r="Y237" s="13" t="s">
        <v>603</v>
      </c>
      <c r="Z237" s="14" t="s">
        <v>1384</v>
      </c>
      <c r="AA237" s="17">
        <v>14</v>
      </c>
      <c r="AB237" s="14" t="s">
        <v>1385</v>
      </c>
      <c r="AC237" s="17">
        <v>9921000</v>
      </c>
      <c r="AD237" s="14">
        <v>53</v>
      </c>
      <c r="AE237" s="17">
        <v>9186111</v>
      </c>
      <c r="AF237" s="14" t="s">
        <v>117</v>
      </c>
      <c r="AG237" s="21" t="s">
        <v>392</v>
      </c>
      <c r="AH237" s="10">
        <v>4641837</v>
      </c>
      <c r="AI237" s="24" t="str">
        <f>VLOOKUP(Sales[[#This Row],[Store]],'Store lay bao  cao'!A:B,2,0)</f>
        <v>Lấy BC</v>
      </c>
      <c r="AJ237" s="24" t="str">
        <f>VLOOKUP(Sales[[#This Row],[Associate]],'Associate Status'!B:C,2,0)</f>
        <v>Retired</v>
      </c>
    </row>
    <row r="238" spans="1:36" x14ac:dyDescent="0.25">
      <c r="A238" s="7">
        <v>2023</v>
      </c>
      <c r="B238" s="8">
        <v>12</v>
      </c>
      <c r="C238" s="8">
        <v>53</v>
      </c>
      <c r="D238" s="8" t="s">
        <v>60</v>
      </c>
      <c r="E238" s="8" t="s">
        <v>43</v>
      </c>
      <c r="F238" s="8" t="s">
        <v>60</v>
      </c>
      <c r="G238" s="9">
        <v>7132486</v>
      </c>
      <c r="H238" s="10">
        <v>5329500</v>
      </c>
      <c r="I238" s="11">
        <v>45288</v>
      </c>
      <c r="J238" s="12">
        <v>202792</v>
      </c>
      <c r="K238" s="13" t="s">
        <v>1382</v>
      </c>
      <c r="L238" s="14" t="s">
        <v>19</v>
      </c>
      <c r="M238" s="11" t="s">
        <v>27</v>
      </c>
      <c r="N238" s="14" t="s">
        <v>62</v>
      </c>
      <c r="O238" s="15">
        <v>364</v>
      </c>
      <c r="P238" s="12">
        <v>1</v>
      </c>
      <c r="Q238" s="13" t="s">
        <v>144</v>
      </c>
      <c r="R238" s="16">
        <v>16454949</v>
      </c>
      <c r="S238" s="17">
        <v>15236064</v>
      </c>
      <c r="T238" s="12">
        <v>5</v>
      </c>
      <c r="U238" s="18">
        <v>801899</v>
      </c>
      <c r="V238" s="19">
        <v>866051</v>
      </c>
      <c r="W238" s="13" t="s">
        <v>425</v>
      </c>
      <c r="X238" s="14" t="s">
        <v>1386</v>
      </c>
      <c r="Y238" s="13" t="s">
        <v>603</v>
      </c>
      <c r="Z238" s="14" t="s">
        <v>1387</v>
      </c>
      <c r="AA238" s="17">
        <v>14</v>
      </c>
      <c r="AB238" s="14" t="s">
        <v>1388</v>
      </c>
      <c r="AC238" s="17">
        <v>17321000</v>
      </c>
      <c r="AD238" s="14">
        <v>52</v>
      </c>
      <c r="AE238" s="17">
        <v>16037963</v>
      </c>
      <c r="AF238" s="14" t="s">
        <v>117</v>
      </c>
      <c r="AG238" s="20" t="s">
        <v>392</v>
      </c>
      <c r="AH238" s="10">
        <v>8103578</v>
      </c>
      <c r="AI238" s="24" t="str">
        <f>VLOOKUP(Sales[[#This Row],[Store]],'Store lay bao  cao'!A:B,2,0)</f>
        <v>Lấy BC</v>
      </c>
      <c r="AJ238" s="24" t="str">
        <f>VLOOKUP(Sales[[#This Row],[Associate]],'Associate Status'!B:C,2,0)</f>
        <v>Retired</v>
      </c>
    </row>
    <row r="239" spans="1:36" x14ac:dyDescent="0.25">
      <c r="A239" s="7">
        <v>2023</v>
      </c>
      <c r="B239" s="8">
        <v>12</v>
      </c>
      <c r="C239" s="8">
        <v>53</v>
      </c>
      <c r="D239" s="8" t="s">
        <v>60</v>
      </c>
      <c r="E239" s="8" t="s">
        <v>43</v>
      </c>
      <c r="F239" s="8" t="s">
        <v>60</v>
      </c>
      <c r="G239" s="9">
        <v>3695924</v>
      </c>
      <c r="H239" s="10">
        <v>2761650</v>
      </c>
      <c r="I239" s="11">
        <v>45288</v>
      </c>
      <c r="J239" s="12">
        <v>202796</v>
      </c>
      <c r="K239" s="13" t="s">
        <v>1382</v>
      </c>
      <c r="L239" s="14" t="s">
        <v>19</v>
      </c>
      <c r="M239" s="11" t="s">
        <v>27</v>
      </c>
      <c r="N239" s="14" t="s">
        <v>62</v>
      </c>
      <c r="O239" s="15">
        <v>364</v>
      </c>
      <c r="P239" s="12">
        <v>1</v>
      </c>
      <c r="Q239" s="13" t="s">
        <v>144</v>
      </c>
      <c r="R239" s="16">
        <v>8527200</v>
      </c>
      <c r="S239" s="17">
        <v>7895556</v>
      </c>
      <c r="T239" s="12">
        <v>5</v>
      </c>
      <c r="U239" s="18">
        <v>415556</v>
      </c>
      <c r="V239" s="19">
        <v>448800</v>
      </c>
      <c r="W239" s="13" t="s">
        <v>425</v>
      </c>
      <c r="X239" s="14" t="s">
        <v>1389</v>
      </c>
      <c r="Y239" s="13" t="s">
        <v>603</v>
      </c>
      <c r="Z239" s="14" t="s">
        <v>1390</v>
      </c>
      <c r="AA239" s="17">
        <v>14</v>
      </c>
      <c r="AB239" s="14" t="s">
        <v>1391</v>
      </c>
      <c r="AC239" s="17">
        <v>8976000</v>
      </c>
      <c r="AD239" s="14">
        <v>54</v>
      </c>
      <c r="AE239" s="17">
        <v>8311111</v>
      </c>
      <c r="AF239" s="14" t="s">
        <v>117</v>
      </c>
      <c r="AG239" s="21" t="s">
        <v>392</v>
      </c>
      <c r="AH239" s="10">
        <v>4199632</v>
      </c>
      <c r="AI239" s="24" t="str">
        <f>VLOOKUP(Sales[[#This Row],[Store]],'Store lay bao  cao'!A:B,2,0)</f>
        <v>Lấy BC</v>
      </c>
      <c r="AJ239" s="24" t="str">
        <f>VLOOKUP(Sales[[#This Row],[Associate]],'Associate Status'!B:C,2,0)</f>
        <v>Retired</v>
      </c>
    </row>
    <row r="240" spans="1:36" x14ac:dyDescent="0.25">
      <c r="A240" s="7">
        <v>2023</v>
      </c>
      <c r="B240" s="8">
        <v>12</v>
      </c>
      <c r="C240" s="8">
        <v>53</v>
      </c>
      <c r="D240" s="8" t="s">
        <v>60</v>
      </c>
      <c r="E240" s="8" t="s">
        <v>43</v>
      </c>
      <c r="F240" s="8" t="s">
        <v>60</v>
      </c>
      <c r="G240" s="9">
        <v>2269427</v>
      </c>
      <c r="H240" s="10">
        <v>1695750</v>
      </c>
      <c r="I240" s="11">
        <v>45288</v>
      </c>
      <c r="J240" s="12">
        <v>202755</v>
      </c>
      <c r="K240" s="13" t="s">
        <v>1382</v>
      </c>
      <c r="L240" s="14" t="s">
        <v>19</v>
      </c>
      <c r="M240" s="11" t="s">
        <v>27</v>
      </c>
      <c r="N240" s="14" t="s">
        <v>62</v>
      </c>
      <c r="O240" s="15">
        <v>364</v>
      </c>
      <c r="P240" s="12">
        <v>1</v>
      </c>
      <c r="Q240" s="13" t="s">
        <v>144</v>
      </c>
      <c r="R240" s="16">
        <v>5236399</v>
      </c>
      <c r="S240" s="17">
        <v>4848518</v>
      </c>
      <c r="T240" s="12">
        <v>5</v>
      </c>
      <c r="U240" s="18">
        <v>255186</v>
      </c>
      <c r="V240" s="19">
        <v>275601</v>
      </c>
      <c r="W240" s="13" t="s">
        <v>425</v>
      </c>
      <c r="X240" s="14" t="s">
        <v>1392</v>
      </c>
      <c r="Y240" s="13" t="s">
        <v>603</v>
      </c>
      <c r="Z240" s="14" t="s">
        <v>1393</v>
      </c>
      <c r="AA240" s="17">
        <v>14</v>
      </c>
      <c r="AB240" s="14" t="s">
        <v>532</v>
      </c>
      <c r="AC240" s="17">
        <v>5512000</v>
      </c>
      <c r="AD240" s="14">
        <v>53</v>
      </c>
      <c r="AE240" s="17">
        <v>5103704</v>
      </c>
      <c r="AF240" s="14" t="s">
        <v>117</v>
      </c>
      <c r="AG240" s="20" t="s">
        <v>392</v>
      </c>
      <c r="AH240" s="10">
        <v>2579091</v>
      </c>
      <c r="AI240" s="24" t="str">
        <f>VLOOKUP(Sales[[#This Row],[Store]],'Store lay bao  cao'!A:B,2,0)</f>
        <v>Lấy BC</v>
      </c>
      <c r="AJ240" s="24" t="str">
        <f>VLOOKUP(Sales[[#This Row],[Associate]],'Associate Status'!B:C,2,0)</f>
        <v>Retired</v>
      </c>
    </row>
    <row r="241" spans="1:36" x14ac:dyDescent="0.25">
      <c r="A241" s="7">
        <v>2023</v>
      </c>
      <c r="B241" s="8">
        <v>12</v>
      </c>
      <c r="C241" s="8">
        <v>53</v>
      </c>
      <c r="D241" s="8" t="s">
        <v>60</v>
      </c>
      <c r="E241" s="8" t="s">
        <v>43</v>
      </c>
      <c r="F241" s="8" t="s">
        <v>60</v>
      </c>
      <c r="G241" s="9">
        <v>2528791</v>
      </c>
      <c r="H241" s="10">
        <v>1889549.9999999998</v>
      </c>
      <c r="I241" s="11">
        <v>45288</v>
      </c>
      <c r="J241" s="12">
        <v>202811</v>
      </c>
      <c r="K241" s="13" t="s">
        <v>1382</v>
      </c>
      <c r="L241" s="14" t="s">
        <v>19</v>
      </c>
      <c r="M241" s="11" t="s">
        <v>27</v>
      </c>
      <c r="N241" s="14" t="s">
        <v>62</v>
      </c>
      <c r="O241" s="15">
        <v>364</v>
      </c>
      <c r="P241" s="12">
        <v>1</v>
      </c>
      <c r="Q241" s="13" t="s">
        <v>144</v>
      </c>
      <c r="R241" s="16">
        <v>5834900</v>
      </c>
      <c r="S241" s="17">
        <v>5402685</v>
      </c>
      <c r="T241" s="12">
        <v>5</v>
      </c>
      <c r="U241" s="18">
        <v>284352</v>
      </c>
      <c r="V241" s="19">
        <v>307100</v>
      </c>
      <c r="W241" s="13" t="s">
        <v>425</v>
      </c>
      <c r="X241" s="14" t="s">
        <v>1394</v>
      </c>
      <c r="Y241" s="13" t="s">
        <v>603</v>
      </c>
      <c r="Z241" s="14" t="s">
        <v>775</v>
      </c>
      <c r="AA241" s="17">
        <v>14</v>
      </c>
      <c r="AB241" s="14" t="s">
        <v>1395</v>
      </c>
      <c r="AC241" s="17">
        <v>6142000</v>
      </c>
      <c r="AD241" s="14">
        <v>53</v>
      </c>
      <c r="AE241" s="17">
        <v>5687037</v>
      </c>
      <c r="AF241" s="14" t="s">
        <v>117</v>
      </c>
      <c r="AG241" s="21" t="s">
        <v>392</v>
      </c>
      <c r="AH241" s="10">
        <v>2873894</v>
      </c>
      <c r="AI241" s="24" t="str">
        <f>VLOOKUP(Sales[[#This Row],[Store]],'Store lay bao  cao'!A:B,2,0)</f>
        <v>Lấy BC</v>
      </c>
      <c r="AJ241" s="24" t="str">
        <f>VLOOKUP(Sales[[#This Row],[Associate]],'Associate Status'!B:C,2,0)</f>
        <v>Retired</v>
      </c>
    </row>
    <row r="242" spans="1:36" x14ac:dyDescent="0.25">
      <c r="A242" s="7">
        <v>2023</v>
      </c>
      <c r="B242" s="8">
        <v>12</v>
      </c>
      <c r="C242" s="8">
        <v>53</v>
      </c>
      <c r="D242" s="8" t="s">
        <v>60</v>
      </c>
      <c r="E242" s="8" t="s">
        <v>43</v>
      </c>
      <c r="F242" s="8" t="s">
        <v>60</v>
      </c>
      <c r="G242" s="9">
        <v>6095032</v>
      </c>
      <c r="H242" s="10">
        <v>4554300</v>
      </c>
      <c r="I242" s="11">
        <v>45288</v>
      </c>
      <c r="J242" s="12">
        <v>202749</v>
      </c>
      <c r="K242" s="13" t="s">
        <v>1382</v>
      </c>
      <c r="L242" s="14" t="s">
        <v>19</v>
      </c>
      <c r="M242" s="11" t="s">
        <v>27</v>
      </c>
      <c r="N242" s="14" t="s">
        <v>62</v>
      </c>
      <c r="O242" s="15">
        <v>364</v>
      </c>
      <c r="P242" s="12">
        <v>1</v>
      </c>
      <c r="Q242" s="13" t="s">
        <v>144</v>
      </c>
      <c r="R242" s="16">
        <v>14061899</v>
      </c>
      <c r="S242" s="17">
        <v>13020277</v>
      </c>
      <c r="T242" s="12">
        <v>5</v>
      </c>
      <c r="U242" s="18">
        <v>685279</v>
      </c>
      <c r="V242" s="19">
        <v>740101</v>
      </c>
      <c r="W242" s="13" t="s">
        <v>425</v>
      </c>
      <c r="X242" s="14" t="s">
        <v>1396</v>
      </c>
      <c r="Y242" s="13" t="s">
        <v>603</v>
      </c>
      <c r="Z242" s="14" t="s">
        <v>1397</v>
      </c>
      <c r="AA242" s="17">
        <v>14</v>
      </c>
      <c r="AB242" s="14" t="s">
        <v>1398</v>
      </c>
      <c r="AC242" s="17">
        <v>14802000</v>
      </c>
      <c r="AD242" s="14">
        <v>52</v>
      </c>
      <c r="AE242" s="17">
        <v>13705556</v>
      </c>
      <c r="AF242" s="14" t="s">
        <v>117</v>
      </c>
      <c r="AG242" s="20" t="s">
        <v>392</v>
      </c>
      <c r="AH242" s="10">
        <v>6925245</v>
      </c>
      <c r="AI242" s="24" t="str">
        <f>VLOOKUP(Sales[[#This Row],[Store]],'Store lay bao  cao'!A:B,2,0)</f>
        <v>Lấy BC</v>
      </c>
      <c r="AJ242" s="24" t="str">
        <f>VLOOKUP(Sales[[#This Row],[Associate]],'Associate Status'!B:C,2,0)</f>
        <v>Retired</v>
      </c>
    </row>
    <row r="243" spans="1:36" x14ac:dyDescent="0.25">
      <c r="A243" s="7">
        <v>2024</v>
      </c>
      <c r="B243" s="8">
        <v>1</v>
      </c>
      <c r="C243" s="8">
        <v>2</v>
      </c>
      <c r="D243" s="8" t="s">
        <v>60</v>
      </c>
      <c r="E243" s="8" t="s">
        <v>43</v>
      </c>
      <c r="F243" s="8" t="s">
        <v>60</v>
      </c>
      <c r="G243" s="9">
        <v>98410832</v>
      </c>
      <c r="H243" s="10">
        <v>79751250</v>
      </c>
      <c r="I243" s="11">
        <v>45304</v>
      </c>
      <c r="J243" s="12">
        <v>203154</v>
      </c>
      <c r="K243" s="13" t="s">
        <v>1400</v>
      </c>
      <c r="L243" s="14" t="s">
        <v>44</v>
      </c>
      <c r="M243" s="11" t="s">
        <v>28</v>
      </c>
      <c r="N243" s="14" t="s">
        <v>62</v>
      </c>
      <c r="O243" s="15">
        <v>1030</v>
      </c>
      <c r="P243" s="12">
        <v>1</v>
      </c>
      <c r="Q243" s="13" t="s">
        <v>110</v>
      </c>
      <c r="R243" s="16">
        <v>191935150</v>
      </c>
      <c r="S243" s="17">
        <v>177717731</v>
      </c>
      <c r="T243" s="12">
        <v>5</v>
      </c>
      <c r="U243" s="18">
        <v>9353565</v>
      </c>
      <c r="V243" s="19">
        <v>10101850</v>
      </c>
      <c r="W243" s="13" t="s">
        <v>484</v>
      </c>
      <c r="X243" s="14" t="s">
        <v>1401</v>
      </c>
      <c r="Y243" s="13" t="s">
        <v>922</v>
      </c>
      <c r="Z243" s="14" t="s">
        <v>1402</v>
      </c>
      <c r="AA243" s="17">
        <v>13</v>
      </c>
      <c r="AB243" s="14" t="s">
        <v>1403</v>
      </c>
      <c r="AC243" s="17">
        <v>202037000</v>
      </c>
      <c r="AD243" s="14">
        <v>6</v>
      </c>
      <c r="AE243" s="17">
        <v>187071296</v>
      </c>
      <c r="AF243" s="14" t="s">
        <v>123</v>
      </c>
      <c r="AG243" s="21" t="s">
        <v>923</v>
      </c>
      <c r="AH243" s="10">
        <v>79306899</v>
      </c>
      <c r="AI243" s="24" t="str">
        <f>VLOOKUP(Sales[[#This Row],[Store]],'Store lay bao  cao'!A:B,2,0)</f>
        <v>Lấy BC</v>
      </c>
      <c r="AJ243" s="24" t="str">
        <f>VLOOKUP(Sales[[#This Row],[Associate]],'Associate Status'!B:C,2,0)</f>
        <v>Active</v>
      </c>
    </row>
    <row r="244" spans="1:36" x14ac:dyDescent="0.25">
      <c r="A244" s="7">
        <v>2024</v>
      </c>
      <c r="B244" s="8">
        <v>1</v>
      </c>
      <c r="C244" s="8">
        <v>2</v>
      </c>
      <c r="D244" s="8" t="s">
        <v>60</v>
      </c>
      <c r="E244" s="8" t="s">
        <v>37</v>
      </c>
      <c r="F244" s="8" t="s">
        <v>60</v>
      </c>
      <c r="G244" s="9">
        <v>3047516</v>
      </c>
      <c r="H244" s="10">
        <v>2277150</v>
      </c>
      <c r="I244" s="11">
        <v>45304</v>
      </c>
      <c r="J244" s="12">
        <v>202779</v>
      </c>
      <c r="K244" s="13" t="s">
        <v>1404</v>
      </c>
      <c r="L244" s="14" t="s">
        <v>19</v>
      </c>
      <c r="M244" s="11" t="s">
        <v>17</v>
      </c>
      <c r="N244" s="14" t="s">
        <v>62</v>
      </c>
      <c r="O244" s="15">
        <v>7740</v>
      </c>
      <c r="P244" s="12">
        <v>1</v>
      </c>
      <c r="Q244" s="13" t="s">
        <v>110</v>
      </c>
      <c r="R244" s="16">
        <v>7401000</v>
      </c>
      <c r="S244" s="17">
        <v>6852778</v>
      </c>
      <c r="T244" s="12">
        <v>0</v>
      </c>
      <c r="U244" s="18">
        <v>0</v>
      </c>
      <c r="V244" s="19">
        <v>0</v>
      </c>
      <c r="W244" s="13" t="s">
        <v>140</v>
      </c>
      <c r="X244" s="14" t="s">
        <v>1405</v>
      </c>
      <c r="Y244" s="13" t="s">
        <v>721</v>
      </c>
      <c r="Z244" s="14" t="s">
        <v>1406</v>
      </c>
      <c r="AA244" s="17">
        <v>16</v>
      </c>
      <c r="AB244" s="14" t="s">
        <v>1407</v>
      </c>
      <c r="AC244" s="17">
        <v>7401000</v>
      </c>
      <c r="AD244" s="14" t="s">
        <v>108</v>
      </c>
      <c r="AE244" s="17">
        <v>6852778</v>
      </c>
      <c r="AF244" s="14" t="s">
        <v>125</v>
      </c>
      <c r="AG244" s="20" t="s">
        <v>722</v>
      </c>
      <c r="AH244" s="10">
        <v>3805262</v>
      </c>
      <c r="AI244" s="24" t="str">
        <f>VLOOKUP(Sales[[#This Row],[Store]],'Store lay bao  cao'!A:B,2,0)</f>
        <v>Lấy BC</v>
      </c>
      <c r="AJ244" s="24" t="str">
        <f>VLOOKUP(Sales[[#This Row],[Associate]],'Associate Status'!B:C,2,0)</f>
        <v>Active</v>
      </c>
    </row>
    <row r="245" spans="1:36" x14ac:dyDescent="0.25">
      <c r="A245" s="7">
        <v>2024</v>
      </c>
      <c r="B245" s="8">
        <v>1</v>
      </c>
      <c r="C245" s="8">
        <v>3</v>
      </c>
      <c r="D245" s="8" t="s">
        <v>52</v>
      </c>
      <c r="E245" s="8" t="s">
        <v>43</v>
      </c>
      <c r="F245" s="8" t="s">
        <v>52</v>
      </c>
      <c r="G245" s="9">
        <v>41266209</v>
      </c>
      <c r="H245" s="10">
        <v>40611780</v>
      </c>
      <c r="I245" s="11">
        <v>45308</v>
      </c>
      <c r="J245" s="12">
        <v>181399</v>
      </c>
      <c r="K245" s="13" t="s">
        <v>1408</v>
      </c>
      <c r="L245" s="14" t="s">
        <v>58</v>
      </c>
      <c r="M245" s="11" t="s">
        <v>28</v>
      </c>
      <c r="N245" s="14" t="s">
        <v>11</v>
      </c>
      <c r="O245" s="15">
        <v>1053</v>
      </c>
      <c r="P245" s="12">
        <v>1</v>
      </c>
      <c r="Q245" s="13" t="s">
        <v>110</v>
      </c>
      <c r="R245" s="16">
        <v>106040900</v>
      </c>
      <c r="S245" s="17">
        <v>98186019</v>
      </c>
      <c r="T245" s="12">
        <v>5</v>
      </c>
      <c r="U245" s="18">
        <v>5167685</v>
      </c>
      <c r="V245" s="19">
        <v>5581100</v>
      </c>
      <c r="W245" s="13" t="s">
        <v>484</v>
      </c>
      <c r="X245" s="14" t="s">
        <v>1409</v>
      </c>
      <c r="Y245" s="13" t="s">
        <v>318</v>
      </c>
      <c r="Z245" s="14" t="s">
        <v>1410</v>
      </c>
      <c r="AA245" s="17">
        <v>17</v>
      </c>
      <c r="AB245" s="14" t="s">
        <v>1411</v>
      </c>
      <c r="AC245" s="17">
        <v>111622000</v>
      </c>
      <c r="AD245" s="14" t="s">
        <v>108</v>
      </c>
      <c r="AE245" s="17">
        <v>103353704</v>
      </c>
      <c r="AF245" s="14" t="s">
        <v>123</v>
      </c>
      <c r="AG245" s="21" t="s">
        <v>325</v>
      </c>
      <c r="AH245" s="10">
        <v>56919810</v>
      </c>
      <c r="AI245" s="24" t="str">
        <f>VLOOKUP(Sales[[#This Row],[Store]],'Store lay bao  cao'!A:B,2,0)</f>
        <v>Lấy BC</v>
      </c>
      <c r="AJ245" s="24" t="str">
        <f>VLOOKUP(Sales[[#This Row],[Associate]],'Associate Status'!B:C,2,0)</f>
        <v>Active</v>
      </c>
    </row>
    <row r="246" spans="1:36" x14ac:dyDescent="0.25">
      <c r="A246" s="7">
        <v>2024</v>
      </c>
      <c r="B246" s="8">
        <v>1</v>
      </c>
      <c r="C246" s="8">
        <v>3</v>
      </c>
      <c r="D246" s="8" t="s">
        <v>60</v>
      </c>
      <c r="E246" s="8" t="s">
        <v>43</v>
      </c>
      <c r="F246" s="8" t="s">
        <v>60</v>
      </c>
      <c r="G246" s="9">
        <v>4798217</v>
      </c>
      <c r="H246" s="10">
        <v>3585300</v>
      </c>
      <c r="I246" s="11">
        <v>45309</v>
      </c>
      <c r="J246" s="12">
        <v>202794</v>
      </c>
      <c r="K246" s="13" t="s">
        <v>1412</v>
      </c>
      <c r="L246" s="14" t="s">
        <v>19</v>
      </c>
      <c r="M246" s="11" t="s">
        <v>17</v>
      </c>
      <c r="N246" s="14" t="s">
        <v>62</v>
      </c>
      <c r="O246" s="15">
        <v>7756</v>
      </c>
      <c r="P246" s="12">
        <v>1</v>
      </c>
      <c r="Q246" s="13" t="s">
        <v>110</v>
      </c>
      <c r="R246" s="16">
        <v>11653000</v>
      </c>
      <c r="S246" s="17">
        <v>10789815</v>
      </c>
      <c r="T246" s="12">
        <v>0</v>
      </c>
      <c r="U246" s="18">
        <v>0</v>
      </c>
      <c r="V246" s="19">
        <v>0</v>
      </c>
      <c r="W246" s="13" t="s">
        <v>427</v>
      </c>
      <c r="X246" s="14" t="s">
        <v>1413</v>
      </c>
      <c r="Y246" s="13" t="s">
        <v>176</v>
      </c>
      <c r="Z246" s="14" t="s">
        <v>1414</v>
      </c>
      <c r="AA246" s="17">
        <v>18</v>
      </c>
      <c r="AB246" s="14" t="s">
        <v>1415</v>
      </c>
      <c r="AC246" s="17">
        <v>11653000</v>
      </c>
      <c r="AD246" s="14">
        <v>52</v>
      </c>
      <c r="AE246" s="17">
        <v>10789815</v>
      </c>
      <c r="AF246" s="14" t="s">
        <v>125</v>
      </c>
      <c r="AG246" s="20" t="s">
        <v>177</v>
      </c>
      <c r="AH246" s="10">
        <v>5991598</v>
      </c>
      <c r="AI246" s="24" t="str">
        <f>VLOOKUP(Sales[[#This Row],[Store]],'Store lay bao  cao'!A:B,2,0)</f>
        <v>Lấy BC</v>
      </c>
      <c r="AJ246" s="24" t="str">
        <f>VLOOKUP(Sales[[#This Row],[Associate]],'Associate Status'!B:C,2,0)</f>
        <v>Active</v>
      </c>
    </row>
    <row r="247" spans="1:36" x14ac:dyDescent="0.25">
      <c r="A247" s="7">
        <v>2024</v>
      </c>
      <c r="B247" s="8">
        <v>1</v>
      </c>
      <c r="C247" s="8">
        <v>3</v>
      </c>
      <c r="D247" s="8" t="s">
        <v>60</v>
      </c>
      <c r="E247" s="8" t="s">
        <v>43</v>
      </c>
      <c r="F247" s="8" t="s">
        <v>60</v>
      </c>
      <c r="G247" s="9">
        <v>4538854</v>
      </c>
      <c r="H247" s="10">
        <v>3391500</v>
      </c>
      <c r="I247" s="11">
        <v>45309</v>
      </c>
      <c r="J247" s="12">
        <v>202776</v>
      </c>
      <c r="K247" s="13" t="s">
        <v>1412</v>
      </c>
      <c r="L247" s="14" t="s">
        <v>19</v>
      </c>
      <c r="M247" s="11" t="s">
        <v>17</v>
      </c>
      <c r="N247" s="14" t="s">
        <v>62</v>
      </c>
      <c r="O247" s="15">
        <v>7756</v>
      </c>
      <c r="P247" s="12">
        <v>1</v>
      </c>
      <c r="Q247" s="13" t="s">
        <v>110</v>
      </c>
      <c r="R247" s="16">
        <v>11023000</v>
      </c>
      <c r="S247" s="17">
        <v>10206481</v>
      </c>
      <c r="T247" s="12">
        <v>0</v>
      </c>
      <c r="U247" s="18">
        <v>0</v>
      </c>
      <c r="V247" s="19">
        <v>0</v>
      </c>
      <c r="W247" s="13" t="s">
        <v>427</v>
      </c>
      <c r="X247" s="14" t="s">
        <v>1416</v>
      </c>
      <c r="Y247" s="13" t="s">
        <v>176</v>
      </c>
      <c r="Z247" s="14" t="s">
        <v>1417</v>
      </c>
      <c r="AA247" s="17">
        <v>18</v>
      </c>
      <c r="AB247" s="14" t="s">
        <v>1174</v>
      </c>
      <c r="AC247" s="17">
        <v>11023000</v>
      </c>
      <c r="AD247" s="14">
        <v>53</v>
      </c>
      <c r="AE247" s="17">
        <v>10206481</v>
      </c>
      <c r="AF247" s="14" t="s">
        <v>125</v>
      </c>
      <c r="AG247" s="21" t="s">
        <v>177</v>
      </c>
      <c r="AH247" s="10">
        <v>5667627</v>
      </c>
      <c r="AI247" s="24" t="str">
        <f>VLOOKUP(Sales[[#This Row],[Store]],'Store lay bao  cao'!A:B,2,0)</f>
        <v>Lấy BC</v>
      </c>
      <c r="AJ247" s="24" t="str">
        <f>VLOOKUP(Sales[[#This Row],[Associate]],'Associate Status'!B:C,2,0)</f>
        <v>Active</v>
      </c>
    </row>
    <row r="248" spans="1:36" x14ac:dyDescent="0.25">
      <c r="A248" s="7">
        <v>2024</v>
      </c>
      <c r="B248" s="8">
        <v>1</v>
      </c>
      <c r="C248" s="8">
        <v>3</v>
      </c>
      <c r="D248" s="8" t="s">
        <v>60</v>
      </c>
      <c r="E248" s="8" t="s">
        <v>43</v>
      </c>
      <c r="F248" s="8" t="s">
        <v>60</v>
      </c>
      <c r="G248" s="9">
        <v>3242039</v>
      </c>
      <c r="H248" s="10">
        <v>2422500</v>
      </c>
      <c r="I248" s="11">
        <v>45309</v>
      </c>
      <c r="J248" s="12">
        <v>202775</v>
      </c>
      <c r="K248" s="13" t="s">
        <v>1412</v>
      </c>
      <c r="L248" s="14" t="s">
        <v>19</v>
      </c>
      <c r="M248" s="11" t="s">
        <v>17</v>
      </c>
      <c r="N248" s="14" t="s">
        <v>62</v>
      </c>
      <c r="O248" s="15">
        <v>7756</v>
      </c>
      <c r="P248" s="12">
        <v>1</v>
      </c>
      <c r="Q248" s="13" t="s">
        <v>110</v>
      </c>
      <c r="R248" s="16">
        <v>7874000</v>
      </c>
      <c r="S248" s="17">
        <v>7290741</v>
      </c>
      <c r="T248" s="12">
        <v>0</v>
      </c>
      <c r="U248" s="18">
        <v>0</v>
      </c>
      <c r="V248" s="19">
        <v>0</v>
      </c>
      <c r="W248" s="13" t="s">
        <v>427</v>
      </c>
      <c r="X248" s="14" t="s">
        <v>1418</v>
      </c>
      <c r="Y248" s="13" t="s">
        <v>176</v>
      </c>
      <c r="Z248" s="14" t="s">
        <v>1419</v>
      </c>
      <c r="AA248" s="17">
        <v>18</v>
      </c>
      <c r="AB248" s="14" t="s">
        <v>260</v>
      </c>
      <c r="AC248" s="17">
        <v>7874000</v>
      </c>
      <c r="AD248" s="14">
        <v>53</v>
      </c>
      <c r="AE248" s="17">
        <v>7290741</v>
      </c>
      <c r="AF248" s="14" t="s">
        <v>125</v>
      </c>
      <c r="AG248" s="20" t="s">
        <v>177</v>
      </c>
      <c r="AH248" s="10">
        <v>4048702</v>
      </c>
      <c r="AI248" s="24" t="str">
        <f>VLOOKUP(Sales[[#This Row],[Store]],'Store lay bao  cao'!A:B,2,0)</f>
        <v>Lấy BC</v>
      </c>
      <c r="AJ248" s="24" t="str">
        <f>VLOOKUP(Sales[[#This Row],[Associate]],'Associate Status'!B:C,2,0)</f>
        <v>Active</v>
      </c>
    </row>
    <row r="249" spans="1:36" x14ac:dyDescent="0.25">
      <c r="A249" s="7">
        <v>2024</v>
      </c>
      <c r="B249" s="8">
        <v>1</v>
      </c>
      <c r="C249" s="8">
        <v>3</v>
      </c>
      <c r="D249" s="8" t="s">
        <v>60</v>
      </c>
      <c r="E249" s="8" t="s">
        <v>43</v>
      </c>
      <c r="F249" s="8" t="s">
        <v>60</v>
      </c>
      <c r="G249" s="9">
        <v>3695924</v>
      </c>
      <c r="H249" s="10">
        <v>2761650</v>
      </c>
      <c r="I249" s="11">
        <v>45309</v>
      </c>
      <c r="J249" s="12">
        <v>202815</v>
      </c>
      <c r="K249" s="13" t="s">
        <v>1412</v>
      </c>
      <c r="L249" s="14" t="s">
        <v>19</v>
      </c>
      <c r="M249" s="11" t="s">
        <v>17</v>
      </c>
      <c r="N249" s="14" t="s">
        <v>62</v>
      </c>
      <c r="O249" s="15">
        <v>7756</v>
      </c>
      <c r="P249" s="12">
        <v>1</v>
      </c>
      <c r="Q249" s="13" t="s">
        <v>110</v>
      </c>
      <c r="R249" s="16">
        <v>8976000</v>
      </c>
      <c r="S249" s="17">
        <v>8311111</v>
      </c>
      <c r="T249" s="12">
        <v>0</v>
      </c>
      <c r="U249" s="18">
        <v>0</v>
      </c>
      <c r="V249" s="19">
        <v>0</v>
      </c>
      <c r="W249" s="13" t="s">
        <v>427</v>
      </c>
      <c r="X249" s="14" t="s">
        <v>1420</v>
      </c>
      <c r="Y249" s="13" t="s">
        <v>176</v>
      </c>
      <c r="Z249" s="14" t="s">
        <v>1421</v>
      </c>
      <c r="AA249" s="17">
        <v>18</v>
      </c>
      <c r="AB249" s="14" t="s">
        <v>1391</v>
      </c>
      <c r="AC249" s="17">
        <v>8976000</v>
      </c>
      <c r="AD249" s="14">
        <v>52</v>
      </c>
      <c r="AE249" s="17">
        <v>8311111</v>
      </c>
      <c r="AF249" s="14" t="s">
        <v>125</v>
      </c>
      <c r="AG249" s="21" t="s">
        <v>177</v>
      </c>
      <c r="AH249" s="10">
        <v>4615187</v>
      </c>
      <c r="AI249" s="24" t="str">
        <f>VLOOKUP(Sales[[#This Row],[Store]],'Store lay bao  cao'!A:B,2,0)</f>
        <v>Lấy BC</v>
      </c>
      <c r="AJ249" s="24" t="str">
        <f>VLOOKUP(Sales[[#This Row],[Associate]],'Associate Status'!B:C,2,0)</f>
        <v>Active</v>
      </c>
    </row>
    <row r="250" spans="1:36" x14ac:dyDescent="0.25">
      <c r="A250" s="7">
        <v>2024</v>
      </c>
      <c r="B250" s="8">
        <v>2</v>
      </c>
      <c r="C250" s="8">
        <v>5</v>
      </c>
      <c r="D250" s="8" t="s">
        <v>60</v>
      </c>
      <c r="E250" s="8" t="s">
        <v>37</v>
      </c>
      <c r="F250" s="8" t="s">
        <v>60</v>
      </c>
      <c r="G250" s="9">
        <v>18534090</v>
      </c>
      <c r="H250" s="10">
        <v>18567450</v>
      </c>
      <c r="I250" s="11">
        <v>45324</v>
      </c>
      <c r="J250" s="12">
        <v>202709</v>
      </c>
      <c r="K250" s="13" t="s">
        <v>1425</v>
      </c>
      <c r="L250" s="14" t="s">
        <v>58</v>
      </c>
      <c r="M250" s="11" t="s">
        <v>17</v>
      </c>
      <c r="N250" s="14" t="s">
        <v>11</v>
      </c>
      <c r="O250" s="15">
        <v>7816</v>
      </c>
      <c r="P250" s="12">
        <v>1</v>
      </c>
      <c r="Q250" s="13" t="s">
        <v>101</v>
      </c>
      <c r="R250" s="16">
        <v>48529000</v>
      </c>
      <c r="S250" s="17">
        <v>44934259</v>
      </c>
      <c r="T250" s="12">
        <v>0</v>
      </c>
      <c r="U250" s="18">
        <v>0</v>
      </c>
      <c r="V250" s="19">
        <v>0</v>
      </c>
      <c r="W250" s="13" t="s">
        <v>140</v>
      </c>
      <c r="X250" s="14" t="s">
        <v>1426</v>
      </c>
      <c r="Y250" s="13" t="s">
        <v>721</v>
      </c>
      <c r="Z250" s="14" t="s">
        <v>1125</v>
      </c>
      <c r="AA250" s="17">
        <v>14</v>
      </c>
      <c r="AB250" s="14" t="s">
        <v>1427</v>
      </c>
      <c r="AC250" s="17">
        <v>48529000</v>
      </c>
      <c r="AD250" s="14">
        <v>395</v>
      </c>
      <c r="AE250" s="17">
        <v>44934259</v>
      </c>
      <c r="AF250" s="14" t="s">
        <v>125</v>
      </c>
      <c r="AG250" s="20" t="s">
        <v>722</v>
      </c>
      <c r="AH250" s="10">
        <v>26400169</v>
      </c>
      <c r="AI250" s="24" t="str">
        <f>VLOOKUP(Sales[[#This Row],[Store]],'Store lay bao  cao'!A:B,2,0)</f>
        <v>Lấy BC</v>
      </c>
      <c r="AJ250" s="24" t="str">
        <f>VLOOKUP(Sales[[#This Row],[Associate]],'Associate Status'!B:C,2,0)</f>
        <v>Active</v>
      </c>
    </row>
    <row r="251" spans="1:36" x14ac:dyDescent="0.25">
      <c r="A251" s="7">
        <v>2024</v>
      </c>
      <c r="B251" s="8">
        <v>2</v>
      </c>
      <c r="C251" s="8">
        <v>7</v>
      </c>
      <c r="D251" s="8" t="s">
        <v>57</v>
      </c>
      <c r="E251" s="8" t="s">
        <v>34</v>
      </c>
      <c r="F251" s="8" t="s">
        <v>57</v>
      </c>
      <c r="G251" s="9">
        <v>19583140</v>
      </c>
      <c r="H251" s="10">
        <v>17968500</v>
      </c>
      <c r="I251" s="11">
        <v>45337</v>
      </c>
      <c r="J251" s="12">
        <v>193279</v>
      </c>
      <c r="K251" s="13" t="s">
        <v>1429</v>
      </c>
      <c r="L251" s="14" t="s">
        <v>58</v>
      </c>
      <c r="M251" s="11" t="s">
        <v>28</v>
      </c>
      <c r="N251" s="14" t="s">
        <v>11</v>
      </c>
      <c r="O251" s="15">
        <v>1231</v>
      </c>
      <c r="P251" s="12">
        <v>1</v>
      </c>
      <c r="Q251" s="13" t="s">
        <v>102</v>
      </c>
      <c r="R251" s="16">
        <v>52469000</v>
      </c>
      <c r="S251" s="17">
        <v>48582407</v>
      </c>
      <c r="T251" s="12">
        <v>0</v>
      </c>
      <c r="U251" s="18">
        <v>0</v>
      </c>
      <c r="V251" s="19">
        <v>0</v>
      </c>
      <c r="W251" s="13" t="s">
        <v>484</v>
      </c>
      <c r="X251" s="14" t="s">
        <v>1336</v>
      </c>
      <c r="Y251" s="13" t="s">
        <v>103</v>
      </c>
      <c r="Z251" s="14" t="s">
        <v>1123</v>
      </c>
      <c r="AA251" s="17">
        <v>20</v>
      </c>
      <c r="AB251" s="14" t="s">
        <v>1337</v>
      </c>
      <c r="AC251" s="17">
        <v>52469000</v>
      </c>
      <c r="AD251" s="14" t="s">
        <v>108</v>
      </c>
      <c r="AE251" s="17">
        <v>48582407</v>
      </c>
      <c r="AF251" s="14" t="s">
        <v>1146</v>
      </c>
      <c r="AG251" s="21"/>
      <c r="AH251" s="10">
        <v>28999267</v>
      </c>
      <c r="AI251" s="24" t="str">
        <f>VLOOKUP(Sales[[#This Row],[Store]],'Store lay bao  cao'!A:B,2,0)</f>
        <v>Lấy BC</v>
      </c>
      <c r="AJ251" s="24" t="str">
        <f>VLOOKUP(Sales[[#This Row],[Associate]],'Associate Status'!B:C,2,0)</f>
        <v>Retired</v>
      </c>
    </row>
    <row r="252" spans="1:36" ht="26.25" x14ac:dyDescent="0.25">
      <c r="A252" s="7">
        <v>2024</v>
      </c>
      <c r="B252" s="8">
        <v>2</v>
      </c>
      <c r="C252" s="8">
        <v>7</v>
      </c>
      <c r="D252" s="8" t="s">
        <v>51</v>
      </c>
      <c r="E252" s="8" t="s">
        <v>34</v>
      </c>
      <c r="F252" s="8" t="s">
        <v>51</v>
      </c>
      <c r="G252" s="9">
        <v>548204</v>
      </c>
      <c r="H252" s="10">
        <v>477900</v>
      </c>
      <c r="I252" s="11">
        <v>45337</v>
      </c>
      <c r="J252" s="12">
        <v>174903</v>
      </c>
      <c r="K252" s="13" t="s">
        <v>1430</v>
      </c>
      <c r="L252" s="14" t="s">
        <v>47</v>
      </c>
      <c r="M252" s="11" t="s">
        <v>17</v>
      </c>
      <c r="N252" s="14" t="s">
        <v>11</v>
      </c>
      <c r="O252" s="15">
        <v>7866</v>
      </c>
      <c r="P252" s="12">
        <v>1</v>
      </c>
      <c r="Q252" s="13" t="s">
        <v>144</v>
      </c>
      <c r="R252" s="16">
        <v>2655000</v>
      </c>
      <c r="S252" s="17">
        <v>2458333</v>
      </c>
      <c r="T252" s="12">
        <v>0</v>
      </c>
      <c r="U252" s="18">
        <v>0</v>
      </c>
      <c r="V252" s="19">
        <v>0</v>
      </c>
      <c r="W252" s="13" t="s">
        <v>427</v>
      </c>
      <c r="X252" s="23" t="s">
        <v>1431</v>
      </c>
      <c r="Y252" s="13" t="s">
        <v>295</v>
      </c>
      <c r="Z252" s="14" t="s">
        <v>1432</v>
      </c>
      <c r="AA252" s="17">
        <v>16</v>
      </c>
      <c r="AB252" s="14" t="s">
        <v>607</v>
      </c>
      <c r="AC252" s="17">
        <v>2655000</v>
      </c>
      <c r="AD252" s="14" t="s">
        <v>849</v>
      </c>
      <c r="AE252" s="17">
        <v>2458333</v>
      </c>
      <c r="AF252" s="14" t="s">
        <v>145</v>
      </c>
      <c r="AG252" s="20" t="s">
        <v>296</v>
      </c>
      <c r="AH252" s="10">
        <v>1910129</v>
      </c>
      <c r="AI252" s="24" t="str">
        <f>VLOOKUP(Sales[[#This Row],[Store]],'Store lay bao  cao'!A:B,2,0)</f>
        <v>Lấy BC</v>
      </c>
      <c r="AJ252" s="24" t="str">
        <f>VLOOKUP(Sales[[#This Row],[Associate]],'Associate Status'!B:C,2,0)</f>
        <v>Retired</v>
      </c>
    </row>
    <row r="253" spans="1:36" ht="77.25" x14ac:dyDescent="0.25">
      <c r="A253" s="7">
        <v>2024</v>
      </c>
      <c r="B253" s="8">
        <v>2</v>
      </c>
      <c r="C253" s="8">
        <v>7</v>
      </c>
      <c r="D253" s="8" t="s">
        <v>60</v>
      </c>
      <c r="E253" s="8" t="s">
        <v>43</v>
      </c>
      <c r="F253" s="8" t="s">
        <v>60</v>
      </c>
      <c r="G253" s="9">
        <v>36440514</v>
      </c>
      <c r="H253" s="10">
        <v>27228900</v>
      </c>
      <c r="I253" s="11">
        <v>45340</v>
      </c>
      <c r="J253" s="12">
        <v>202753</v>
      </c>
      <c r="K253" s="13" t="s">
        <v>1433</v>
      </c>
      <c r="L253" s="14" t="s">
        <v>19</v>
      </c>
      <c r="M253" s="11" t="s">
        <v>28</v>
      </c>
      <c r="N253" s="14" t="s">
        <v>62</v>
      </c>
      <c r="O253" s="15">
        <v>1246</v>
      </c>
      <c r="P253" s="12">
        <v>1</v>
      </c>
      <c r="Q253" s="13" t="s">
        <v>101</v>
      </c>
      <c r="R253" s="16">
        <v>84069300</v>
      </c>
      <c r="S253" s="17">
        <v>77841944</v>
      </c>
      <c r="T253" s="12">
        <v>5</v>
      </c>
      <c r="U253" s="18">
        <v>4096944</v>
      </c>
      <c r="V253" s="19">
        <v>4424700</v>
      </c>
      <c r="W253" s="13" t="s">
        <v>1367</v>
      </c>
      <c r="X253" s="23" t="s">
        <v>1434</v>
      </c>
      <c r="Y253" s="13" t="s">
        <v>922</v>
      </c>
      <c r="Z253" s="14" t="s">
        <v>1435</v>
      </c>
      <c r="AA253" s="17">
        <v>12</v>
      </c>
      <c r="AB253" s="14" t="s">
        <v>1436</v>
      </c>
      <c r="AC253" s="17">
        <v>88494000</v>
      </c>
      <c r="AD253" s="14">
        <v>53</v>
      </c>
      <c r="AE253" s="17">
        <v>81938889</v>
      </c>
      <c r="AF253" s="14" t="s">
        <v>379</v>
      </c>
      <c r="AG253" s="21" t="s">
        <v>923</v>
      </c>
      <c r="AH253" s="10">
        <v>41401430</v>
      </c>
      <c r="AI253" s="24" t="str">
        <f>VLOOKUP(Sales[[#This Row],[Store]],'Store lay bao  cao'!A:B,2,0)</f>
        <v>Lấy BC</v>
      </c>
      <c r="AJ253" s="24" t="str">
        <f>VLOOKUP(Sales[[#This Row],[Associate]],'Associate Status'!B:C,2,0)</f>
        <v>Retired</v>
      </c>
    </row>
    <row r="254" spans="1:36" x14ac:dyDescent="0.25">
      <c r="A254" s="7">
        <v>2024</v>
      </c>
      <c r="B254" s="8">
        <v>2</v>
      </c>
      <c r="C254" s="8">
        <v>8</v>
      </c>
      <c r="D254" s="8" t="s">
        <v>60</v>
      </c>
      <c r="E254" s="8" t="s">
        <v>34</v>
      </c>
      <c r="F254" s="8" t="s">
        <v>60</v>
      </c>
      <c r="G254" s="9">
        <v>71084776</v>
      </c>
      <c r="H254" s="10">
        <v>64833750</v>
      </c>
      <c r="I254" s="11">
        <v>45341</v>
      </c>
      <c r="J254" s="12">
        <v>203148</v>
      </c>
      <c r="K254" s="13" t="s">
        <v>1438</v>
      </c>
      <c r="L254" s="14" t="s">
        <v>44</v>
      </c>
      <c r="M254" s="11" t="s">
        <v>17</v>
      </c>
      <c r="N254" s="14" t="s">
        <v>62</v>
      </c>
      <c r="O254" s="15">
        <v>7877</v>
      </c>
      <c r="P254" s="12">
        <v>1</v>
      </c>
      <c r="Q254" s="13" t="s">
        <v>175</v>
      </c>
      <c r="R254" s="16">
        <v>118257120</v>
      </c>
      <c r="S254" s="17">
        <v>109497333</v>
      </c>
      <c r="T254" s="12">
        <v>28</v>
      </c>
      <c r="U254" s="18">
        <v>42582296</v>
      </c>
      <c r="V254" s="19">
        <v>45988880</v>
      </c>
      <c r="W254" s="13" t="s">
        <v>140</v>
      </c>
      <c r="X254" s="14" t="s">
        <v>1439</v>
      </c>
      <c r="Y254" s="13" t="s">
        <v>216</v>
      </c>
      <c r="Z254" s="14" t="s">
        <v>1440</v>
      </c>
      <c r="AA254" s="17">
        <v>15</v>
      </c>
      <c r="AB254" s="14" t="s">
        <v>1441</v>
      </c>
      <c r="AC254" s="17">
        <v>164246000</v>
      </c>
      <c r="AD254" s="14" t="s">
        <v>108</v>
      </c>
      <c r="AE254" s="17">
        <v>152079630</v>
      </c>
      <c r="AF254" s="14" t="s">
        <v>113</v>
      </c>
      <c r="AG254" s="20" t="s">
        <v>217</v>
      </c>
      <c r="AH254" s="10">
        <v>38412557</v>
      </c>
      <c r="AI254" s="24" t="str">
        <f>VLOOKUP(Sales[[#This Row],[Store]],'Store lay bao  cao'!A:B,2,0)</f>
        <v>Lấy BC</v>
      </c>
      <c r="AJ254" s="24" t="str">
        <f>VLOOKUP(Sales[[#This Row],[Associate]],'Associate Status'!B:C,2,0)</f>
        <v>Active</v>
      </c>
    </row>
    <row r="255" spans="1:36" x14ac:dyDescent="0.25">
      <c r="A255" s="7">
        <v>2024</v>
      </c>
      <c r="B255" s="8">
        <v>2</v>
      </c>
      <c r="C255" s="8">
        <v>8</v>
      </c>
      <c r="D255" s="8" t="s">
        <v>57</v>
      </c>
      <c r="E255" s="8" t="s">
        <v>34</v>
      </c>
      <c r="F255" s="8" t="s">
        <v>57</v>
      </c>
      <c r="G255" s="9">
        <v>-19583140</v>
      </c>
      <c r="H255" s="10">
        <v>-17968500</v>
      </c>
      <c r="I255" s="11">
        <v>45343</v>
      </c>
      <c r="J255" s="12">
        <v>193279</v>
      </c>
      <c r="K255" s="13" t="s">
        <v>1442</v>
      </c>
      <c r="L255" s="14" t="s">
        <v>58</v>
      </c>
      <c r="M255" s="11" t="s">
        <v>28</v>
      </c>
      <c r="N255" s="14" t="s">
        <v>11</v>
      </c>
      <c r="O255" s="15">
        <v>1262</v>
      </c>
      <c r="P255" s="12">
        <v>-1</v>
      </c>
      <c r="Q255" s="13" t="s">
        <v>102</v>
      </c>
      <c r="R255" s="16">
        <v>-52469000</v>
      </c>
      <c r="S255" s="17">
        <v>-48582407</v>
      </c>
      <c r="T255" s="12">
        <v>0</v>
      </c>
      <c r="U255" s="18">
        <v>0</v>
      </c>
      <c r="V255" s="19">
        <v>0</v>
      </c>
      <c r="W255" s="13" t="s">
        <v>1225</v>
      </c>
      <c r="X255" s="14" t="s">
        <v>1336</v>
      </c>
      <c r="Y255" s="13" t="s">
        <v>103</v>
      </c>
      <c r="Z255" s="14" t="s">
        <v>1123</v>
      </c>
      <c r="AA255" s="17">
        <v>14</v>
      </c>
      <c r="AB255" s="14" t="s">
        <v>1337</v>
      </c>
      <c r="AC255" s="17">
        <v>-52469000</v>
      </c>
      <c r="AD255" s="14" t="s">
        <v>108</v>
      </c>
      <c r="AE255" s="17">
        <v>-48582407</v>
      </c>
      <c r="AF255" s="14" t="s">
        <v>1146</v>
      </c>
      <c r="AG255" s="21"/>
      <c r="AH255" s="10">
        <v>-28999267</v>
      </c>
      <c r="AI255" s="24" t="str">
        <f>VLOOKUP(Sales[[#This Row],[Store]],'Store lay bao  cao'!A:B,2,0)</f>
        <v>Lấy BC</v>
      </c>
      <c r="AJ255" s="24" t="str">
        <f>VLOOKUP(Sales[[#This Row],[Associate]],'Associate Status'!B:C,2,0)</f>
        <v>Retired</v>
      </c>
    </row>
    <row r="256" spans="1:36" x14ac:dyDescent="0.25">
      <c r="A256" s="7">
        <v>2024</v>
      </c>
      <c r="B256" s="8">
        <v>2</v>
      </c>
      <c r="C256" s="8">
        <v>8</v>
      </c>
      <c r="D256" s="8" t="s">
        <v>60</v>
      </c>
      <c r="E256" s="8" t="s">
        <v>34</v>
      </c>
      <c r="F256" s="8" t="s">
        <v>60</v>
      </c>
      <c r="G256" s="9">
        <v>19729838</v>
      </c>
      <c r="H256" s="10">
        <v>19765350</v>
      </c>
      <c r="I256" s="11">
        <v>45343</v>
      </c>
      <c r="J256" s="12">
        <v>202696</v>
      </c>
      <c r="K256" s="13" t="s">
        <v>1442</v>
      </c>
      <c r="L256" s="14" t="s">
        <v>58</v>
      </c>
      <c r="M256" s="11" t="s">
        <v>28</v>
      </c>
      <c r="N256" s="14" t="s">
        <v>11</v>
      </c>
      <c r="O256" s="15">
        <v>1262</v>
      </c>
      <c r="P256" s="12">
        <v>1</v>
      </c>
      <c r="Q256" s="13" t="s">
        <v>102</v>
      </c>
      <c r="R256" s="16">
        <v>51660000</v>
      </c>
      <c r="S256" s="17">
        <v>47833333</v>
      </c>
      <c r="T256" s="12">
        <v>0</v>
      </c>
      <c r="U256" s="18">
        <v>0</v>
      </c>
      <c r="V256" s="19">
        <v>0</v>
      </c>
      <c r="W256" s="13" t="s">
        <v>1225</v>
      </c>
      <c r="X256" s="14" t="s">
        <v>1443</v>
      </c>
      <c r="Y256" s="13" t="s">
        <v>103</v>
      </c>
      <c r="Z256" s="14" t="s">
        <v>1123</v>
      </c>
      <c r="AA256" s="17">
        <v>14</v>
      </c>
      <c r="AB256" s="14" t="s">
        <v>1444</v>
      </c>
      <c r="AC256" s="17">
        <v>51660000</v>
      </c>
      <c r="AD256" s="14" t="s">
        <v>108</v>
      </c>
      <c r="AE256" s="17">
        <v>47833333</v>
      </c>
      <c r="AF256" s="14" t="s">
        <v>1146</v>
      </c>
      <c r="AG256" s="20"/>
      <c r="AH256" s="10">
        <v>28103495</v>
      </c>
      <c r="AI256" s="24" t="str">
        <f>VLOOKUP(Sales[[#This Row],[Store]],'Store lay bao  cao'!A:B,2,0)</f>
        <v>Lấy BC</v>
      </c>
      <c r="AJ256" s="24" t="str">
        <f>VLOOKUP(Sales[[#This Row],[Associate]],'Associate Status'!B:C,2,0)</f>
        <v>Retired</v>
      </c>
    </row>
    <row r="257" spans="1:36" x14ac:dyDescent="0.25">
      <c r="A257" s="7">
        <v>2024</v>
      </c>
      <c r="B257" s="8">
        <v>2</v>
      </c>
      <c r="C257" s="8">
        <v>8</v>
      </c>
      <c r="D257" s="8" t="s">
        <v>60</v>
      </c>
      <c r="E257" s="8" t="s">
        <v>34</v>
      </c>
      <c r="F257" s="8" t="s">
        <v>60</v>
      </c>
      <c r="G257" s="9">
        <v>16169772</v>
      </c>
      <c r="H257" s="10">
        <v>16198875.000000002</v>
      </c>
      <c r="I257" s="11">
        <v>45343</v>
      </c>
      <c r="J257" s="12">
        <v>202698</v>
      </c>
      <c r="K257" s="13" t="s">
        <v>1445</v>
      </c>
      <c r="L257" s="14" t="s">
        <v>58</v>
      </c>
      <c r="M257" s="11" t="s">
        <v>17</v>
      </c>
      <c r="N257" s="14" t="s">
        <v>11</v>
      </c>
      <c r="O257" s="15">
        <v>7884</v>
      </c>
      <c r="P257" s="12">
        <v>1</v>
      </c>
      <c r="Q257" s="13" t="s">
        <v>102</v>
      </c>
      <c r="R257" s="16">
        <v>42338000</v>
      </c>
      <c r="S257" s="17">
        <v>39201852</v>
      </c>
      <c r="T257" s="12">
        <v>0</v>
      </c>
      <c r="U257" s="18">
        <v>0</v>
      </c>
      <c r="V257" s="19">
        <v>0</v>
      </c>
      <c r="W257" s="13" t="s">
        <v>427</v>
      </c>
      <c r="X257" s="14" t="s">
        <v>1446</v>
      </c>
      <c r="Y257" s="13" t="s">
        <v>304</v>
      </c>
      <c r="Z257" s="14" t="s">
        <v>1447</v>
      </c>
      <c r="AA257" s="17">
        <v>11</v>
      </c>
      <c r="AB257" s="14" t="s">
        <v>1444</v>
      </c>
      <c r="AC257" s="17">
        <v>42338000</v>
      </c>
      <c r="AD257" s="14" t="s">
        <v>108</v>
      </c>
      <c r="AE257" s="17">
        <v>39201852</v>
      </c>
      <c r="AF257" s="14" t="s">
        <v>789</v>
      </c>
      <c r="AG257" s="21" t="s">
        <v>305</v>
      </c>
      <c r="AH257" s="10">
        <v>23032080</v>
      </c>
      <c r="AI257" s="24" t="str">
        <f>VLOOKUP(Sales[[#This Row],[Store]],'Store lay bao  cao'!A:B,2,0)</f>
        <v>Lấy BC</v>
      </c>
      <c r="AJ257" s="24" t="str">
        <f>VLOOKUP(Sales[[#This Row],[Associate]],'Associate Status'!B:C,2,0)</f>
        <v>Active</v>
      </c>
    </row>
    <row r="258" spans="1:36" x14ac:dyDescent="0.25">
      <c r="A258" s="7">
        <v>2024</v>
      </c>
      <c r="B258" s="8">
        <v>2</v>
      </c>
      <c r="C258" s="8">
        <v>8</v>
      </c>
      <c r="D258" s="8" t="s">
        <v>60</v>
      </c>
      <c r="E258" s="8" t="s">
        <v>37</v>
      </c>
      <c r="F258" s="8" t="s">
        <v>60</v>
      </c>
      <c r="G258" s="9">
        <v>23452963</v>
      </c>
      <c r="H258" s="10">
        <v>23495175.000000004</v>
      </c>
      <c r="I258" s="11">
        <v>45347</v>
      </c>
      <c r="J258" s="12">
        <v>202708</v>
      </c>
      <c r="K258" s="13" t="s">
        <v>1450</v>
      </c>
      <c r="L258" s="14" t="s">
        <v>58</v>
      </c>
      <c r="M258" s="11" t="s">
        <v>17</v>
      </c>
      <c r="N258" s="14" t="s">
        <v>11</v>
      </c>
      <c r="O258" s="15">
        <v>7904</v>
      </c>
      <c r="P258" s="12">
        <v>1</v>
      </c>
      <c r="Q258" s="13" t="s">
        <v>144</v>
      </c>
      <c r="R258" s="16">
        <v>61408000</v>
      </c>
      <c r="S258" s="17">
        <v>56859259</v>
      </c>
      <c r="T258" s="12">
        <v>0</v>
      </c>
      <c r="U258" s="18">
        <v>0</v>
      </c>
      <c r="V258" s="19">
        <v>0</v>
      </c>
      <c r="W258" s="13" t="s">
        <v>427</v>
      </c>
      <c r="X258" s="14" t="s">
        <v>1451</v>
      </c>
      <c r="Y258" s="13" t="s">
        <v>304</v>
      </c>
      <c r="Z258" s="14" t="s">
        <v>1452</v>
      </c>
      <c r="AA258" s="17">
        <v>18</v>
      </c>
      <c r="AB258" s="14" t="s">
        <v>1444</v>
      </c>
      <c r="AC258" s="17">
        <v>61408000</v>
      </c>
      <c r="AD258" s="14">
        <v>550</v>
      </c>
      <c r="AE258" s="17">
        <v>56859259</v>
      </c>
      <c r="AF258" s="14" t="s">
        <v>789</v>
      </c>
      <c r="AG258" s="20" t="s">
        <v>305</v>
      </c>
      <c r="AH258" s="10">
        <v>33406296</v>
      </c>
      <c r="AI258" s="24" t="str">
        <f>VLOOKUP(Sales[[#This Row],[Store]],'Store lay bao  cao'!A:B,2,0)</f>
        <v>Lấy BC</v>
      </c>
      <c r="AJ258" s="24" t="str">
        <f>VLOOKUP(Sales[[#This Row],[Associate]],'Associate Status'!B:C,2,0)</f>
        <v>Active</v>
      </c>
    </row>
    <row r="259" spans="1:36" x14ac:dyDescent="0.25">
      <c r="A259" s="7">
        <v>2024</v>
      </c>
      <c r="B259" s="8">
        <v>2</v>
      </c>
      <c r="C259" s="8">
        <v>9</v>
      </c>
      <c r="D259" s="8" t="s">
        <v>60</v>
      </c>
      <c r="E259" s="8" t="s">
        <v>37</v>
      </c>
      <c r="F259" s="8" t="s">
        <v>60</v>
      </c>
      <c r="G259" s="9">
        <v>2334268</v>
      </c>
      <c r="H259" s="10">
        <v>1744199.9999999998</v>
      </c>
      <c r="I259" s="11">
        <v>45349</v>
      </c>
      <c r="J259" s="12">
        <v>202782</v>
      </c>
      <c r="K259" s="13" t="s">
        <v>1453</v>
      </c>
      <c r="L259" s="14" t="s">
        <v>19</v>
      </c>
      <c r="M259" s="11" t="s">
        <v>28</v>
      </c>
      <c r="N259" s="14" t="s">
        <v>62</v>
      </c>
      <c r="O259" s="15">
        <v>1290</v>
      </c>
      <c r="P259" s="12">
        <v>1</v>
      </c>
      <c r="Q259" s="13" t="s">
        <v>102</v>
      </c>
      <c r="R259" s="16">
        <v>5669000</v>
      </c>
      <c r="S259" s="17">
        <v>5249074</v>
      </c>
      <c r="T259" s="12">
        <v>0</v>
      </c>
      <c r="U259" s="18">
        <v>0</v>
      </c>
      <c r="V259" s="19">
        <v>0</v>
      </c>
      <c r="W259" s="13" t="s">
        <v>1367</v>
      </c>
      <c r="X259" s="14" t="s">
        <v>1454</v>
      </c>
      <c r="Y259" s="13" t="s">
        <v>745</v>
      </c>
      <c r="Z259" s="14" t="s">
        <v>1455</v>
      </c>
      <c r="AA259" s="17">
        <v>12</v>
      </c>
      <c r="AB259" s="14" t="s">
        <v>220</v>
      </c>
      <c r="AC259" s="17">
        <v>5669000</v>
      </c>
      <c r="AD259" s="14" t="s">
        <v>108</v>
      </c>
      <c r="AE259" s="17">
        <v>5249074</v>
      </c>
      <c r="AF259" s="14" t="s">
        <v>121</v>
      </c>
      <c r="AG259" s="21" t="s">
        <v>746</v>
      </c>
      <c r="AH259" s="10">
        <v>2914806</v>
      </c>
      <c r="AI259" s="24" t="str">
        <f>VLOOKUP(Sales[[#This Row],[Store]],'Store lay bao  cao'!A:B,2,0)</f>
        <v>Lấy BC</v>
      </c>
      <c r="AJ259" s="24" t="str">
        <f>VLOOKUP(Sales[[#This Row],[Associate]],'Associate Status'!B:C,2,0)</f>
        <v>Active</v>
      </c>
    </row>
    <row r="260" spans="1:36" x14ac:dyDescent="0.25">
      <c r="A260" s="7">
        <v>2024</v>
      </c>
      <c r="B260" s="8">
        <v>2</v>
      </c>
      <c r="C260" s="8">
        <v>9</v>
      </c>
      <c r="D260" s="8" t="s">
        <v>60</v>
      </c>
      <c r="E260" s="8" t="s">
        <v>37</v>
      </c>
      <c r="F260" s="8" t="s">
        <v>60</v>
      </c>
      <c r="G260" s="9">
        <v>1880383</v>
      </c>
      <c r="H260" s="10">
        <v>1405049.9999999998</v>
      </c>
      <c r="I260" s="11">
        <v>45351</v>
      </c>
      <c r="J260" s="12">
        <v>202778</v>
      </c>
      <c r="K260" s="13" t="s">
        <v>1457</v>
      </c>
      <c r="L260" s="14" t="s">
        <v>19</v>
      </c>
      <c r="M260" s="11" t="s">
        <v>28</v>
      </c>
      <c r="N260" s="14" t="s">
        <v>62</v>
      </c>
      <c r="O260" s="15">
        <v>1300</v>
      </c>
      <c r="P260" s="12">
        <v>1</v>
      </c>
      <c r="Q260" s="13" t="s">
        <v>102</v>
      </c>
      <c r="R260" s="16">
        <v>4567000</v>
      </c>
      <c r="S260" s="17">
        <v>4228704</v>
      </c>
      <c r="T260" s="12">
        <v>0</v>
      </c>
      <c r="U260" s="18">
        <v>0</v>
      </c>
      <c r="V260" s="19">
        <v>0</v>
      </c>
      <c r="W260" s="13" t="s">
        <v>1399</v>
      </c>
      <c r="X260" s="14" t="s">
        <v>1458</v>
      </c>
      <c r="Y260" s="13" t="s">
        <v>1459</v>
      </c>
      <c r="Z260" s="14" t="s">
        <v>1460</v>
      </c>
      <c r="AA260" s="17">
        <v>15</v>
      </c>
      <c r="AB260" s="14" t="s">
        <v>220</v>
      </c>
      <c r="AC260" s="17">
        <v>4567000</v>
      </c>
      <c r="AD260" s="14" t="s">
        <v>108</v>
      </c>
      <c r="AE260" s="17">
        <v>4228704</v>
      </c>
      <c r="AF260" s="14" t="s">
        <v>1338</v>
      </c>
      <c r="AG260" s="20" t="s">
        <v>1461</v>
      </c>
      <c r="AH260" s="10">
        <v>2348321</v>
      </c>
      <c r="AI260" s="24" t="str">
        <f>VLOOKUP(Sales[[#This Row],[Store]],'Store lay bao  cao'!A:B,2,0)</f>
        <v>Lấy BC</v>
      </c>
      <c r="AJ260" s="24" t="str">
        <f>VLOOKUP(Sales[[#This Row],[Associate]],'Associate Status'!B:C,2,0)</f>
        <v>Active</v>
      </c>
    </row>
    <row r="261" spans="1:36" x14ac:dyDescent="0.25">
      <c r="A261" s="7">
        <v>2024</v>
      </c>
      <c r="B261" s="8">
        <v>3</v>
      </c>
      <c r="C261" s="8">
        <v>9</v>
      </c>
      <c r="D261" s="8" t="s">
        <v>51</v>
      </c>
      <c r="E261" s="8" t="s">
        <v>43</v>
      </c>
      <c r="F261" s="8" t="s">
        <v>51</v>
      </c>
      <c r="G261" s="9">
        <v>670026</v>
      </c>
      <c r="H261" s="10">
        <v>584100</v>
      </c>
      <c r="I261" s="11">
        <v>45352</v>
      </c>
      <c r="J261" s="12">
        <v>174914</v>
      </c>
      <c r="K261" s="13" t="s">
        <v>1462</v>
      </c>
      <c r="L261" s="14" t="s">
        <v>47</v>
      </c>
      <c r="M261" s="11" t="s">
        <v>17</v>
      </c>
      <c r="N261" s="14" t="s">
        <v>11</v>
      </c>
      <c r="O261" s="15">
        <v>7926</v>
      </c>
      <c r="P261" s="12">
        <v>1</v>
      </c>
      <c r="Q261" s="13" t="s">
        <v>102</v>
      </c>
      <c r="R261" s="16">
        <v>3245000</v>
      </c>
      <c r="S261" s="17">
        <v>3004630</v>
      </c>
      <c r="T261" s="12">
        <v>0</v>
      </c>
      <c r="U261" s="18">
        <v>0</v>
      </c>
      <c r="V261" s="19">
        <v>0</v>
      </c>
      <c r="W261" s="13" t="s">
        <v>140</v>
      </c>
      <c r="X261" s="14" t="s">
        <v>1463</v>
      </c>
      <c r="Y261" s="13" t="s">
        <v>187</v>
      </c>
      <c r="Z261" s="14" t="s">
        <v>1464</v>
      </c>
      <c r="AA261" s="17">
        <v>11</v>
      </c>
      <c r="AB261" s="14" t="s">
        <v>189</v>
      </c>
      <c r="AC261" s="17">
        <v>3245000</v>
      </c>
      <c r="AD261" s="14" t="s">
        <v>849</v>
      </c>
      <c r="AE261" s="17">
        <v>3004630</v>
      </c>
      <c r="AF261" s="14" t="s">
        <v>998</v>
      </c>
      <c r="AG261" s="21" t="s">
        <v>188</v>
      </c>
      <c r="AH261" s="10">
        <v>2334604</v>
      </c>
      <c r="AI261" s="24" t="str">
        <f>VLOOKUP(Sales[[#This Row],[Store]],'Store lay bao  cao'!A:B,2,0)</f>
        <v>Lấy BC</v>
      </c>
      <c r="AJ261" s="24" t="str">
        <f>VLOOKUP(Sales[[#This Row],[Associate]],'Associate Status'!B:C,2,0)</f>
        <v>Active</v>
      </c>
    </row>
    <row r="262" spans="1:36" x14ac:dyDescent="0.25">
      <c r="A262" s="7">
        <v>2024</v>
      </c>
      <c r="B262" s="8">
        <v>3</v>
      </c>
      <c r="C262" s="8">
        <v>9</v>
      </c>
      <c r="D262" s="8" t="s">
        <v>60</v>
      </c>
      <c r="E262" s="8" t="s">
        <v>43</v>
      </c>
      <c r="F262" s="8" t="s">
        <v>60</v>
      </c>
      <c r="G262" s="9">
        <v>6095032</v>
      </c>
      <c r="H262" s="10">
        <v>4554300</v>
      </c>
      <c r="I262" s="11">
        <v>45354</v>
      </c>
      <c r="J262" s="12">
        <v>202786</v>
      </c>
      <c r="K262" s="13" t="s">
        <v>1465</v>
      </c>
      <c r="L262" s="14" t="s">
        <v>19</v>
      </c>
      <c r="M262" s="11" t="s">
        <v>17</v>
      </c>
      <c r="N262" s="14" t="s">
        <v>62</v>
      </c>
      <c r="O262" s="15">
        <v>7943</v>
      </c>
      <c r="P262" s="12">
        <v>1</v>
      </c>
      <c r="Q262" s="13" t="s">
        <v>101</v>
      </c>
      <c r="R262" s="16">
        <v>14802000</v>
      </c>
      <c r="S262" s="17">
        <v>13705556</v>
      </c>
      <c r="T262" s="12">
        <v>0</v>
      </c>
      <c r="U262" s="18">
        <v>0</v>
      </c>
      <c r="V262" s="19">
        <v>0</v>
      </c>
      <c r="W262" s="13" t="s">
        <v>427</v>
      </c>
      <c r="X262" s="14" t="s">
        <v>1466</v>
      </c>
      <c r="Y262" s="13" t="s">
        <v>103</v>
      </c>
      <c r="Z262" s="14" t="s">
        <v>1467</v>
      </c>
      <c r="AA262" s="17">
        <v>11</v>
      </c>
      <c r="AB262" s="14" t="s">
        <v>220</v>
      </c>
      <c r="AC262" s="17">
        <v>14802000</v>
      </c>
      <c r="AD262" s="14">
        <v>50</v>
      </c>
      <c r="AE262" s="17">
        <v>13705556</v>
      </c>
      <c r="AF262" s="14" t="s">
        <v>125</v>
      </c>
      <c r="AG262" s="20"/>
      <c r="AH262" s="10">
        <v>7610524</v>
      </c>
      <c r="AI262" s="24" t="str">
        <f>VLOOKUP(Sales[[#This Row],[Store]],'Store lay bao  cao'!A:B,2,0)</f>
        <v>Lấy BC</v>
      </c>
      <c r="AJ262" s="24" t="str">
        <f>VLOOKUP(Sales[[#This Row],[Associate]],'Associate Status'!B:C,2,0)</f>
        <v>Active</v>
      </c>
    </row>
    <row r="263" spans="1:36" x14ac:dyDescent="0.25">
      <c r="A263" s="7">
        <v>2024</v>
      </c>
      <c r="B263" s="8">
        <v>3</v>
      </c>
      <c r="C263" s="8">
        <v>10</v>
      </c>
      <c r="D263" s="8" t="s">
        <v>60</v>
      </c>
      <c r="E263" s="8" t="s">
        <v>37</v>
      </c>
      <c r="F263" s="8" t="s">
        <v>60</v>
      </c>
      <c r="G263" s="9">
        <v>3177198</v>
      </c>
      <c r="H263" s="10">
        <v>2374050</v>
      </c>
      <c r="I263" s="11">
        <v>45355</v>
      </c>
      <c r="J263" s="12">
        <v>202758</v>
      </c>
      <c r="K263" s="13" t="s">
        <v>1468</v>
      </c>
      <c r="L263" s="14" t="s">
        <v>19</v>
      </c>
      <c r="M263" s="11" t="s">
        <v>28</v>
      </c>
      <c r="N263" s="14" t="s">
        <v>62</v>
      </c>
      <c r="O263" s="15">
        <v>1322</v>
      </c>
      <c r="P263" s="12">
        <v>1</v>
      </c>
      <c r="Q263" s="13" t="s">
        <v>101</v>
      </c>
      <c r="R263" s="16">
        <v>7716000</v>
      </c>
      <c r="S263" s="17">
        <v>7144444</v>
      </c>
      <c r="T263" s="12">
        <v>0</v>
      </c>
      <c r="U263" s="18">
        <v>0</v>
      </c>
      <c r="V263" s="19">
        <v>0</v>
      </c>
      <c r="W263" s="13" t="s">
        <v>1225</v>
      </c>
      <c r="X263" s="14" t="s">
        <v>1469</v>
      </c>
      <c r="Y263" s="13" t="s">
        <v>1459</v>
      </c>
      <c r="Z263" s="14" t="s">
        <v>1470</v>
      </c>
      <c r="AA263" s="17">
        <v>16</v>
      </c>
      <c r="AB263" s="14" t="s">
        <v>1471</v>
      </c>
      <c r="AC263" s="17">
        <v>7716000</v>
      </c>
      <c r="AD263" s="14" t="s">
        <v>108</v>
      </c>
      <c r="AE263" s="17">
        <v>7144444</v>
      </c>
      <c r="AF263" s="14" t="s">
        <v>1201</v>
      </c>
      <c r="AG263" s="21" t="s">
        <v>1461</v>
      </c>
      <c r="AH263" s="10">
        <v>3967246</v>
      </c>
      <c r="AI263" s="24" t="str">
        <f>VLOOKUP(Sales[[#This Row],[Store]],'Store lay bao  cao'!A:B,2,0)</f>
        <v>Lấy BC</v>
      </c>
      <c r="AJ263" s="24" t="e">
        <f>VLOOKUP(Sales[[#This Row],[Associate]],'Associate Status'!B:C,2,0)</f>
        <v>#N/A</v>
      </c>
    </row>
    <row r="264" spans="1:36" x14ac:dyDescent="0.25">
      <c r="A264" s="7">
        <v>2024</v>
      </c>
      <c r="B264" s="8">
        <v>3</v>
      </c>
      <c r="C264" s="8">
        <v>10</v>
      </c>
      <c r="D264" s="8" t="s">
        <v>60</v>
      </c>
      <c r="E264" s="8" t="s">
        <v>37</v>
      </c>
      <c r="F264" s="8" t="s">
        <v>60</v>
      </c>
      <c r="G264" s="9">
        <v>3047516</v>
      </c>
      <c r="H264" s="10">
        <v>2277150</v>
      </c>
      <c r="I264" s="11">
        <v>45355</v>
      </c>
      <c r="J264" s="12">
        <v>202779</v>
      </c>
      <c r="K264" s="13" t="s">
        <v>1468</v>
      </c>
      <c r="L264" s="14" t="s">
        <v>19</v>
      </c>
      <c r="M264" s="11" t="s">
        <v>28</v>
      </c>
      <c r="N264" s="14" t="s">
        <v>62</v>
      </c>
      <c r="O264" s="15">
        <v>1322</v>
      </c>
      <c r="P264" s="12">
        <v>1</v>
      </c>
      <c r="Q264" s="13" t="s">
        <v>101</v>
      </c>
      <c r="R264" s="16">
        <v>7401000</v>
      </c>
      <c r="S264" s="17">
        <v>6852778</v>
      </c>
      <c r="T264" s="12">
        <v>0</v>
      </c>
      <c r="U264" s="18">
        <v>0</v>
      </c>
      <c r="V264" s="19">
        <v>0</v>
      </c>
      <c r="W264" s="13" t="s">
        <v>1225</v>
      </c>
      <c r="X264" s="14" t="s">
        <v>1405</v>
      </c>
      <c r="Y264" s="13" t="s">
        <v>1459</v>
      </c>
      <c r="Z264" s="14" t="s">
        <v>1406</v>
      </c>
      <c r="AA264" s="17">
        <v>16</v>
      </c>
      <c r="AB264" s="14" t="s">
        <v>1407</v>
      </c>
      <c r="AC264" s="17">
        <v>7401000</v>
      </c>
      <c r="AD264" s="14" t="s">
        <v>108</v>
      </c>
      <c r="AE264" s="17">
        <v>6852778</v>
      </c>
      <c r="AF264" s="14" t="s">
        <v>1201</v>
      </c>
      <c r="AG264" s="20" t="s">
        <v>1461</v>
      </c>
      <c r="AH264" s="10">
        <v>3805262</v>
      </c>
      <c r="AI264" s="24" t="str">
        <f>VLOOKUP(Sales[[#This Row],[Store]],'Store lay bao  cao'!A:B,2,0)</f>
        <v>Lấy BC</v>
      </c>
      <c r="AJ264" s="24" t="e">
        <f>VLOOKUP(Sales[[#This Row],[Associate]],'Associate Status'!B:C,2,0)</f>
        <v>#N/A</v>
      </c>
    </row>
    <row r="265" spans="1:36" x14ac:dyDescent="0.25">
      <c r="A265" s="7">
        <v>2024</v>
      </c>
      <c r="B265" s="8">
        <v>3</v>
      </c>
      <c r="C265" s="8">
        <v>10</v>
      </c>
      <c r="D265" s="8" t="s">
        <v>60</v>
      </c>
      <c r="E265" s="8" t="s">
        <v>43</v>
      </c>
      <c r="F265" s="8" t="s">
        <v>60</v>
      </c>
      <c r="G265" s="9">
        <v>3047517</v>
      </c>
      <c r="H265" s="10">
        <v>2277150</v>
      </c>
      <c r="I265" s="11">
        <v>45357</v>
      </c>
      <c r="J265" s="12">
        <v>202813</v>
      </c>
      <c r="K265" s="13" t="s">
        <v>1472</v>
      </c>
      <c r="L265" s="14" t="s">
        <v>19</v>
      </c>
      <c r="M265" s="11" t="s">
        <v>17</v>
      </c>
      <c r="N265" s="14" t="s">
        <v>62</v>
      </c>
      <c r="O265" s="15">
        <v>7959</v>
      </c>
      <c r="P265" s="12">
        <v>1</v>
      </c>
      <c r="Q265" s="13" t="s">
        <v>101</v>
      </c>
      <c r="R265" s="16">
        <v>7401000</v>
      </c>
      <c r="S265" s="17">
        <v>6852778</v>
      </c>
      <c r="T265" s="12">
        <v>0</v>
      </c>
      <c r="U265" s="18">
        <v>0</v>
      </c>
      <c r="V265" s="19">
        <v>0</v>
      </c>
      <c r="W265" s="13" t="s">
        <v>427</v>
      </c>
      <c r="X265" s="14" t="s">
        <v>1473</v>
      </c>
      <c r="Y265" s="13" t="s">
        <v>103</v>
      </c>
      <c r="Z265" s="14" t="s">
        <v>1474</v>
      </c>
      <c r="AA265" s="17">
        <v>15</v>
      </c>
      <c r="AB265" s="14" t="s">
        <v>1475</v>
      </c>
      <c r="AC265" s="17">
        <v>7401000</v>
      </c>
      <c r="AD265" s="14">
        <v>53</v>
      </c>
      <c r="AE265" s="17">
        <v>6852778</v>
      </c>
      <c r="AF265" s="14" t="s">
        <v>885</v>
      </c>
      <c r="AG265" s="21"/>
      <c r="AH265" s="10">
        <v>3805261</v>
      </c>
      <c r="AI265" s="24" t="str">
        <f>VLOOKUP(Sales[[#This Row],[Store]],'Store lay bao  cao'!A:B,2,0)</f>
        <v>Lấy BC</v>
      </c>
      <c r="AJ265" s="24" t="str">
        <f>VLOOKUP(Sales[[#This Row],[Associate]],'Associate Status'!B:C,2,0)</f>
        <v>Retired</v>
      </c>
    </row>
    <row r="266" spans="1:36" x14ac:dyDescent="0.25">
      <c r="A266" s="7">
        <v>2024</v>
      </c>
      <c r="B266" s="8">
        <v>3</v>
      </c>
      <c r="C266" s="8">
        <v>10</v>
      </c>
      <c r="D266" s="8" t="s">
        <v>60</v>
      </c>
      <c r="E266" s="8" t="s">
        <v>43</v>
      </c>
      <c r="F266" s="8" t="s">
        <v>60</v>
      </c>
      <c r="G266" s="9">
        <v>1750701</v>
      </c>
      <c r="H266" s="10">
        <v>1308150</v>
      </c>
      <c r="I266" s="11">
        <v>45357</v>
      </c>
      <c r="J266" s="12">
        <v>202791</v>
      </c>
      <c r="K266" s="13" t="s">
        <v>1472</v>
      </c>
      <c r="L266" s="14" t="s">
        <v>19</v>
      </c>
      <c r="M266" s="11" t="s">
        <v>17</v>
      </c>
      <c r="N266" s="14" t="s">
        <v>62</v>
      </c>
      <c r="O266" s="15">
        <v>7959</v>
      </c>
      <c r="P266" s="12">
        <v>1</v>
      </c>
      <c r="Q266" s="13" t="s">
        <v>101</v>
      </c>
      <c r="R266" s="16">
        <v>4252000</v>
      </c>
      <c r="S266" s="17">
        <v>3937037</v>
      </c>
      <c r="T266" s="12">
        <v>0</v>
      </c>
      <c r="U266" s="18">
        <v>0</v>
      </c>
      <c r="V266" s="19">
        <v>0</v>
      </c>
      <c r="W266" s="13" t="s">
        <v>427</v>
      </c>
      <c r="X266" s="14" t="s">
        <v>1476</v>
      </c>
      <c r="Y266" s="13" t="s">
        <v>103</v>
      </c>
      <c r="Z266" s="14" t="s">
        <v>1477</v>
      </c>
      <c r="AA266" s="17">
        <v>15</v>
      </c>
      <c r="AB266" s="14" t="s">
        <v>1478</v>
      </c>
      <c r="AC266" s="17">
        <v>4252000</v>
      </c>
      <c r="AD266" s="14">
        <v>53</v>
      </c>
      <c r="AE266" s="17">
        <v>3937037</v>
      </c>
      <c r="AF266" s="14" t="s">
        <v>885</v>
      </c>
      <c r="AG266" s="20"/>
      <c r="AH266" s="10">
        <v>2186336</v>
      </c>
      <c r="AI266" s="24" t="str">
        <f>VLOOKUP(Sales[[#This Row],[Store]],'Store lay bao  cao'!A:B,2,0)</f>
        <v>Lấy BC</v>
      </c>
      <c r="AJ266" s="24" t="str">
        <f>VLOOKUP(Sales[[#This Row],[Associate]],'Associate Status'!B:C,2,0)</f>
        <v>Retired</v>
      </c>
    </row>
    <row r="267" spans="1:36" ht="51.75" x14ac:dyDescent="0.25">
      <c r="A267" s="7">
        <v>2024</v>
      </c>
      <c r="B267" s="8">
        <v>3</v>
      </c>
      <c r="C267" s="8">
        <v>11</v>
      </c>
      <c r="D267" s="8" t="s">
        <v>60</v>
      </c>
      <c r="E267" s="8" t="s">
        <v>37</v>
      </c>
      <c r="F267" s="8" t="s">
        <v>60</v>
      </c>
      <c r="G267" s="9">
        <v>1880383</v>
      </c>
      <c r="H267" s="10">
        <v>1405049.9999999998</v>
      </c>
      <c r="I267" s="11">
        <v>45364</v>
      </c>
      <c r="J267" s="12">
        <v>202778</v>
      </c>
      <c r="K267" s="13" t="s">
        <v>1479</v>
      </c>
      <c r="L267" s="14" t="s">
        <v>19</v>
      </c>
      <c r="M267" s="11" t="s">
        <v>28</v>
      </c>
      <c r="N267" s="14" t="s">
        <v>62</v>
      </c>
      <c r="O267" s="15">
        <v>1359</v>
      </c>
      <c r="P267" s="12">
        <v>1</v>
      </c>
      <c r="Q267" s="13" t="s">
        <v>101</v>
      </c>
      <c r="R267" s="16">
        <v>4567000</v>
      </c>
      <c r="S267" s="17">
        <v>4228704</v>
      </c>
      <c r="T267" s="12">
        <v>0</v>
      </c>
      <c r="U267" s="18">
        <v>0</v>
      </c>
      <c r="V267" s="19">
        <v>0</v>
      </c>
      <c r="W267" s="13" t="s">
        <v>157</v>
      </c>
      <c r="X267" s="23" t="s">
        <v>1458</v>
      </c>
      <c r="Y267" s="13" t="s">
        <v>1480</v>
      </c>
      <c r="Z267" s="14" t="s">
        <v>1460</v>
      </c>
      <c r="AA267" s="17">
        <v>18</v>
      </c>
      <c r="AB267" s="14" t="s">
        <v>220</v>
      </c>
      <c r="AC267" s="17">
        <v>4567000</v>
      </c>
      <c r="AD267" s="14" t="s">
        <v>108</v>
      </c>
      <c r="AE267" s="17">
        <v>4228704</v>
      </c>
      <c r="AF267" s="14" t="s">
        <v>1157</v>
      </c>
      <c r="AG267" s="21" t="s">
        <v>1481</v>
      </c>
      <c r="AH267" s="10">
        <v>2348321</v>
      </c>
      <c r="AI267" s="24" t="str">
        <f>VLOOKUP(Sales[[#This Row],[Store]],'Store lay bao  cao'!A:B,2,0)</f>
        <v>Lấy BC</v>
      </c>
      <c r="AJ267" s="24" t="e">
        <f>VLOOKUP(Sales[[#This Row],[Associate]],'Associate Status'!B:C,2,0)</f>
        <v>#N/A</v>
      </c>
    </row>
    <row r="268" spans="1:36" x14ac:dyDescent="0.25">
      <c r="A268" s="7">
        <v>2024</v>
      </c>
      <c r="B268" s="8">
        <v>3</v>
      </c>
      <c r="C268" s="8">
        <v>11</v>
      </c>
      <c r="D268" s="8" t="s">
        <v>63</v>
      </c>
      <c r="E268" s="8" t="s">
        <v>37</v>
      </c>
      <c r="F268" s="8" t="s">
        <v>63</v>
      </c>
      <c r="G268" s="9">
        <v>1463308</v>
      </c>
      <c r="H268" s="10">
        <v>1325204.3999999999</v>
      </c>
      <c r="I268" s="11">
        <v>45367</v>
      </c>
      <c r="J268" s="12">
        <v>205024</v>
      </c>
      <c r="K268" s="13" t="s">
        <v>860</v>
      </c>
      <c r="L268" s="14" t="s">
        <v>47</v>
      </c>
      <c r="M268" s="11" t="s">
        <v>21</v>
      </c>
      <c r="N268" s="14" t="s">
        <v>62</v>
      </c>
      <c r="O268" s="15">
        <v>6424</v>
      </c>
      <c r="P268" s="12">
        <v>1</v>
      </c>
      <c r="Q268" s="13" t="s">
        <v>101</v>
      </c>
      <c r="R268" s="16">
        <v>7673000</v>
      </c>
      <c r="S268" s="17">
        <v>7104630</v>
      </c>
      <c r="T268" s="12">
        <v>0</v>
      </c>
      <c r="U268" s="18">
        <v>0</v>
      </c>
      <c r="V268" s="19">
        <v>0</v>
      </c>
      <c r="W268" s="13" t="s">
        <v>380</v>
      </c>
      <c r="X268" s="14" t="s">
        <v>1482</v>
      </c>
      <c r="Y268" s="13" t="s">
        <v>332</v>
      </c>
      <c r="Z268" s="14">
        <v>27</v>
      </c>
      <c r="AA268" s="17">
        <v>12</v>
      </c>
      <c r="AB268" s="14" t="s">
        <v>194</v>
      </c>
      <c r="AC268" s="17">
        <v>7673000</v>
      </c>
      <c r="AD268" s="14" t="s">
        <v>924</v>
      </c>
      <c r="AE268" s="17">
        <v>7104630</v>
      </c>
      <c r="AF268" s="14" t="s">
        <v>1456</v>
      </c>
      <c r="AG268" s="20" t="s">
        <v>333</v>
      </c>
      <c r="AH268" s="10">
        <v>5641322</v>
      </c>
      <c r="AI268" s="24" t="str">
        <f>VLOOKUP(Sales[[#This Row],[Store]],'Store lay bao  cao'!A:B,2,0)</f>
        <v>Lấy BC</v>
      </c>
      <c r="AJ268" s="24" t="e">
        <f>VLOOKUP(Sales[[#This Row],[Associate]],'Associate Status'!B:C,2,0)</f>
        <v>#N/A</v>
      </c>
    </row>
    <row r="269" spans="1:36" x14ac:dyDescent="0.25">
      <c r="A269" s="7">
        <v>2024</v>
      </c>
      <c r="B269" s="8">
        <v>3</v>
      </c>
      <c r="C269" s="8">
        <v>11</v>
      </c>
      <c r="D269" s="8" t="s">
        <v>63</v>
      </c>
      <c r="E269" s="8" t="s">
        <v>37</v>
      </c>
      <c r="F269" s="8" t="s">
        <v>63</v>
      </c>
      <c r="G269" s="9">
        <v>1190324</v>
      </c>
      <c r="H269" s="10">
        <v>968418.6</v>
      </c>
      <c r="I269" s="11">
        <v>45367</v>
      </c>
      <c r="J269" s="12">
        <v>205033</v>
      </c>
      <c r="K269" s="13" t="s">
        <v>860</v>
      </c>
      <c r="L269" s="14" t="s">
        <v>47</v>
      </c>
      <c r="M269" s="11" t="s">
        <v>21</v>
      </c>
      <c r="N269" s="14" t="s">
        <v>62</v>
      </c>
      <c r="O269" s="15">
        <v>6424</v>
      </c>
      <c r="P269" s="12">
        <v>1</v>
      </c>
      <c r="Q269" s="13" t="s">
        <v>101</v>
      </c>
      <c r="R269" s="16">
        <v>5607000</v>
      </c>
      <c r="S269" s="17">
        <v>5191667</v>
      </c>
      <c r="T269" s="12">
        <v>0</v>
      </c>
      <c r="U269" s="18">
        <v>0</v>
      </c>
      <c r="V269" s="19">
        <v>0</v>
      </c>
      <c r="W269" s="13" t="s">
        <v>380</v>
      </c>
      <c r="X269" s="14" t="s">
        <v>1483</v>
      </c>
      <c r="Y269" s="13" t="s">
        <v>332</v>
      </c>
      <c r="Z269" s="14">
        <v>36</v>
      </c>
      <c r="AA269" s="17">
        <v>12</v>
      </c>
      <c r="AB269" s="14" t="s">
        <v>194</v>
      </c>
      <c r="AC269" s="17">
        <v>5607000</v>
      </c>
      <c r="AD269" s="14" t="s">
        <v>924</v>
      </c>
      <c r="AE269" s="17">
        <v>5191667</v>
      </c>
      <c r="AF269" s="14" t="s">
        <v>1456</v>
      </c>
      <c r="AG269" s="21" t="s">
        <v>333</v>
      </c>
      <c r="AH269" s="10">
        <v>4001343</v>
      </c>
      <c r="AI269" s="24" t="str">
        <f>VLOOKUP(Sales[[#This Row],[Store]],'Store lay bao  cao'!A:B,2,0)</f>
        <v>Lấy BC</v>
      </c>
      <c r="AJ269" s="24" t="e">
        <f>VLOOKUP(Sales[[#This Row],[Associate]],'Associate Status'!B:C,2,0)</f>
        <v>#N/A</v>
      </c>
    </row>
    <row r="270" spans="1:36" x14ac:dyDescent="0.25">
      <c r="A270" s="7">
        <v>2024</v>
      </c>
      <c r="B270" s="8">
        <v>3</v>
      </c>
      <c r="C270" s="8">
        <v>11</v>
      </c>
      <c r="D270" s="8" t="s">
        <v>63</v>
      </c>
      <c r="E270" s="8" t="s">
        <v>34</v>
      </c>
      <c r="F270" s="8" t="s">
        <v>63</v>
      </c>
      <c r="G270" s="9">
        <v>484094</v>
      </c>
      <c r="H270" s="10">
        <v>458724.60000000003</v>
      </c>
      <c r="I270" s="11">
        <v>45368</v>
      </c>
      <c r="J270" s="12">
        <v>205054</v>
      </c>
      <c r="K270" s="13" t="s">
        <v>591</v>
      </c>
      <c r="L270" s="14" t="s">
        <v>47</v>
      </c>
      <c r="M270" s="11" t="s">
        <v>15</v>
      </c>
      <c r="N270" s="14" t="s">
        <v>62</v>
      </c>
      <c r="O270" s="15">
        <v>3934</v>
      </c>
      <c r="P270" s="12">
        <v>1</v>
      </c>
      <c r="Q270" s="13" t="s">
        <v>144</v>
      </c>
      <c r="R270" s="16">
        <v>2656000</v>
      </c>
      <c r="S270" s="17">
        <v>2459259</v>
      </c>
      <c r="T270" s="12">
        <v>0</v>
      </c>
      <c r="U270" s="18">
        <v>0</v>
      </c>
      <c r="V270" s="19">
        <v>0</v>
      </c>
      <c r="W270" s="13" t="s">
        <v>104</v>
      </c>
      <c r="X270" s="14" t="s">
        <v>1484</v>
      </c>
      <c r="Y270" s="13" t="s">
        <v>196</v>
      </c>
      <c r="Z270" s="14">
        <v>57</v>
      </c>
      <c r="AA270" s="17">
        <v>10</v>
      </c>
      <c r="AB270" s="14" t="s">
        <v>224</v>
      </c>
      <c r="AC270" s="17">
        <v>2656000</v>
      </c>
      <c r="AD270" s="14" t="s">
        <v>924</v>
      </c>
      <c r="AE270" s="17">
        <v>2459259</v>
      </c>
      <c r="AF270" s="14" t="s">
        <v>2596</v>
      </c>
      <c r="AG270" s="20" t="s">
        <v>197</v>
      </c>
      <c r="AH270" s="10">
        <v>1975165</v>
      </c>
      <c r="AI270" s="24" t="str">
        <f>VLOOKUP(Sales[[#This Row],[Store]],'Store lay bao  cao'!A:B,2,0)</f>
        <v>Lấy BC</v>
      </c>
      <c r="AJ270" s="24" t="e">
        <f>VLOOKUP(Sales[[#This Row],[Associate]],'Associate Status'!B:C,2,0)</f>
        <v>#N/A</v>
      </c>
    </row>
    <row r="271" spans="1:36" x14ac:dyDescent="0.25">
      <c r="A271" s="7">
        <v>2024</v>
      </c>
      <c r="B271" s="8">
        <v>3</v>
      </c>
      <c r="C271" s="8">
        <v>11</v>
      </c>
      <c r="D271" s="8" t="s">
        <v>63</v>
      </c>
      <c r="E271" s="8" t="s">
        <v>34</v>
      </c>
      <c r="F271" s="8" t="s">
        <v>63</v>
      </c>
      <c r="G271" s="9">
        <v>505291</v>
      </c>
      <c r="H271" s="10">
        <v>458724.60000000003</v>
      </c>
      <c r="I271" s="11">
        <v>45368</v>
      </c>
      <c r="J271" s="12">
        <v>205039</v>
      </c>
      <c r="K271" s="13" t="s">
        <v>591</v>
      </c>
      <c r="L271" s="14" t="s">
        <v>47</v>
      </c>
      <c r="M271" s="11" t="s">
        <v>15</v>
      </c>
      <c r="N271" s="14" t="s">
        <v>62</v>
      </c>
      <c r="O271" s="15">
        <v>3934</v>
      </c>
      <c r="P271" s="12">
        <v>1</v>
      </c>
      <c r="Q271" s="13" t="s">
        <v>144</v>
      </c>
      <c r="R271" s="16">
        <v>2656000</v>
      </c>
      <c r="S271" s="17">
        <v>2459259</v>
      </c>
      <c r="T271" s="12">
        <v>0</v>
      </c>
      <c r="U271" s="18">
        <v>0</v>
      </c>
      <c r="V271" s="19">
        <v>0</v>
      </c>
      <c r="W271" s="13" t="s">
        <v>104</v>
      </c>
      <c r="X271" s="14" t="s">
        <v>1485</v>
      </c>
      <c r="Y271" s="13" t="s">
        <v>196</v>
      </c>
      <c r="Z271" s="14">
        <v>42</v>
      </c>
      <c r="AA271" s="17">
        <v>10</v>
      </c>
      <c r="AB271" s="14" t="s">
        <v>341</v>
      </c>
      <c r="AC271" s="17">
        <v>2656000</v>
      </c>
      <c r="AD271" s="14" t="s">
        <v>924</v>
      </c>
      <c r="AE271" s="17">
        <v>2459259</v>
      </c>
      <c r="AF271" s="14" t="s">
        <v>2596</v>
      </c>
      <c r="AG271" s="21" t="s">
        <v>197</v>
      </c>
      <c r="AH271" s="10">
        <v>1953968</v>
      </c>
      <c r="AI271" s="24" t="str">
        <f>VLOOKUP(Sales[[#This Row],[Store]],'Store lay bao  cao'!A:B,2,0)</f>
        <v>Lấy BC</v>
      </c>
      <c r="AJ271" s="24" t="e">
        <f>VLOOKUP(Sales[[#This Row],[Associate]],'Associate Status'!B:C,2,0)</f>
        <v>#N/A</v>
      </c>
    </row>
    <row r="272" spans="1:36" x14ac:dyDescent="0.25">
      <c r="A272" s="7">
        <v>2024</v>
      </c>
      <c r="B272" s="8">
        <v>3</v>
      </c>
      <c r="C272" s="8">
        <v>11</v>
      </c>
      <c r="D272" s="8" t="s">
        <v>63</v>
      </c>
      <c r="E272" s="8" t="s">
        <v>37</v>
      </c>
      <c r="F272" s="8" t="s">
        <v>63</v>
      </c>
      <c r="G272" s="9">
        <v>1374294</v>
      </c>
      <c r="H272" s="10">
        <v>1172296.2</v>
      </c>
      <c r="I272" s="11">
        <v>45368</v>
      </c>
      <c r="J272" s="12">
        <v>205034</v>
      </c>
      <c r="K272" s="13" t="s">
        <v>591</v>
      </c>
      <c r="L272" s="14" t="s">
        <v>47</v>
      </c>
      <c r="M272" s="11" t="s">
        <v>15</v>
      </c>
      <c r="N272" s="14" t="s">
        <v>62</v>
      </c>
      <c r="O272" s="15">
        <v>3934</v>
      </c>
      <c r="P272" s="12">
        <v>1</v>
      </c>
      <c r="Q272" s="13" t="s">
        <v>144</v>
      </c>
      <c r="R272" s="16">
        <v>6787000</v>
      </c>
      <c r="S272" s="17">
        <v>6284259</v>
      </c>
      <c r="T272" s="12">
        <v>0</v>
      </c>
      <c r="U272" s="18">
        <v>0</v>
      </c>
      <c r="V272" s="19">
        <v>0</v>
      </c>
      <c r="W272" s="13" t="s">
        <v>104</v>
      </c>
      <c r="X272" s="14" t="s">
        <v>1486</v>
      </c>
      <c r="Y272" s="13" t="s">
        <v>196</v>
      </c>
      <c r="Z272" s="14">
        <v>37</v>
      </c>
      <c r="AA272" s="17">
        <v>10</v>
      </c>
      <c r="AB272" s="14" t="s">
        <v>341</v>
      </c>
      <c r="AC272" s="17">
        <v>6787000</v>
      </c>
      <c r="AD272" s="14" t="s">
        <v>924</v>
      </c>
      <c r="AE272" s="17">
        <v>6284259</v>
      </c>
      <c r="AF272" s="14" t="s">
        <v>2596</v>
      </c>
      <c r="AG272" s="20" t="s">
        <v>197</v>
      </c>
      <c r="AH272" s="10">
        <v>4909965</v>
      </c>
      <c r="AI272" s="24" t="str">
        <f>VLOOKUP(Sales[[#This Row],[Store]],'Store lay bao  cao'!A:B,2,0)</f>
        <v>Lấy BC</v>
      </c>
      <c r="AJ272" s="24" t="e">
        <f>VLOOKUP(Sales[[#This Row],[Associate]],'Associate Status'!B:C,2,0)</f>
        <v>#N/A</v>
      </c>
    </row>
    <row r="273" spans="1:36" x14ac:dyDescent="0.25">
      <c r="A273" s="7">
        <v>2024</v>
      </c>
      <c r="B273" s="8">
        <v>3</v>
      </c>
      <c r="C273" s="8">
        <v>12</v>
      </c>
      <c r="D273" s="8" t="s">
        <v>60</v>
      </c>
      <c r="E273" s="8" t="s">
        <v>43</v>
      </c>
      <c r="F273" s="8" t="s">
        <v>60</v>
      </c>
      <c r="G273" s="9">
        <v>4020128</v>
      </c>
      <c r="H273" s="10">
        <v>3003900</v>
      </c>
      <c r="I273" s="11">
        <v>45373</v>
      </c>
      <c r="J273" s="12">
        <v>202797</v>
      </c>
      <c r="K273" s="13" t="s">
        <v>1488</v>
      </c>
      <c r="L273" s="14" t="s">
        <v>19</v>
      </c>
      <c r="M273" s="11" t="s">
        <v>781</v>
      </c>
      <c r="N273" s="14" t="s">
        <v>62</v>
      </c>
      <c r="O273" s="15">
        <v>654</v>
      </c>
      <c r="P273" s="12">
        <v>1</v>
      </c>
      <c r="Q273" s="13" t="s">
        <v>144</v>
      </c>
      <c r="R273" s="16">
        <v>9274850</v>
      </c>
      <c r="S273" s="17">
        <v>8587824</v>
      </c>
      <c r="T273" s="12">
        <v>5</v>
      </c>
      <c r="U273" s="18">
        <v>451991</v>
      </c>
      <c r="V273" s="19">
        <v>488150</v>
      </c>
      <c r="W273" s="13" t="s">
        <v>425</v>
      </c>
      <c r="X273" s="14" t="s">
        <v>1489</v>
      </c>
      <c r="Y273" s="13" t="s">
        <v>251</v>
      </c>
      <c r="Z273" s="14" t="s">
        <v>1490</v>
      </c>
      <c r="AA273" s="17">
        <v>21</v>
      </c>
      <c r="AB273" s="14" t="s">
        <v>220</v>
      </c>
      <c r="AC273" s="17">
        <v>9763000</v>
      </c>
      <c r="AD273" s="14">
        <v>51</v>
      </c>
      <c r="AE273" s="17">
        <v>9039815</v>
      </c>
      <c r="AF273" s="14" t="s">
        <v>618</v>
      </c>
      <c r="AG273" s="21" t="s">
        <v>252</v>
      </c>
      <c r="AH273" s="10">
        <v>4567696</v>
      </c>
      <c r="AI273" s="24" t="str">
        <f>VLOOKUP(Sales[[#This Row],[Store]],'Store lay bao  cao'!A:B,2,0)</f>
        <v>Không lấy  BC</v>
      </c>
      <c r="AJ273" s="24" t="str">
        <f>VLOOKUP(Sales[[#This Row],[Associate]],'Associate Status'!B:C,2,0)</f>
        <v>Active</v>
      </c>
    </row>
    <row r="274" spans="1:36" ht="77.25" x14ac:dyDescent="0.25">
      <c r="A274" s="7">
        <v>2024</v>
      </c>
      <c r="B274" s="8">
        <v>3</v>
      </c>
      <c r="C274" s="8">
        <v>12</v>
      </c>
      <c r="D274" s="8" t="s">
        <v>60</v>
      </c>
      <c r="E274" s="8" t="s">
        <v>43</v>
      </c>
      <c r="F274" s="8" t="s">
        <v>60</v>
      </c>
      <c r="G274" s="9">
        <v>4798217</v>
      </c>
      <c r="H274" s="10">
        <v>3585300</v>
      </c>
      <c r="I274" s="11">
        <v>45373</v>
      </c>
      <c r="J274" s="12">
        <v>202795</v>
      </c>
      <c r="K274" s="13" t="s">
        <v>1488</v>
      </c>
      <c r="L274" s="14" t="s">
        <v>19</v>
      </c>
      <c r="M274" s="11" t="s">
        <v>781</v>
      </c>
      <c r="N274" s="14" t="s">
        <v>62</v>
      </c>
      <c r="O274" s="15">
        <v>654</v>
      </c>
      <c r="P274" s="12">
        <v>1</v>
      </c>
      <c r="Q274" s="13" t="s">
        <v>144</v>
      </c>
      <c r="R274" s="16">
        <v>11070350</v>
      </c>
      <c r="S274" s="17">
        <v>10250324</v>
      </c>
      <c r="T274" s="12">
        <v>5</v>
      </c>
      <c r="U274" s="18">
        <v>539491</v>
      </c>
      <c r="V274" s="19">
        <v>582650</v>
      </c>
      <c r="W274" s="13" t="s">
        <v>425</v>
      </c>
      <c r="X274" s="23" t="s">
        <v>1491</v>
      </c>
      <c r="Y274" s="13" t="s">
        <v>251</v>
      </c>
      <c r="Z274" s="14" t="s">
        <v>1492</v>
      </c>
      <c r="AA274" s="17">
        <v>21</v>
      </c>
      <c r="AB274" s="14" t="s">
        <v>1415</v>
      </c>
      <c r="AC274" s="17">
        <v>11653000</v>
      </c>
      <c r="AD274" s="14">
        <v>54</v>
      </c>
      <c r="AE274" s="17">
        <v>10789815</v>
      </c>
      <c r="AF274" s="14" t="s">
        <v>618</v>
      </c>
      <c r="AG274" s="20" t="s">
        <v>252</v>
      </c>
      <c r="AH274" s="10">
        <v>5452107</v>
      </c>
      <c r="AI274" s="24" t="str">
        <f>VLOOKUP(Sales[[#This Row],[Store]],'Store lay bao  cao'!A:B,2,0)</f>
        <v>Không lấy  BC</v>
      </c>
      <c r="AJ274" s="24" t="str">
        <f>VLOOKUP(Sales[[#This Row],[Associate]],'Associate Status'!B:C,2,0)</f>
        <v>Active</v>
      </c>
    </row>
    <row r="275" spans="1:36" ht="64.5" x14ac:dyDescent="0.25">
      <c r="A275" s="7">
        <v>2024</v>
      </c>
      <c r="B275" s="8">
        <v>3</v>
      </c>
      <c r="C275" s="8">
        <v>12</v>
      </c>
      <c r="D275" s="8" t="s">
        <v>60</v>
      </c>
      <c r="E275" s="8" t="s">
        <v>43</v>
      </c>
      <c r="F275" s="8" t="s">
        <v>60</v>
      </c>
      <c r="G275" s="9">
        <v>7132486</v>
      </c>
      <c r="H275" s="10">
        <v>5329500</v>
      </c>
      <c r="I275" s="11">
        <v>45373</v>
      </c>
      <c r="J275" s="12">
        <v>202793</v>
      </c>
      <c r="K275" s="13" t="s">
        <v>1488</v>
      </c>
      <c r="L275" s="14" t="s">
        <v>19</v>
      </c>
      <c r="M275" s="11" t="s">
        <v>781</v>
      </c>
      <c r="N275" s="14" t="s">
        <v>62</v>
      </c>
      <c r="O275" s="15">
        <v>654</v>
      </c>
      <c r="P275" s="12">
        <v>1</v>
      </c>
      <c r="Q275" s="13" t="s">
        <v>144</v>
      </c>
      <c r="R275" s="16">
        <v>16454950</v>
      </c>
      <c r="S275" s="17">
        <v>15236065</v>
      </c>
      <c r="T275" s="12">
        <v>5</v>
      </c>
      <c r="U275" s="18">
        <v>801898</v>
      </c>
      <c r="V275" s="19">
        <v>866050</v>
      </c>
      <c r="W275" s="13" t="s">
        <v>425</v>
      </c>
      <c r="X275" s="23" t="s">
        <v>1493</v>
      </c>
      <c r="Y275" s="13" t="s">
        <v>251</v>
      </c>
      <c r="Z275" s="14" t="s">
        <v>1494</v>
      </c>
      <c r="AA275" s="17">
        <v>21</v>
      </c>
      <c r="AB275" s="14" t="s">
        <v>1388</v>
      </c>
      <c r="AC275" s="17">
        <v>17321000</v>
      </c>
      <c r="AD275" s="14">
        <v>54</v>
      </c>
      <c r="AE275" s="17">
        <v>16037963</v>
      </c>
      <c r="AF275" s="14" t="s">
        <v>618</v>
      </c>
      <c r="AG275" s="21" t="s">
        <v>252</v>
      </c>
      <c r="AH275" s="10">
        <v>8103579</v>
      </c>
      <c r="AI275" s="24" t="str">
        <f>VLOOKUP(Sales[[#This Row],[Store]],'Store lay bao  cao'!A:B,2,0)</f>
        <v>Không lấy  BC</v>
      </c>
      <c r="AJ275" s="24" t="str">
        <f>VLOOKUP(Sales[[#This Row],[Associate]],'Associate Status'!B:C,2,0)</f>
        <v>Active</v>
      </c>
    </row>
    <row r="276" spans="1:36" x14ac:dyDescent="0.25">
      <c r="A276" s="7">
        <v>2024</v>
      </c>
      <c r="B276" s="8">
        <v>3</v>
      </c>
      <c r="C276" s="8">
        <v>12</v>
      </c>
      <c r="D276" s="8" t="s">
        <v>60</v>
      </c>
      <c r="E276" s="8" t="s">
        <v>53</v>
      </c>
      <c r="F276" s="8" t="s">
        <v>60</v>
      </c>
      <c r="G276" s="9">
        <v>53373833</v>
      </c>
      <c r="H276" s="10">
        <v>53469900</v>
      </c>
      <c r="I276" s="11">
        <v>45374</v>
      </c>
      <c r="J276" s="12">
        <v>202687</v>
      </c>
      <c r="K276" s="13" t="s">
        <v>1495</v>
      </c>
      <c r="L276" s="14" t="s">
        <v>58</v>
      </c>
      <c r="M276" s="11" t="s">
        <v>781</v>
      </c>
      <c r="N276" s="14" t="s">
        <v>11</v>
      </c>
      <c r="O276" s="15">
        <v>655</v>
      </c>
      <c r="P276" s="12">
        <v>1</v>
      </c>
      <c r="Q276" s="13" t="s">
        <v>101</v>
      </c>
      <c r="R276" s="16">
        <v>132763450</v>
      </c>
      <c r="S276" s="17">
        <v>122929120</v>
      </c>
      <c r="T276" s="12">
        <v>5</v>
      </c>
      <c r="U276" s="18">
        <v>6469954</v>
      </c>
      <c r="V276" s="19">
        <v>6987550</v>
      </c>
      <c r="W276" s="13" t="s">
        <v>425</v>
      </c>
      <c r="X276" s="14" t="s">
        <v>1496</v>
      </c>
      <c r="Y276" s="13" t="s">
        <v>760</v>
      </c>
      <c r="Z276" s="14" t="s">
        <v>1497</v>
      </c>
      <c r="AA276" s="17">
        <v>13</v>
      </c>
      <c r="AB276" s="14" t="s">
        <v>1498</v>
      </c>
      <c r="AC276" s="17">
        <v>139751000</v>
      </c>
      <c r="AD276" s="14">
        <v>210</v>
      </c>
      <c r="AE276" s="17">
        <v>129399074</v>
      </c>
      <c r="AF276" s="14" t="s">
        <v>540</v>
      </c>
      <c r="AG276" s="20" t="s">
        <v>761</v>
      </c>
      <c r="AH276" s="10">
        <v>69555287</v>
      </c>
      <c r="AI276" s="24" t="str">
        <f>VLOOKUP(Sales[[#This Row],[Store]],'Store lay bao  cao'!A:B,2,0)</f>
        <v>Không lấy  BC</v>
      </c>
      <c r="AJ276" s="24" t="str">
        <f>VLOOKUP(Sales[[#This Row],[Associate]],'Associate Status'!B:C,2,0)</f>
        <v>Active</v>
      </c>
    </row>
    <row r="277" spans="1:36" x14ac:dyDescent="0.25">
      <c r="A277" s="7">
        <v>2024</v>
      </c>
      <c r="B277" s="8">
        <v>3</v>
      </c>
      <c r="C277" s="8">
        <v>12</v>
      </c>
      <c r="D277" s="8" t="s">
        <v>52</v>
      </c>
      <c r="E277" s="8" t="s">
        <v>43</v>
      </c>
      <c r="F277" s="8" t="s">
        <v>52</v>
      </c>
      <c r="G277" s="9">
        <v>60326506</v>
      </c>
      <c r="H277" s="10">
        <v>59369805</v>
      </c>
      <c r="I277" s="11">
        <v>45375</v>
      </c>
      <c r="J277" s="12">
        <v>181401</v>
      </c>
      <c r="K277" s="13" t="s">
        <v>1499</v>
      </c>
      <c r="L277" s="14" t="s">
        <v>58</v>
      </c>
      <c r="M277" s="11" t="s">
        <v>781</v>
      </c>
      <c r="N277" s="14" t="s">
        <v>11</v>
      </c>
      <c r="O277" s="15">
        <v>657</v>
      </c>
      <c r="P277" s="12">
        <v>1</v>
      </c>
      <c r="Q277" s="13" t="s">
        <v>101</v>
      </c>
      <c r="R277" s="16">
        <v>168499600</v>
      </c>
      <c r="S277" s="17">
        <v>156018148</v>
      </c>
      <c r="T277" s="12">
        <v>5</v>
      </c>
      <c r="U277" s="18">
        <v>8211481</v>
      </c>
      <c r="V277" s="19">
        <v>8868400</v>
      </c>
      <c r="W277" s="13" t="s">
        <v>425</v>
      </c>
      <c r="X277" s="14" t="s">
        <v>1500</v>
      </c>
      <c r="Y277" s="13" t="s">
        <v>1501</v>
      </c>
      <c r="Z277" s="14" t="s">
        <v>1502</v>
      </c>
      <c r="AA277" s="17">
        <v>15</v>
      </c>
      <c r="AB277" s="14" t="s">
        <v>1503</v>
      </c>
      <c r="AC277" s="17">
        <v>177368000</v>
      </c>
      <c r="AD277" s="14" t="s">
        <v>108</v>
      </c>
      <c r="AE277" s="17">
        <v>164229630</v>
      </c>
      <c r="AF277" s="14" t="s">
        <v>121</v>
      </c>
      <c r="AG277" s="21"/>
      <c r="AH277" s="10">
        <v>95691642</v>
      </c>
      <c r="AI277" s="24" t="str">
        <f>VLOOKUP(Sales[[#This Row],[Store]],'Store lay bao  cao'!A:B,2,0)</f>
        <v>Không lấy  BC</v>
      </c>
      <c r="AJ277" s="24" t="str">
        <f>VLOOKUP(Sales[[#This Row],[Associate]],'Associate Status'!B:C,2,0)</f>
        <v>Active</v>
      </c>
    </row>
    <row r="278" spans="1:36" x14ac:dyDescent="0.25">
      <c r="A278" s="7">
        <v>2024</v>
      </c>
      <c r="B278" s="8">
        <v>3</v>
      </c>
      <c r="C278" s="8">
        <v>12</v>
      </c>
      <c r="D278" s="8" t="s">
        <v>52</v>
      </c>
      <c r="E278" s="8" t="s">
        <v>34</v>
      </c>
      <c r="F278" s="8" t="s">
        <v>52</v>
      </c>
      <c r="G278" s="9">
        <v>110363116</v>
      </c>
      <c r="H278" s="10">
        <v>108612900</v>
      </c>
      <c r="I278" s="11">
        <v>45375</v>
      </c>
      <c r="J278" s="12">
        <v>181407</v>
      </c>
      <c r="K278" s="13" t="s">
        <v>1499</v>
      </c>
      <c r="L278" s="14" t="s">
        <v>58</v>
      </c>
      <c r="M278" s="11" t="s">
        <v>781</v>
      </c>
      <c r="N278" s="14" t="s">
        <v>11</v>
      </c>
      <c r="O278" s="15">
        <v>657</v>
      </c>
      <c r="P278" s="12">
        <v>1</v>
      </c>
      <c r="Q278" s="13" t="s">
        <v>101</v>
      </c>
      <c r="R278" s="16">
        <v>283596850</v>
      </c>
      <c r="S278" s="17">
        <v>262589676</v>
      </c>
      <c r="T278" s="12">
        <v>5</v>
      </c>
      <c r="U278" s="18">
        <v>13820509</v>
      </c>
      <c r="V278" s="19">
        <v>14926150</v>
      </c>
      <c r="W278" s="13" t="s">
        <v>425</v>
      </c>
      <c r="X278" s="14" t="s">
        <v>1504</v>
      </c>
      <c r="Y278" s="13" t="s">
        <v>1501</v>
      </c>
      <c r="Z278" s="14" t="s">
        <v>1505</v>
      </c>
      <c r="AA278" s="17">
        <v>15</v>
      </c>
      <c r="AB278" s="14" t="s">
        <v>359</v>
      </c>
      <c r="AC278" s="17">
        <v>298523000</v>
      </c>
      <c r="AD278" s="14" t="s">
        <v>108</v>
      </c>
      <c r="AE278" s="17">
        <v>276410185</v>
      </c>
      <c r="AF278" s="14" t="s">
        <v>121</v>
      </c>
      <c r="AG278" s="20"/>
      <c r="AH278" s="10">
        <v>152226560</v>
      </c>
      <c r="AI278" s="24" t="str">
        <f>VLOOKUP(Sales[[#This Row],[Store]],'Store lay bao  cao'!A:B,2,0)</f>
        <v>Không lấy  BC</v>
      </c>
      <c r="AJ278" s="24" t="str">
        <f>VLOOKUP(Sales[[#This Row],[Associate]],'Associate Status'!B:C,2,0)</f>
        <v>Active</v>
      </c>
    </row>
    <row r="279" spans="1:36" x14ac:dyDescent="0.25">
      <c r="A279" s="7">
        <v>2024</v>
      </c>
      <c r="B279" s="8">
        <v>3</v>
      </c>
      <c r="C279" s="8">
        <v>12</v>
      </c>
      <c r="D279" s="8" t="s">
        <v>63</v>
      </c>
      <c r="E279" s="8" t="s">
        <v>53</v>
      </c>
      <c r="F279" s="8" t="s">
        <v>63</v>
      </c>
      <c r="G279" s="9">
        <v>289525</v>
      </c>
      <c r="H279" s="10">
        <v>254847</v>
      </c>
      <c r="I279" s="11">
        <v>45375</v>
      </c>
      <c r="J279" s="12">
        <v>205062</v>
      </c>
      <c r="K279" s="13" t="s">
        <v>862</v>
      </c>
      <c r="L279" s="14" t="s">
        <v>47</v>
      </c>
      <c r="M279" s="11" t="s">
        <v>21</v>
      </c>
      <c r="N279" s="14" t="s">
        <v>62</v>
      </c>
      <c r="O279" s="15">
        <v>6483</v>
      </c>
      <c r="P279" s="12">
        <v>1</v>
      </c>
      <c r="Q279" s="13" t="s">
        <v>101</v>
      </c>
      <c r="R279" s="16">
        <v>1476000</v>
      </c>
      <c r="S279" s="17">
        <v>1366667</v>
      </c>
      <c r="T279" s="12">
        <v>0</v>
      </c>
      <c r="U279" s="18">
        <v>0</v>
      </c>
      <c r="V279" s="19">
        <v>0</v>
      </c>
      <c r="W279" s="13" t="s">
        <v>160</v>
      </c>
      <c r="X279" s="14" t="s">
        <v>1506</v>
      </c>
      <c r="Y279" s="13" t="s">
        <v>609</v>
      </c>
      <c r="Z279" s="14">
        <v>65</v>
      </c>
      <c r="AA279" s="17">
        <v>13</v>
      </c>
      <c r="AB279" s="14" t="s">
        <v>137</v>
      </c>
      <c r="AC279" s="17">
        <v>1476000</v>
      </c>
      <c r="AD279" s="14" t="s">
        <v>924</v>
      </c>
      <c r="AE279" s="17">
        <v>1366667</v>
      </c>
      <c r="AF279" s="14" t="s">
        <v>132</v>
      </c>
      <c r="AG279" s="21" t="s">
        <v>610</v>
      </c>
      <c r="AH279" s="10">
        <v>1077142</v>
      </c>
      <c r="AI279" s="24" t="str">
        <f>VLOOKUP(Sales[[#This Row],[Store]],'Store lay bao  cao'!A:B,2,0)</f>
        <v>Lấy BC</v>
      </c>
      <c r="AJ279" s="24" t="str">
        <f>VLOOKUP(Sales[[#This Row],[Associate]],'Associate Status'!B:C,2,0)</f>
        <v>Retired</v>
      </c>
    </row>
    <row r="280" spans="1:36" x14ac:dyDescent="0.25">
      <c r="A280" s="7">
        <v>2024</v>
      </c>
      <c r="B280" s="8">
        <v>3</v>
      </c>
      <c r="C280" s="8">
        <v>13</v>
      </c>
      <c r="D280" s="8" t="s">
        <v>63</v>
      </c>
      <c r="E280" s="8" t="s">
        <v>37</v>
      </c>
      <c r="F280" s="8" t="s">
        <v>63</v>
      </c>
      <c r="G280" s="9">
        <v>1374294</v>
      </c>
      <c r="H280" s="10">
        <v>1172296.2</v>
      </c>
      <c r="I280" s="11">
        <v>45377</v>
      </c>
      <c r="J280" s="12">
        <v>205061</v>
      </c>
      <c r="K280" s="13" t="s">
        <v>601</v>
      </c>
      <c r="L280" s="14" t="s">
        <v>47</v>
      </c>
      <c r="M280" s="11" t="s">
        <v>15</v>
      </c>
      <c r="N280" s="14" t="s">
        <v>62</v>
      </c>
      <c r="O280" s="15">
        <v>3998</v>
      </c>
      <c r="P280" s="12">
        <v>1</v>
      </c>
      <c r="Q280" s="13" t="s">
        <v>175</v>
      </c>
      <c r="R280" s="16">
        <v>6447650</v>
      </c>
      <c r="S280" s="17">
        <v>5970046</v>
      </c>
      <c r="T280" s="12">
        <v>5</v>
      </c>
      <c r="U280" s="18">
        <v>314213</v>
      </c>
      <c r="V280" s="19">
        <v>339350</v>
      </c>
      <c r="W280" s="13" t="s">
        <v>104</v>
      </c>
      <c r="X280" s="14" t="s">
        <v>903</v>
      </c>
      <c r="Y280" s="13" t="s">
        <v>228</v>
      </c>
      <c r="Z280" s="14">
        <v>64</v>
      </c>
      <c r="AA280" s="17">
        <v>16</v>
      </c>
      <c r="AB280" s="14" t="s">
        <v>194</v>
      </c>
      <c r="AC280" s="17">
        <v>6787000</v>
      </c>
      <c r="AD280" s="14" t="s">
        <v>924</v>
      </c>
      <c r="AE280" s="17">
        <v>6284259</v>
      </c>
      <c r="AF280" s="14" t="s">
        <v>2595</v>
      </c>
      <c r="AG280" s="20" t="s">
        <v>229</v>
      </c>
      <c r="AH280" s="10">
        <v>4595752</v>
      </c>
      <c r="AI280" s="24" t="str">
        <f>VLOOKUP(Sales[[#This Row],[Store]],'Store lay bao  cao'!A:B,2,0)</f>
        <v>Lấy BC</v>
      </c>
      <c r="AJ280" s="24" t="e">
        <f>VLOOKUP(Sales[[#This Row],[Associate]],'Associate Status'!B:C,2,0)</f>
        <v>#N/A</v>
      </c>
    </row>
    <row r="281" spans="1:36" x14ac:dyDescent="0.25">
      <c r="A281" s="7">
        <v>2024</v>
      </c>
      <c r="B281" s="8">
        <v>3</v>
      </c>
      <c r="C281" s="8">
        <v>13</v>
      </c>
      <c r="D281" s="8" t="s">
        <v>63</v>
      </c>
      <c r="E281" s="8" t="s">
        <v>37</v>
      </c>
      <c r="F281" s="8" t="s">
        <v>63</v>
      </c>
      <c r="G281" s="9">
        <v>1620996</v>
      </c>
      <c r="H281" s="10">
        <v>1478112.5999999999</v>
      </c>
      <c r="I281" s="11">
        <v>45377</v>
      </c>
      <c r="J281" s="12">
        <v>205020</v>
      </c>
      <c r="K281" s="13" t="s">
        <v>601</v>
      </c>
      <c r="L281" s="14" t="s">
        <v>47</v>
      </c>
      <c r="M281" s="11" t="s">
        <v>15</v>
      </c>
      <c r="N281" s="14" t="s">
        <v>62</v>
      </c>
      <c r="O281" s="15">
        <v>3998</v>
      </c>
      <c r="P281" s="12">
        <v>1</v>
      </c>
      <c r="Q281" s="13" t="s">
        <v>175</v>
      </c>
      <c r="R281" s="16">
        <v>8130100</v>
      </c>
      <c r="S281" s="17">
        <v>7527870</v>
      </c>
      <c r="T281" s="12">
        <v>5</v>
      </c>
      <c r="U281" s="18">
        <v>396204</v>
      </c>
      <c r="V281" s="19">
        <v>427900</v>
      </c>
      <c r="W281" s="13" t="s">
        <v>104</v>
      </c>
      <c r="X281" s="14" t="s">
        <v>1507</v>
      </c>
      <c r="Y281" s="13" t="s">
        <v>228</v>
      </c>
      <c r="Z281" s="14">
        <v>23</v>
      </c>
      <c r="AA281" s="17">
        <v>16</v>
      </c>
      <c r="AB281" s="14" t="s">
        <v>224</v>
      </c>
      <c r="AC281" s="17">
        <v>8558000</v>
      </c>
      <c r="AD281" s="14" t="s">
        <v>924</v>
      </c>
      <c r="AE281" s="17">
        <v>7924074</v>
      </c>
      <c r="AF281" s="14" t="s">
        <v>2595</v>
      </c>
      <c r="AG281" s="21" t="s">
        <v>229</v>
      </c>
      <c r="AH281" s="10">
        <v>5906874</v>
      </c>
      <c r="AI281" s="24" t="str">
        <f>VLOOKUP(Sales[[#This Row],[Store]],'Store lay bao  cao'!A:B,2,0)</f>
        <v>Lấy BC</v>
      </c>
      <c r="AJ281" s="24" t="e">
        <f>VLOOKUP(Sales[[#This Row],[Associate]],'Associate Status'!B:C,2,0)</f>
        <v>#N/A</v>
      </c>
    </row>
    <row r="282" spans="1:36" x14ac:dyDescent="0.25">
      <c r="A282" s="7">
        <v>2024</v>
      </c>
      <c r="B282" s="8">
        <v>3</v>
      </c>
      <c r="C282" s="8">
        <v>13</v>
      </c>
      <c r="D282" s="8" t="s">
        <v>63</v>
      </c>
      <c r="E282" s="8" t="s">
        <v>34</v>
      </c>
      <c r="F282" s="8" t="s">
        <v>63</v>
      </c>
      <c r="G282" s="9">
        <v>426447</v>
      </c>
      <c r="H282" s="10">
        <v>382270.5</v>
      </c>
      <c r="I282" s="11">
        <v>45377</v>
      </c>
      <c r="J282" s="12">
        <v>205038</v>
      </c>
      <c r="K282" s="13" t="s">
        <v>601</v>
      </c>
      <c r="L282" s="14" t="s">
        <v>47</v>
      </c>
      <c r="M282" s="11" t="s">
        <v>15</v>
      </c>
      <c r="N282" s="14" t="s">
        <v>62</v>
      </c>
      <c r="O282" s="15">
        <v>3998</v>
      </c>
      <c r="P282" s="12">
        <v>1</v>
      </c>
      <c r="Q282" s="13" t="s">
        <v>175</v>
      </c>
      <c r="R282" s="16">
        <v>2103300</v>
      </c>
      <c r="S282" s="17">
        <v>1947500</v>
      </c>
      <c r="T282" s="12">
        <v>5</v>
      </c>
      <c r="U282" s="18">
        <v>102500</v>
      </c>
      <c r="V282" s="19">
        <v>110700</v>
      </c>
      <c r="W282" s="13" t="s">
        <v>104</v>
      </c>
      <c r="X282" s="14" t="s">
        <v>1484</v>
      </c>
      <c r="Y282" s="13" t="s">
        <v>228</v>
      </c>
      <c r="Z282" s="14">
        <v>41</v>
      </c>
      <c r="AA282" s="17">
        <v>16</v>
      </c>
      <c r="AB282" s="14" t="s">
        <v>224</v>
      </c>
      <c r="AC282" s="17">
        <v>2214000</v>
      </c>
      <c r="AD282" s="14" t="s">
        <v>924</v>
      </c>
      <c r="AE282" s="17">
        <v>2050000</v>
      </c>
      <c r="AF282" s="14" t="s">
        <v>2595</v>
      </c>
      <c r="AG282" s="20" t="s">
        <v>229</v>
      </c>
      <c r="AH282" s="10">
        <v>1521053</v>
      </c>
      <c r="AI282" s="24" t="str">
        <f>VLOOKUP(Sales[[#This Row],[Store]],'Store lay bao  cao'!A:B,2,0)</f>
        <v>Lấy BC</v>
      </c>
      <c r="AJ282" s="24" t="e">
        <f>VLOOKUP(Sales[[#This Row],[Associate]],'Associate Status'!B:C,2,0)</f>
        <v>#N/A</v>
      </c>
    </row>
    <row r="283" spans="1:36" x14ac:dyDescent="0.25">
      <c r="A283" s="7">
        <v>2024</v>
      </c>
      <c r="B283" s="8">
        <v>3</v>
      </c>
      <c r="C283" s="8">
        <v>13</v>
      </c>
      <c r="D283" s="8" t="s">
        <v>63</v>
      </c>
      <c r="E283" s="8" t="s">
        <v>34</v>
      </c>
      <c r="F283" s="8" t="s">
        <v>63</v>
      </c>
      <c r="G283" s="9">
        <v>426447</v>
      </c>
      <c r="H283" s="10">
        <v>356785.8</v>
      </c>
      <c r="I283" s="11">
        <v>45377</v>
      </c>
      <c r="J283" s="12">
        <v>205048</v>
      </c>
      <c r="K283" s="13" t="s">
        <v>601</v>
      </c>
      <c r="L283" s="14" t="s">
        <v>47</v>
      </c>
      <c r="M283" s="11" t="s">
        <v>15</v>
      </c>
      <c r="N283" s="14" t="s">
        <v>62</v>
      </c>
      <c r="O283" s="15">
        <v>3998</v>
      </c>
      <c r="P283" s="12">
        <v>1</v>
      </c>
      <c r="Q283" s="13" t="s">
        <v>175</v>
      </c>
      <c r="R283" s="16">
        <v>1962700</v>
      </c>
      <c r="S283" s="17">
        <v>1817315</v>
      </c>
      <c r="T283" s="12">
        <v>5</v>
      </c>
      <c r="U283" s="18">
        <v>95648</v>
      </c>
      <c r="V283" s="19">
        <v>103300</v>
      </c>
      <c r="W283" s="13" t="s">
        <v>104</v>
      </c>
      <c r="X283" s="14" t="s">
        <v>1508</v>
      </c>
      <c r="Y283" s="13" t="s">
        <v>228</v>
      </c>
      <c r="Z283" s="14">
        <v>51</v>
      </c>
      <c r="AA283" s="17">
        <v>16</v>
      </c>
      <c r="AB283" s="14" t="s">
        <v>194</v>
      </c>
      <c r="AC283" s="17">
        <v>2066000</v>
      </c>
      <c r="AD283" s="14" t="s">
        <v>924</v>
      </c>
      <c r="AE283" s="17">
        <v>1912963</v>
      </c>
      <c r="AF283" s="14" t="s">
        <v>2595</v>
      </c>
      <c r="AG283" s="21" t="s">
        <v>229</v>
      </c>
      <c r="AH283" s="10">
        <v>1390868</v>
      </c>
      <c r="AI283" s="24" t="str">
        <f>VLOOKUP(Sales[[#This Row],[Store]],'Store lay bao  cao'!A:B,2,0)</f>
        <v>Lấy BC</v>
      </c>
      <c r="AJ283" s="24" t="e">
        <f>VLOOKUP(Sales[[#This Row],[Associate]],'Associate Status'!B:C,2,0)</f>
        <v>#N/A</v>
      </c>
    </row>
    <row r="284" spans="1:36" x14ac:dyDescent="0.25">
      <c r="A284" s="7">
        <v>2024</v>
      </c>
      <c r="B284" s="8">
        <v>3</v>
      </c>
      <c r="C284" s="8">
        <v>13</v>
      </c>
      <c r="D284" s="8" t="s">
        <v>63</v>
      </c>
      <c r="E284" s="8" t="s">
        <v>34</v>
      </c>
      <c r="F284" s="8" t="s">
        <v>63</v>
      </c>
      <c r="G284" s="9">
        <v>452728</v>
      </c>
      <c r="H284" s="10">
        <v>407755.2</v>
      </c>
      <c r="I284" s="11">
        <v>45377</v>
      </c>
      <c r="J284" s="12">
        <v>205047</v>
      </c>
      <c r="K284" s="13" t="s">
        <v>601</v>
      </c>
      <c r="L284" s="14" t="s">
        <v>47</v>
      </c>
      <c r="M284" s="11" t="s">
        <v>15</v>
      </c>
      <c r="N284" s="14" t="s">
        <v>62</v>
      </c>
      <c r="O284" s="15">
        <v>3998</v>
      </c>
      <c r="P284" s="12">
        <v>1</v>
      </c>
      <c r="Q284" s="13" t="s">
        <v>175</v>
      </c>
      <c r="R284" s="16">
        <v>2242950</v>
      </c>
      <c r="S284" s="17">
        <v>2076806</v>
      </c>
      <c r="T284" s="12">
        <v>5</v>
      </c>
      <c r="U284" s="18">
        <v>109306</v>
      </c>
      <c r="V284" s="19">
        <v>118050</v>
      </c>
      <c r="W284" s="13" t="s">
        <v>104</v>
      </c>
      <c r="X284" s="14" t="s">
        <v>1509</v>
      </c>
      <c r="Y284" s="13" t="s">
        <v>228</v>
      </c>
      <c r="Z284" s="14">
        <v>50</v>
      </c>
      <c r="AA284" s="17">
        <v>16</v>
      </c>
      <c r="AB284" s="14" t="s">
        <v>224</v>
      </c>
      <c r="AC284" s="17">
        <v>2361000</v>
      </c>
      <c r="AD284" s="14" t="s">
        <v>924</v>
      </c>
      <c r="AE284" s="17">
        <v>2186111</v>
      </c>
      <c r="AF284" s="14" t="s">
        <v>2595</v>
      </c>
      <c r="AG284" s="20" t="s">
        <v>229</v>
      </c>
      <c r="AH284" s="10">
        <v>1624078</v>
      </c>
      <c r="AI284" s="24" t="str">
        <f>VLOOKUP(Sales[[#This Row],[Store]],'Store lay bao  cao'!A:B,2,0)</f>
        <v>Lấy BC</v>
      </c>
      <c r="AJ284" s="24" t="e">
        <f>VLOOKUP(Sales[[#This Row],[Associate]],'Associate Status'!B:C,2,0)</f>
        <v>#N/A</v>
      </c>
    </row>
    <row r="285" spans="1:36" x14ac:dyDescent="0.25">
      <c r="A285" s="7">
        <v>2024</v>
      </c>
      <c r="B285" s="8">
        <v>3</v>
      </c>
      <c r="C285" s="8">
        <v>13</v>
      </c>
      <c r="D285" s="8" t="s">
        <v>63</v>
      </c>
      <c r="E285" s="8" t="s">
        <v>34</v>
      </c>
      <c r="F285" s="8" t="s">
        <v>63</v>
      </c>
      <c r="G285" s="9">
        <v>400165</v>
      </c>
      <c r="H285" s="10">
        <v>331301.09999999998</v>
      </c>
      <c r="I285" s="11">
        <v>45377</v>
      </c>
      <c r="J285" s="12">
        <v>205045</v>
      </c>
      <c r="K285" s="13" t="s">
        <v>601</v>
      </c>
      <c r="L285" s="14" t="s">
        <v>47</v>
      </c>
      <c r="M285" s="11" t="s">
        <v>15</v>
      </c>
      <c r="N285" s="14" t="s">
        <v>62</v>
      </c>
      <c r="O285" s="15">
        <v>3998</v>
      </c>
      <c r="P285" s="12">
        <v>1</v>
      </c>
      <c r="Q285" s="13" t="s">
        <v>175</v>
      </c>
      <c r="R285" s="16">
        <v>1823050</v>
      </c>
      <c r="S285" s="17">
        <v>1688009</v>
      </c>
      <c r="T285" s="12">
        <v>5</v>
      </c>
      <c r="U285" s="18">
        <v>88843</v>
      </c>
      <c r="V285" s="19">
        <v>95950</v>
      </c>
      <c r="W285" s="13" t="s">
        <v>104</v>
      </c>
      <c r="X285" s="14" t="s">
        <v>1510</v>
      </c>
      <c r="Y285" s="13" t="s">
        <v>228</v>
      </c>
      <c r="Z285" s="14">
        <v>48</v>
      </c>
      <c r="AA285" s="17">
        <v>16</v>
      </c>
      <c r="AB285" s="14" t="s">
        <v>1511</v>
      </c>
      <c r="AC285" s="17">
        <v>1919000</v>
      </c>
      <c r="AD285" s="14" t="s">
        <v>924</v>
      </c>
      <c r="AE285" s="17">
        <v>1776852</v>
      </c>
      <c r="AF285" s="14" t="s">
        <v>2595</v>
      </c>
      <c r="AG285" s="21" t="s">
        <v>229</v>
      </c>
      <c r="AH285" s="10">
        <v>1287844</v>
      </c>
      <c r="AI285" s="24" t="str">
        <f>VLOOKUP(Sales[[#This Row],[Store]],'Store lay bao  cao'!A:B,2,0)</f>
        <v>Lấy BC</v>
      </c>
      <c r="AJ285" s="24" t="e">
        <f>VLOOKUP(Sales[[#This Row],[Associate]],'Associate Status'!B:C,2,0)</f>
        <v>#N/A</v>
      </c>
    </row>
    <row r="286" spans="1:36" x14ac:dyDescent="0.25">
      <c r="A286" s="7">
        <v>2024</v>
      </c>
      <c r="B286" s="8">
        <v>3</v>
      </c>
      <c r="C286" s="8">
        <v>13</v>
      </c>
      <c r="D286" s="8" t="s">
        <v>63</v>
      </c>
      <c r="E286" s="8" t="s">
        <v>34</v>
      </c>
      <c r="F286" s="8" t="s">
        <v>63</v>
      </c>
      <c r="G286" s="9">
        <v>773190</v>
      </c>
      <c r="H286" s="10">
        <v>764541</v>
      </c>
      <c r="I286" s="11">
        <v>45377</v>
      </c>
      <c r="J286" s="12">
        <v>205057</v>
      </c>
      <c r="K286" s="13" t="s">
        <v>601</v>
      </c>
      <c r="L286" s="14" t="s">
        <v>47</v>
      </c>
      <c r="M286" s="11" t="s">
        <v>15</v>
      </c>
      <c r="N286" s="14" t="s">
        <v>62</v>
      </c>
      <c r="O286" s="15">
        <v>3998</v>
      </c>
      <c r="P286" s="12">
        <v>1</v>
      </c>
      <c r="Q286" s="13" t="s">
        <v>175</v>
      </c>
      <c r="R286" s="16">
        <v>4205650</v>
      </c>
      <c r="S286" s="17">
        <v>3894120</v>
      </c>
      <c r="T286" s="12">
        <v>5</v>
      </c>
      <c r="U286" s="18">
        <v>204954</v>
      </c>
      <c r="V286" s="19">
        <v>221350</v>
      </c>
      <c r="W286" s="13" t="s">
        <v>104</v>
      </c>
      <c r="X286" s="14" t="s">
        <v>1512</v>
      </c>
      <c r="Y286" s="13" t="s">
        <v>228</v>
      </c>
      <c r="Z286" s="14">
        <v>60</v>
      </c>
      <c r="AA286" s="17">
        <v>16</v>
      </c>
      <c r="AB286" s="14" t="s">
        <v>137</v>
      </c>
      <c r="AC286" s="17">
        <v>4427000</v>
      </c>
      <c r="AD286" s="14" t="s">
        <v>924</v>
      </c>
      <c r="AE286" s="17">
        <v>4099074</v>
      </c>
      <c r="AF286" s="14" t="s">
        <v>2595</v>
      </c>
      <c r="AG286" s="20" t="s">
        <v>229</v>
      </c>
      <c r="AH286" s="10">
        <v>3120930</v>
      </c>
      <c r="AI286" s="24" t="str">
        <f>VLOOKUP(Sales[[#This Row],[Store]],'Store lay bao  cao'!A:B,2,0)</f>
        <v>Lấy BC</v>
      </c>
      <c r="AJ286" s="24" t="e">
        <f>VLOOKUP(Sales[[#This Row],[Associate]],'Associate Status'!B:C,2,0)</f>
        <v>#N/A</v>
      </c>
    </row>
    <row r="287" spans="1:36" x14ac:dyDescent="0.25">
      <c r="A287" s="7">
        <v>2024</v>
      </c>
      <c r="B287" s="8">
        <v>3</v>
      </c>
      <c r="C287" s="8">
        <v>13</v>
      </c>
      <c r="D287" s="8" t="s">
        <v>63</v>
      </c>
      <c r="E287" s="8" t="s">
        <v>34</v>
      </c>
      <c r="F287" s="8" t="s">
        <v>63</v>
      </c>
      <c r="G287" s="9">
        <v>452728</v>
      </c>
      <c r="H287" s="10">
        <v>407755.2</v>
      </c>
      <c r="I287" s="11">
        <v>45377</v>
      </c>
      <c r="J287" s="12">
        <v>205050</v>
      </c>
      <c r="K287" s="13" t="s">
        <v>601</v>
      </c>
      <c r="L287" s="14" t="s">
        <v>47</v>
      </c>
      <c r="M287" s="11" t="s">
        <v>15</v>
      </c>
      <c r="N287" s="14" t="s">
        <v>62</v>
      </c>
      <c r="O287" s="15">
        <v>3998</v>
      </c>
      <c r="P287" s="12">
        <v>1</v>
      </c>
      <c r="Q287" s="13" t="s">
        <v>175</v>
      </c>
      <c r="R287" s="16">
        <v>2242950</v>
      </c>
      <c r="S287" s="17">
        <v>2076806</v>
      </c>
      <c r="T287" s="12">
        <v>5</v>
      </c>
      <c r="U287" s="18">
        <v>109306</v>
      </c>
      <c r="V287" s="19">
        <v>118050</v>
      </c>
      <c r="W287" s="13" t="s">
        <v>104</v>
      </c>
      <c r="X287" s="14" t="s">
        <v>1513</v>
      </c>
      <c r="Y287" s="13" t="s">
        <v>228</v>
      </c>
      <c r="Z287" s="14">
        <v>53</v>
      </c>
      <c r="AA287" s="17">
        <v>16</v>
      </c>
      <c r="AB287" s="14" t="s">
        <v>194</v>
      </c>
      <c r="AC287" s="17">
        <v>2361000</v>
      </c>
      <c r="AD287" s="14" t="s">
        <v>924</v>
      </c>
      <c r="AE287" s="17">
        <v>2186111</v>
      </c>
      <c r="AF287" s="14" t="s">
        <v>2595</v>
      </c>
      <c r="AG287" s="21" t="s">
        <v>229</v>
      </c>
      <c r="AH287" s="10">
        <v>1624078</v>
      </c>
      <c r="AI287" s="24" t="str">
        <f>VLOOKUP(Sales[[#This Row],[Store]],'Store lay bao  cao'!A:B,2,0)</f>
        <v>Lấy BC</v>
      </c>
      <c r="AJ287" s="24" t="e">
        <f>VLOOKUP(Sales[[#This Row],[Associate]],'Associate Status'!B:C,2,0)</f>
        <v>#N/A</v>
      </c>
    </row>
    <row r="288" spans="1:36" x14ac:dyDescent="0.25">
      <c r="A288" s="7">
        <v>2024</v>
      </c>
      <c r="B288" s="8">
        <v>3</v>
      </c>
      <c r="C288" s="8">
        <v>13</v>
      </c>
      <c r="D288" s="8" t="s">
        <v>63</v>
      </c>
      <c r="E288" s="8" t="s">
        <v>37</v>
      </c>
      <c r="F288" s="8" t="s">
        <v>63</v>
      </c>
      <c r="G288" s="9">
        <v>1599800</v>
      </c>
      <c r="H288" s="10">
        <v>1478112.5999999999</v>
      </c>
      <c r="I288" s="11">
        <v>45377</v>
      </c>
      <c r="J288" s="12">
        <v>205003</v>
      </c>
      <c r="K288" s="13" t="s">
        <v>601</v>
      </c>
      <c r="L288" s="14" t="s">
        <v>47</v>
      </c>
      <c r="M288" s="11" t="s">
        <v>15</v>
      </c>
      <c r="N288" s="14" t="s">
        <v>62</v>
      </c>
      <c r="O288" s="15">
        <v>3998</v>
      </c>
      <c r="P288" s="12">
        <v>1</v>
      </c>
      <c r="Q288" s="13" t="s">
        <v>175</v>
      </c>
      <c r="R288" s="16">
        <v>8130100</v>
      </c>
      <c r="S288" s="17">
        <v>7527870</v>
      </c>
      <c r="T288" s="12">
        <v>5</v>
      </c>
      <c r="U288" s="18">
        <v>396204</v>
      </c>
      <c r="V288" s="19">
        <v>427900</v>
      </c>
      <c r="W288" s="13" t="s">
        <v>104</v>
      </c>
      <c r="X288" s="14" t="s">
        <v>911</v>
      </c>
      <c r="Y288" s="13" t="s">
        <v>228</v>
      </c>
      <c r="Z288" s="14">
        <v>6</v>
      </c>
      <c r="AA288" s="17">
        <v>16</v>
      </c>
      <c r="AB288" s="14" t="s">
        <v>194</v>
      </c>
      <c r="AC288" s="17">
        <v>8558000</v>
      </c>
      <c r="AD288" s="14" t="s">
        <v>924</v>
      </c>
      <c r="AE288" s="17">
        <v>7924074</v>
      </c>
      <c r="AF288" s="14" t="s">
        <v>2595</v>
      </c>
      <c r="AG288" s="20" t="s">
        <v>229</v>
      </c>
      <c r="AH288" s="10">
        <v>5928070</v>
      </c>
      <c r="AI288" s="24" t="str">
        <f>VLOOKUP(Sales[[#This Row],[Store]],'Store lay bao  cao'!A:B,2,0)</f>
        <v>Lấy BC</v>
      </c>
      <c r="AJ288" s="24" t="e">
        <f>VLOOKUP(Sales[[#This Row],[Associate]],'Associate Status'!B:C,2,0)</f>
        <v>#N/A</v>
      </c>
    </row>
    <row r="289" spans="1:36" x14ac:dyDescent="0.25">
      <c r="A289" s="7">
        <v>2024</v>
      </c>
      <c r="B289" s="8">
        <v>3</v>
      </c>
      <c r="C289" s="8">
        <v>13</v>
      </c>
      <c r="D289" s="8" t="s">
        <v>63</v>
      </c>
      <c r="E289" s="8" t="s">
        <v>53</v>
      </c>
      <c r="F289" s="8" t="s">
        <v>63</v>
      </c>
      <c r="G289" s="9">
        <v>289525</v>
      </c>
      <c r="H289" s="10">
        <v>254847</v>
      </c>
      <c r="I289" s="11">
        <v>45377</v>
      </c>
      <c r="J289" s="12">
        <v>205062</v>
      </c>
      <c r="K289" s="13" t="s">
        <v>601</v>
      </c>
      <c r="L289" s="14" t="s">
        <v>47</v>
      </c>
      <c r="M289" s="11" t="s">
        <v>15</v>
      </c>
      <c r="N289" s="14" t="s">
        <v>62</v>
      </c>
      <c r="O289" s="15">
        <v>3998</v>
      </c>
      <c r="P289" s="12">
        <v>1</v>
      </c>
      <c r="Q289" s="13" t="s">
        <v>175</v>
      </c>
      <c r="R289" s="16">
        <v>1402200</v>
      </c>
      <c r="S289" s="17">
        <v>1298333</v>
      </c>
      <c r="T289" s="12">
        <v>5</v>
      </c>
      <c r="U289" s="18">
        <v>68333</v>
      </c>
      <c r="V289" s="19">
        <v>73800</v>
      </c>
      <c r="W289" s="13" t="s">
        <v>104</v>
      </c>
      <c r="X289" s="14" t="s">
        <v>1506</v>
      </c>
      <c r="Y289" s="13" t="s">
        <v>228</v>
      </c>
      <c r="Z289" s="14">
        <v>65</v>
      </c>
      <c r="AA289" s="17">
        <v>16</v>
      </c>
      <c r="AB289" s="14" t="s">
        <v>137</v>
      </c>
      <c r="AC289" s="17">
        <v>1476000</v>
      </c>
      <c r="AD289" s="14" t="s">
        <v>924</v>
      </c>
      <c r="AE289" s="17">
        <v>1366667</v>
      </c>
      <c r="AF289" s="14" t="s">
        <v>2595</v>
      </c>
      <c r="AG289" s="21" t="s">
        <v>229</v>
      </c>
      <c r="AH289" s="10">
        <v>1008808</v>
      </c>
      <c r="AI289" s="24" t="str">
        <f>VLOOKUP(Sales[[#This Row],[Store]],'Store lay bao  cao'!A:B,2,0)</f>
        <v>Lấy BC</v>
      </c>
      <c r="AJ289" s="24" t="e">
        <f>VLOOKUP(Sales[[#This Row],[Associate]],'Associate Status'!B:C,2,0)</f>
        <v>#N/A</v>
      </c>
    </row>
    <row r="290" spans="1:36" x14ac:dyDescent="0.25">
      <c r="A290" s="7">
        <v>2024</v>
      </c>
      <c r="B290" s="8">
        <v>3</v>
      </c>
      <c r="C290" s="8">
        <v>13</v>
      </c>
      <c r="D290" s="8" t="s">
        <v>63</v>
      </c>
      <c r="E290" s="8" t="s">
        <v>37</v>
      </c>
      <c r="F290" s="8" t="s">
        <v>63</v>
      </c>
      <c r="G290" s="9">
        <v>1620996</v>
      </c>
      <c r="H290" s="10">
        <v>1478112.5999999999</v>
      </c>
      <c r="I290" s="11">
        <v>45377</v>
      </c>
      <c r="J290" s="12">
        <v>205025</v>
      </c>
      <c r="K290" s="13" t="s">
        <v>601</v>
      </c>
      <c r="L290" s="14" t="s">
        <v>47</v>
      </c>
      <c r="M290" s="11" t="s">
        <v>15</v>
      </c>
      <c r="N290" s="14" t="s">
        <v>62</v>
      </c>
      <c r="O290" s="15">
        <v>3998</v>
      </c>
      <c r="P290" s="12">
        <v>1</v>
      </c>
      <c r="Q290" s="13" t="s">
        <v>175</v>
      </c>
      <c r="R290" s="16">
        <v>8130100</v>
      </c>
      <c r="S290" s="17">
        <v>7527870</v>
      </c>
      <c r="T290" s="12">
        <v>5</v>
      </c>
      <c r="U290" s="18">
        <v>396204</v>
      </c>
      <c r="V290" s="19">
        <v>427900</v>
      </c>
      <c r="W290" s="13" t="s">
        <v>104</v>
      </c>
      <c r="X290" s="14" t="s">
        <v>1514</v>
      </c>
      <c r="Y290" s="13" t="s">
        <v>228</v>
      </c>
      <c r="Z290" s="14">
        <v>28</v>
      </c>
      <c r="AA290" s="17">
        <v>16</v>
      </c>
      <c r="AB290" s="14" t="s">
        <v>897</v>
      </c>
      <c r="AC290" s="17">
        <v>8558000</v>
      </c>
      <c r="AD290" s="14" t="s">
        <v>924</v>
      </c>
      <c r="AE290" s="17">
        <v>7924074</v>
      </c>
      <c r="AF290" s="14" t="s">
        <v>2595</v>
      </c>
      <c r="AG290" s="20" t="s">
        <v>229</v>
      </c>
      <c r="AH290" s="10">
        <v>5906874</v>
      </c>
      <c r="AI290" s="24" t="str">
        <f>VLOOKUP(Sales[[#This Row],[Store]],'Store lay bao  cao'!A:B,2,0)</f>
        <v>Lấy BC</v>
      </c>
      <c r="AJ290" s="24" t="e">
        <f>VLOOKUP(Sales[[#This Row],[Associate]],'Associate Status'!B:C,2,0)</f>
        <v>#N/A</v>
      </c>
    </row>
    <row r="291" spans="1:36" x14ac:dyDescent="0.25">
      <c r="A291" s="7">
        <v>2024</v>
      </c>
      <c r="B291" s="8">
        <v>3</v>
      </c>
      <c r="C291" s="8">
        <v>13</v>
      </c>
      <c r="D291" s="8" t="s">
        <v>63</v>
      </c>
      <c r="E291" s="8" t="s">
        <v>37</v>
      </c>
      <c r="F291" s="8" t="s">
        <v>63</v>
      </c>
      <c r="G291" s="9">
        <v>1494675</v>
      </c>
      <c r="H291" s="10">
        <v>1376173.8</v>
      </c>
      <c r="I291" s="11">
        <v>45377</v>
      </c>
      <c r="J291" s="12">
        <v>205010</v>
      </c>
      <c r="K291" s="13" t="s">
        <v>601</v>
      </c>
      <c r="L291" s="14" t="s">
        <v>47</v>
      </c>
      <c r="M291" s="11" t="s">
        <v>15</v>
      </c>
      <c r="N291" s="14" t="s">
        <v>62</v>
      </c>
      <c r="O291" s="15">
        <v>3998</v>
      </c>
      <c r="P291" s="12">
        <v>1</v>
      </c>
      <c r="Q291" s="13" t="s">
        <v>175</v>
      </c>
      <c r="R291" s="16">
        <v>7569600</v>
      </c>
      <c r="S291" s="17">
        <v>7008889</v>
      </c>
      <c r="T291" s="12">
        <v>5</v>
      </c>
      <c r="U291" s="18">
        <v>368889</v>
      </c>
      <c r="V291" s="19">
        <v>398400</v>
      </c>
      <c r="W291" s="13" t="s">
        <v>104</v>
      </c>
      <c r="X291" s="14" t="s">
        <v>1486</v>
      </c>
      <c r="Y291" s="13" t="s">
        <v>228</v>
      </c>
      <c r="Z291" s="14">
        <v>13</v>
      </c>
      <c r="AA291" s="17">
        <v>16</v>
      </c>
      <c r="AB291" s="14" t="s">
        <v>341</v>
      </c>
      <c r="AC291" s="17">
        <v>7968000</v>
      </c>
      <c r="AD291" s="14" t="s">
        <v>924</v>
      </c>
      <c r="AE291" s="17">
        <v>7377778</v>
      </c>
      <c r="AF291" s="14" t="s">
        <v>2595</v>
      </c>
      <c r="AG291" s="21" t="s">
        <v>229</v>
      </c>
      <c r="AH291" s="10">
        <v>5514214</v>
      </c>
      <c r="AI291" s="24" t="str">
        <f>VLOOKUP(Sales[[#This Row],[Store]],'Store lay bao  cao'!A:B,2,0)</f>
        <v>Lấy BC</v>
      </c>
      <c r="AJ291" s="24" t="e">
        <f>VLOOKUP(Sales[[#This Row],[Associate]],'Associate Status'!B:C,2,0)</f>
        <v>#N/A</v>
      </c>
    </row>
    <row r="292" spans="1:36" x14ac:dyDescent="0.25">
      <c r="A292" s="7">
        <v>2024</v>
      </c>
      <c r="B292" s="8">
        <v>3</v>
      </c>
      <c r="C292" s="8">
        <v>13</v>
      </c>
      <c r="D292" s="8" t="s">
        <v>63</v>
      </c>
      <c r="E292" s="8" t="s">
        <v>37</v>
      </c>
      <c r="F292" s="8" t="s">
        <v>63</v>
      </c>
      <c r="G292" s="9">
        <v>1836333</v>
      </c>
      <c r="H292" s="10">
        <v>1732959.5999999999</v>
      </c>
      <c r="I292" s="11">
        <v>45377</v>
      </c>
      <c r="J292" s="12">
        <v>204998</v>
      </c>
      <c r="K292" s="13" t="s">
        <v>601</v>
      </c>
      <c r="L292" s="14" t="s">
        <v>47</v>
      </c>
      <c r="M292" s="11" t="s">
        <v>15</v>
      </c>
      <c r="N292" s="14" t="s">
        <v>62</v>
      </c>
      <c r="O292" s="15">
        <v>3998</v>
      </c>
      <c r="P292" s="12">
        <v>1</v>
      </c>
      <c r="Q292" s="13" t="s">
        <v>175</v>
      </c>
      <c r="R292" s="16">
        <v>9531350</v>
      </c>
      <c r="S292" s="17">
        <v>8825324</v>
      </c>
      <c r="T292" s="12">
        <v>5</v>
      </c>
      <c r="U292" s="18">
        <v>464491</v>
      </c>
      <c r="V292" s="19">
        <v>501650</v>
      </c>
      <c r="W292" s="13" t="s">
        <v>104</v>
      </c>
      <c r="X292" s="14" t="s">
        <v>1515</v>
      </c>
      <c r="Y292" s="13" t="s">
        <v>228</v>
      </c>
      <c r="Z292" s="14">
        <v>1</v>
      </c>
      <c r="AA292" s="17">
        <v>16</v>
      </c>
      <c r="AB292" s="14" t="s">
        <v>190</v>
      </c>
      <c r="AC292" s="17">
        <v>10033000</v>
      </c>
      <c r="AD292" s="14" t="s">
        <v>924</v>
      </c>
      <c r="AE292" s="17">
        <v>9289815</v>
      </c>
      <c r="AF292" s="14" t="s">
        <v>2595</v>
      </c>
      <c r="AG292" s="20" t="s">
        <v>229</v>
      </c>
      <c r="AH292" s="10">
        <v>6988991</v>
      </c>
      <c r="AI292" s="24" t="str">
        <f>VLOOKUP(Sales[[#This Row],[Store]],'Store lay bao  cao'!A:B,2,0)</f>
        <v>Lấy BC</v>
      </c>
      <c r="AJ292" s="24" t="e">
        <f>VLOOKUP(Sales[[#This Row],[Associate]],'Associate Status'!B:C,2,0)</f>
        <v>#N/A</v>
      </c>
    </row>
    <row r="293" spans="1:36" x14ac:dyDescent="0.25">
      <c r="A293" s="7">
        <v>2024</v>
      </c>
      <c r="B293" s="8">
        <v>3</v>
      </c>
      <c r="C293" s="8">
        <v>13</v>
      </c>
      <c r="D293" s="8" t="s">
        <v>51</v>
      </c>
      <c r="E293" s="8" t="s">
        <v>37</v>
      </c>
      <c r="F293" s="8" t="s">
        <v>51</v>
      </c>
      <c r="G293" s="9">
        <v>2368783</v>
      </c>
      <c r="H293" s="10">
        <v>2065000</v>
      </c>
      <c r="I293" s="11">
        <v>45377</v>
      </c>
      <c r="J293" s="12">
        <v>174900</v>
      </c>
      <c r="K293" s="13" t="s">
        <v>601</v>
      </c>
      <c r="L293" s="14" t="s">
        <v>47</v>
      </c>
      <c r="M293" s="11" t="s">
        <v>15</v>
      </c>
      <c r="N293" s="14" t="s">
        <v>11</v>
      </c>
      <c r="O293" s="15">
        <v>3998</v>
      </c>
      <c r="P293" s="12">
        <v>1</v>
      </c>
      <c r="Q293" s="13" t="s">
        <v>175</v>
      </c>
      <c r="R293" s="16">
        <v>10929750</v>
      </c>
      <c r="S293" s="17">
        <v>10120139</v>
      </c>
      <c r="T293" s="12">
        <v>5</v>
      </c>
      <c r="U293" s="18">
        <v>532639</v>
      </c>
      <c r="V293" s="19">
        <v>575250</v>
      </c>
      <c r="W293" s="13" t="s">
        <v>104</v>
      </c>
      <c r="X293" s="14" t="s">
        <v>1516</v>
      </c>
      <c r="Y293" s="13" t="s">
        <v>228</v>
      </c>
      <c r="Z293" s="14" t="s">
        <v>939</v>
      </c>
      <c r="AA293" s="17">
        <v>16</v>
      </c>
      <c r="AB293" s="14" t="s">
        <v>892</v>
      </c>
      <c r="AC293" s="17">
        <v>11505000</v>
      </c>
      <c r="AD293" s="14" t="s">
        <v>849</v>
      </c>
      <c r="AE293" s="17">
        <v>10652778</v>
      </c>
      <c r="AF293" s="14" t="s">
        <v>2596</v>
      </c>
      <c r="AG293" s="21" t="s">
        <v>229</v>
      </c>
      <c r="AH293" s="10">
        <v>7751356</v>
      </c>
      <c r="AI293" s="24" t="str">
        <f>VLOOKUP(Sales[[#This Row],[Store]],'Store lay bao  cao'!A:B,2,0)</f>
        <v>Lấy BC</v>
      </c>
      <c r="AJ293" s="24" t="e">
        <f>VLOOKUP(Sales[[#This Row],[Associate]],'Associate Status'!B:C,2,0)</f>
        <v>#N/A</v>
      </c>
    </row>
    <row r="294" spans="1:36" x14ac:dyDescent="0.25">
      <c r="A294" s="7">
        <v>2024</v>
      </c>
      <c r="B294" s="8">
        <v>3</v>
      </c>
      <c r="C294" s="8">
        <v>13</v>
      </c>
      <c r="D294" s="8" t="s">
        <v>51</v>
      </c>
      <c r="E294" s="8" t="s">
        <v>37</v>
      </c>
      <c r="F294" s="8" t="s">
        <v>51</v>
      </c>
      <c r="G294" s="9">
        <v>1583701</v>
      </c>
      <c r="H294" s="10">
        <v>1380600</v>
      </c>
      <c r="I294" s="11">
        <v>45377</v>
      </c>
      <c r="J294" s="12">
        <v>174886</v>
      </c>
      <c r="K294" s="13" t="s">
        <v>601</v>
      </c>
      <c r="L294" s="14" t="s">
        <v>47</v>
      </c>
      <c r="M294" s="11" t="s">
        <v>15</v>
      </c>
      <c r="N294" s="14" t="s">
        <v>11</v>
      </c>
      <c r="O294" s="15">
        <v>3998</v>
      </c>
      <c r="P294" s="12">
        <v>1</v>
      </c>
      <c r="Q294" s="13" t="s">
        <v>175</v>
      </c>
      <c r="R294" s="16">
        <v>7286500</v>
      </c>
      <c r="S294" s="17">
        <v>6746759</v>
      </c>
      <c r="T294" s="12">
        <v>5</v>
      </c>
      <c r="U294" s="18">
        <v>355093</v>
      </c>
      <c r="V294" s="19">
        <v>383500</v>
      </c>
      <c r="W294" s="13" t="s">
        <v>104</v>
      </c>
      <c r="X294" s="14" t="s">
        <v>949</v>
      </c>
      <c r="Y294" s="13" t="s">
        <v>228</v>
      </c>
      <c r="Z294" s="14" t="s">
        <v>966</v>
      </c>
      <c r="AA294" s="17">
        <v>16</v>
      </c>
      <c r="AB294" s="14" t="s">
        <v>224</v>
      </c>
      <c r="AC294" s="17">
        <v>7670000</v>
      </c>
      <c r="AD294" s="14" t="s">
        <v>849</v>
      </c>
      <c r="AE294" s="17">
        <v>7101852</v>
      </c>
      <c r="AF294" s="14" t="s">
        <v>2596</v>
      </c>
      <c r="AG294" s="20" t="s">
        <v>229</v>
      </c>
      <c r="AH294" s="10">
        <v>5163058</v>
      </c>
      <c r="AI294" s="24" t="str">
        <f>VLOOKUP(Sales[[#This Row],[Store]],'Store lay bao  cao'!A:B,2,0)</f>
        <v>Lấy BC</v>
      </c>
      <c r="AJ294" s="24" t="e">
        <f>VLOOKUP(Sales[[#This Row],[Associate]],'Associate Status'!B:C,2,0)</f>
        <v>#N/A</v>
      </c>
    </row>
    <row r="295" spans="1:36" x14ac:dyDescent="0.25">
      <c r="A295" s="7">
        <v>2024</v>
      </c>
      <c r="B295" s="8">
        <v>3</v>
      </c>
      <c r="C295" s="8">
        <v>13</v>
      </c>
      <c r="D295" s="8" t="s">
        <v>63</v>
      </c>
      <c r="E295" s="8" t="s">
        <v>37</v>
      </c>
      <c r="F295" s="8" t="s">
        <v>63</v>
      </c>
      <c r="G295" s="9">
        <v>1426858</v>
      </c>
      <c r="H295" s="10">
        <v>1223265.5999999999</v>
      </c>
      <c r="I295" s="11">
        <v>45377</v>
      </c>
      <c r="J295" s="12">
        <v>205036</v>
      </c>
      <c r="K295" s="13" t="s">
        <v>601</v>
      </c>
      <c r="L295" s="14" t="s">
        <v>47</v>
      </c>
      <c r="M295" s="11" t="s">
        <v>15</v>
      </c>
      <c r="N295" s="14" t="s">
        <v>62</v>
      </c>
      <c r="O295" s="15">
        <v>3998</v>
      </c>
      <c r="P295" s="12">
        <v>1</v>
      </c>
      <c r="Q295" s="13" t="s">
        <v>175</v>
      </c>
      <c r="R295" s="16">
        <v>6728850</v>
      </c>
      <c r="S295" s="17">
        <v>6230417</v>
      </c>
      <c r="T295" s="12">
        <v>5</v>
      </c>
      <c r="U295" s="18">
        <v>327917</v>
      </c>
      <c r="V295" s="19">
        <v>354150</v>
      </c>
      <c r="W295" s="13" t="s">
        <v>104</v>
      </c>
      <c r="X295" s="14" t="s">
        <v>1517</v>
      </c>
      <c r="Y295" s="13" t="s">
        <v>228</v>
      </c>
      <c r="Z295" s="14">
        <v>39</v>
      </c>
      <c r="AA295" s="17">
        <v>16</v>
      </c>
      <c r="AB295" s="14" t="s">
        <v>269</v>
      </c>
      <c r="AC295" s="17">
        <v>7083000</v>
      </c>
      <c r="AD295" s="14" t="s">
        <v>924</v>
      </c>
      <c r="AE295" s="17">
        <v>6558333</v>
      </c>
      <c r="AF295" s="14" t="s">
        <v>109</v>
      </c>
      <c r="AG295" s="21" t="s">
        <v>229</v>
      </c>
      <c r="AH295" s="10">
        <v>4803559</v>
      </c>
      <c r="AI295" s="24" t="str">
        <f>VLOOKUP(Sales[[#This Row],[Store]],'Store lay bao  cao'!A:B,2,0)</f>
        <v>Lấy BC</v>
      </c>
      <c r="AJ295" s="24" t="str">
        <f>VLOOKUP(Sales[[#This Row],[Associate]],'Associate Status'!B:C,2,0)</f>
        <v>Active</v>
      </c>
    </row>
    <row r="296" spans="1:36" x14ac:dyDescent="0.25">
      <c r="A296" s="7">
        <v>2024</v>
      </c>
      <c r="B296" s="8">
        <v>3</v>
      </c>
      <c r="C296" s="8">
        <v>13</v>
      </c>
      <c r="D296" s="8" t="s">
        <v>51</v>
      </c>
      <c r="E296" s="8" t="s">
        <v>34</v>
      </c>
      <c r="F296" s="8" t="s">
        <v>51</v>
      </c>
      <c r="G296" s="9">
        <v>1032112</v>
      </c>
      <c r="H296" s="10">
        <v>899750</v>
      </c>
      <c r="I296" s="11">
        <v>45377</v>
      </c>
      <c r="J296" s="12">
        <v>174909</v>
      </c>
      <c r="K296" s="13" t="s">
        <v>601</v>
      </c>
      <c r="L296" s="14" t="s">
        <v>47</v>
      </c>
      <c r="M296" s="11" t="s">
        <v>15</v>
      </c>
      <c r="N296" s="14" t="s">
        <v>11</v>
      </c>
      <c r="O296" s="15">
        <v>3998</v>
      </c>
      <c r="P296" s="12">
        <v>1</v>
      </c>
      <c r="Q296" s="13" t="s">
        <v>175</v>
      </c>
      <c r="R296" s="16">
        <v>4764250</v>
      </c>
      <c r="S296" s="17">
        <v>4411343</v>
      </c>
      <c r="T296" s="12">
        <v>5</v>
      </c>
      <c r="U296" s="18">
        <v>232176</v>
      </c>
      <c r="V296" s="19">
        <v>250750</v>
      </c>
      <c r="W296" s="13" t="s">
        <v>104</v>
      </c>
      <c r="X296" s="14" t="s">
        <v>1518</v>
      </c>
      <c r="Y296" s="13" t="s">
        <v>228</v>
      </c>
      <c r="Z296" s="14" t="s">
        <v>1095</v>
      </c>
      <c r="AA296" s="17">
        <v>16</v>
      </c>
      <c r="AB296" s="14" t="s">
        <v>224</v>
      </c>
      <c r="AC296" s="17">
        <v>5015000</v>
      </c>
      <c r="AD296" s="14" t="s">
        <v>849</v>
      </c>
      <c r="AE296" s="17">
        <v>4643519</v>
      </c>
      <c r="AF296" s="14" t="s">
        <v>2596</v>
      </c>
      <c r="AG296" s="20" t="s">
        <v>229</v>
      </c>
      <c r="AH296" s="10">
        <v>3379231</v>
      </c>
      <c r="AI296" s="24" t="str">
        <f>VLOOKUP(Sales[[#This Row],[Store]],'Store lay bao  cao'!A:B,2,0)</f>
        <v>Lấy BC</v>
      </c>
      <c r="AJ296" s="24" t="e">
        <f>VLOOKUP(Sales[[#This Row],[Associate]],'Associate Status'!B:C,2,0)</f>
        <v>#N/A</v>
      </c>
    </row>
    <row r="297" spans="1:36" x14ac:dyDescent="0.25">
      <c r="A297" s="7">
        <v>2024</v>
      </c>
      <c r="B297" s="8">
        <v>3</v>
      </c>
      <c r="C297" s="8">
        <v>13</v>
      </c>
      <c r="D297" s="8" t="s">
        <v>51</v>
      </c>
      <c r="E297" s="8" t="s">
        <v>43</v>
      </c>
      <c r="F297" s="8" t="s">
        <v>51</v>
      </c>
      <c r="G297" s="9">
        <v>670026</v>
      </c>
      <c r="H297" s="10">
        <v>584100</v>
      </c>
      <c r="I297" s="11">
        <v>45381</v>
      </c>
      <c r="J297" s="12">
        <v>174915</v>
      </c>
      <c r="K297" s="13" t="s">
        <v>1519</v>
      </c>
      <c r="L297" s="14" t="s">
        <v>47</v>
      </c>
      <c r="M297" s="11" t="s">
        <v>28</v>
      </c>
      <c r="N297" s="14" t="s">
        <v>11</v>
      </c>
      <c r="O297" s="15">
        <v>1420</v>
      </c>
      <c r="P297" s="12">
        <v>1</v>
      </c>
      <c r="Q297" s="13" t="s">
        <v>101</v>
      </c>
      <c r="R297" s="16">
        <v>3245000</v>
      </c>
      <c r="S297" s="17">
        <v>3004630</v>
      </c>
      <c r="T297" s="12">
        <v>0</v>
      </c>
      <c r="U297" s="18">
        <v>0</v>
      </c>
      <c r="V297" s="19">
        <v>0</v>
      </c>
      <c r="W297" s="13" t="s">
        <v>1218</v>
      </c>
      <c r="X297" s="14" t="s">
        <v>1520</v>
      </c>
      <c r="Y297" s="13" t="s">
        <v>304</v>
      </c>
      <c r="Z297" s="14" t="s">
        <v>1464</v>
      </c>
      <c r="AA297" s="17">
        <v>12</v>
      </c>
      <c r="AB297" s="14" t="s">
        <v>194</v>
      </c>
      <c r="AC297" s="17">
        <v>3245000</v>
      </c>
      <c r="AD297" s="14" t="s">
        <v>849</v>
      </c>
      <c r="AE297" s="17">
        <v>3004630</v>
      </c>
      <c r="AF297" s="14" t="s">
        <v>1157</v>
      </c>
      <c r="AG297" s="21" t="s">
        <v>305</v>
      </c>
      <c r="AH297" s="10">
        <v>2334604</v>
      </c>
      <c r="AI297" s="24" t="str">
        <f>VLOOKUP(Sales[[#This Row],[Store]],'Store lay bao  cao'!A:B,2,0)</f>
        <v>Lấy BC</v>
      </c>
      <c r="AJ297" s="24" t="e">
        <f>VLOOKUP(Sales[[#This Row],[Associate]],'Associate Status'!B:C,2,0)</f>
        <v>#N/A</v>
      </c>
    </row>
    <row r="298" spans="1:36" ht="39" x14ac:dyDescent="0.25">
      <c r="A298" s="7">
        <v>2024</v>
      </c>
      <c r="B298" s="8">
        <v>4</v>
      </c>
      <c r="C298" s="8">
        <v>14</v>
      </c>
      <c r="D298" s="8" t="s">
        <v>60</v>
      </c>
      <c r="E298" s="8" t="s">
        <v>43</v>
      </c>
      <c r="F298" s="8" t="s">
        <v>60</v>
      </c>
      <c r="G298" s="9">
        <v>6095032</v>
      </c>
      <c r="H298" s="10">
        <v>4554300</v>
      </c>
      <c r="I298" s="11">
        <v>45385</v>
      </c>
      <c r="J298" s="12">
        <v>202787</v>
      </c>
      <c r="K298" s="13" t="s">
        <v>1521</v>
      </c>
      <c r="L298" s="14" t="s">
        <v>19</v>
      </c>
      <c r="M298" s="11" t="s">
        <v>17</v>
      </c>
      <c r="N298" s="14" t="s">
        <v>62</v>
      </c>
      <c r="O298" s="15">
        <v>8035</v>
      </c>
      <c r="P298" s="12">
        <v>1</v>
      </c>
      <c r="Q298" s="13" t="s">
        <v>144</v>
      </c>
      <c r="R298" s="16">
        <v>13321800</v>
      </c>
      <c r="S298" s="17">
        <v>12335000</v>
      </c>
      <c r="T298" s="12">
        <v>10</v>
      </c>
      <c r="U298" s="18">
        <v>1370556</v>
      </c>
      <c r="V298" s="19">
        <v>1480200</v>
      </c>
      <c r="W298" s="13" t="s">
        <v>427</v>
      </c>
      <c r="X298" s="23" t="s">
        <v>1522</v>
      </c>
      <c r="Y298" s="13" t="s">
        <v>1423</v>
      </c>
      <c r="Z298" s="14" t="s">
        <v>1523</v>
      </c>
      <c r="AA298" s="17">
        <v>10</v>
      </c>
      <c r="AB298" s="14" t="s">
        <v>220</v>
      </c>
      <c r="AC298" s="17">
        <v>14802000</v>
      </c>
      <c r="AD298" s="14">
        <v>53</v>
      </c>
      <c r="AE298" s="17">
        <v>13705556</v>
      </c>
      <c r="AF298" s="14" t="s">
        <v>846</v>
      </c>
      <c r="AG298" s="20" t="s">
        <v>1424</v>
      </c>
      <c r="AH298" s="10">
        <v>6239968</v>
      </c>
      <c r="AI298" s="24" t="str">
        <f>VLOOKUP(Sales[[#This Row],[Store]],'Store lay bao  cao'!A:B,2,0)</f>
        <v>Lấy BC</v>
      </c>
      <c r="AJ298" s="24" t="str">
        <f>VLOOKUP(Sales[[#This Row],[Associate]],'Associate Status'!B:C,2,0)</f>
        <v>Active</v>
      </c>
    </row>
    <row r="299" spans="1:36" x14ac:dyDescent="0.25">
      <c r="A299" s="7">
        <v>2024</v>
      </c>
      <c r="B299" s="8">
        <v>4</v>
      </c>
      <c r="C299" s="8">
        <v>14</v>
      </c>
      <c r="D299" s="8" t="s">
        <v>52</v>
      </c>
      <c r="E299" s="8" t="s">
        <v>43</v>
      </c>
      <c r="F299" s="8" t="s">
        <v>52</v>
      </c>
      <c r="G299" s="9">
        <v>10179560</v>
      </c>
      <c r="H299" s="10">
        <v>8617200</v>
      </c>
      <c r="I299" s="11">
        <v>45385</v>
      </c>
      <c r="J299" s="12">
        <v>186492</v>
      </c>
      <c r="K299" s="13" t="s">
        <v>1521</v>
      </c>
      <c r="L299" s="14" t="s">
        <v>19</v>
      </c>
      <c r="M299" s="11" t="s">
        <v>17</v>
      </c>
      <c r="N299" s="14" t="s">
        <v>11</v>
      </c>
      <c r="O299" s="15">
        <v>8035</v>
      </c>
      <c r="P299" s="12">
        <v>1</v>
      </c>
      <c r="Q299" s="13" t="s">
        <v>144</v>
      </c>
      <c r="R299" s="16">
        <v>25205400</v>
      </c>
      <c r="S299" s="17">
        <v>23338333</v>
      </c>
      <c r="T299" s="12">
        <v>10</v>
      </c>
      <c r="U299" s="18">
        <v>2593148</v>
      </c>
      <c r="V299" s="19">
        <v>2800600</v>
      </c>
      <c r="W299" s="13" t="s">
        <v>427</v>
      </c>
      <c r="X299" s="14" t="s">
        <v>1524</v>
      </c>
      <c r="Y299" s="13" t="s">
        <v>1423</v>
      </c>
      <c r="Z299" s="14" t="s">
        <v>1525</v>
      </c>
      <c r="AA299" s="17">
        <v>10</v>
      </c>
      <c r="AB299" s="14" t="s">
        <v>1253</v>
      </c>
      <c r="AC299" s="17">
        <v>28006000</v>
      </c>
      <c r="AD299" s="14" t="s">
        <v>1254</v>
      </c>
      <c r="AE299" s="17">
        <v>25931481</v>
      </c>
      <c r="AF299" s="14" t="s">
        <v>846</v>
      </c>
      <c r="AG299" s="21" t="s">
        <v>1424</v>
      </c>
      <c r="AH299" s="10">
        <v>13158773</v>
      </c>
      <c r="AI299" s="24" t="str">
        <f>VLOOKUP(Sales[[#This Row],[Store]],'Store lay bao  cao'!A:B,2,0)</f>
        <v>Lấy BC</v>
      </c>
      <c r="AJ299" s="24" t="str">
        <f>VLOOKUP(Sales[[#This Row],[Associate]],'Associate Status'!B:C,2,0)</f>
        <v>Active</v>
      </c>
    </row>
    <row r="300" spans="1:36" x14ac:dyDescent="0.25">
      <c r="A300" s="7">
        <v>2024</v>
      </c>
      <c r="B300" s="8">
        <v>4</v>
      </c>
      <c r="C300" s="8">
        <v>14</v>
      </c>
      <c r="D300" s="8" t="s">
        <v>52</v>
      </c>
      <c r="E300" s="8" t="s">
        <v>43</v>
      </c>
      <c r="F300" s="8" t="s">
        <v>52</v>
      </c>
      <c r="G300" s="9">
        <v>19818358</v>
      </c>
      <c r="H300" s="10">
        <v>16770000</v>
      </c>
      <c r="I300" s="11">
        <v>45385</v>
      </c>
      <c r="J300" s="12">
        <v>186496</v>
      </c>
      <c r="K300" s="13" t="s">
        <v>1521</v>
      </c>
      <c r="L300" s="14" t="s">
        <v>19</v>
      </c>
      <c r="M300" s="11" t="s">
        <v>17</v>
      </c>
      <c r="N300" s="14" t="s">
        <v>11</v>
      </c>
      <c r="O300" s="15">
        <v>8035</v>
      </c>
      <c r="P300" s="12">
        <v>1</v>
      </c>
      <c r="Q300" s="13" t="s">
        <v>144</v>
      </c>
      <c r="R300" s="16">
        <v>49052700</v>
      </c>
      <c r="S300" s="17">
        <v>45419167</v>
      </c>
      <c r="T300" s="12">
        <v>10</v>
      </c>
      <c r="U300" s="18">
        <v>5046574</v>
      </c>
      <c r="V300" s="19">
        <v>5450300</v>
      </c>
      <c r="W300" s="13" t="s">
        <v>427</v>
      </c>
      <c r="X300" s="14" t="s">
        <v>1526</v>
      </c>
      <c r="Y300" s="13" t="s">
        <v>1423</v>
      </c>
      <c r="Z300" s="14" t="s">
        <v>1527</v>
      </c>
      <c r="AA300" s="17">
        <v>10</v>
      </c>
      <c r="AB300" s="14" t="s">
        <v>1528</v>
      </c>
      <c r="AC300" s="17">
        <v>54503000</v>
      </c>
      <c r="AD300" s="14" t="s">
        <v>1321</v>
      </c>
      <c r="AE300" s="17">
        <v>50465741</v>
      </c>
      <c r="AF300" s="14" t="s">
        <v>846</v>
      </c>
      <c r="AG300" s="20" t="s">
        <v>1424</v>
      </c>
      <c r="AH300" s="10">
        <v>25600809</v>
      </c>
      <c r="AI300" s="24" t="str">
        <f>VLOOKUP(Sales[[#This Row],[Store]],'Store lay bao  cao'!A:B,2,0)</f>
        <v>Lấy BC</v>
      </c>
      <c r="AJ300" s="24" t="str">
        <f>VLOOKUP(Sales[[#This Row],[Associate]],'Associate Status'!B:C,2,0)</f>
        <v>Active</v>
      </c>
    </row>
    <row r="301" spans="1:36" x14ac:dyDescent="0.25">
      <c r="A301" s="7">
        <v>2024</v>
      </c>
      <c r="B301" s="8">
        <v>4</v>
      </c>
      <c r="C301" s="8">
        <v>15</v>
      </c>
      <c r="D301" s="8" t="s">
        <v>60</v>
      </c>
      <c r="E301" s="8" t="s">
        <v>34</v>
      </c>
      <c r="F301" s="8" t="s">
        <v>60</v>
      </c>
      <c r="G301" s="9">
        <v>17338342</v>
      </c>
      <c r="H301" s="10">
        <v>17369550.000000004</v>
      </c>
      <c r="I301" s="11">
        <v>45395</v>
      </c>
      <c r="J301" s="12">
        <v>202701</v>
      </c>
      <c r="K301" s="13" t="s">
        <v>606</v>
      </c>
      <c r="L301" s="14" t="s">
        <v>58</v>
      </c>
      <c r="M301" s="11" t="s">
        <v>15</v>
      </c>
      <c r="N301" s="14" t="s">
        <v>11</v>
      </c>
      <c r="O301" s="15">
        <v>4099</v>
      </c>
      <c r="P301" s="12">
        <v>1</v>
      </c>
      <c r="Q301" s="13" t="s">
        <v>101</v>
      </c>
      <c r="R301" s="16">
        <v>45398000</v>
      </c>
      <c r="S301" s="17">
        <v>42035185</v>
      </c>
      <c r="T301" s="12">
        <v>0</v>
      </c>
      <c r="U301" s="18">
        <v>0</v>
      </c>
      <c r="V301" s="19">
        <v>0</v>
      </c>
      <c r="W301" s="13" t="s">
        <v>135</v>
      </c>
      <c r="X301" s="14" t="s">
        <v>1529</v>
      </c>
      <c r="Y301" s="13" t="s">
        <v>202</v>
      </c>
      <c r="Z301" s="14" t="s">
        <v>1530</v>
      </c>
      <c r="AA301" s="17">
        <v>18</v>
      </c>
      <c r="AB301" s="14" t="s">
        <v>1444</v>
      </c>
      <c r="AC301" s="17">
        <v>45398000</v>
      </c>
      <c r="AD301" s="14" t="s">
        <v>108</v>
      </c>
      <c r="AE301" s="17">
        <v>42035185</v>
      </c>
      <c r="AF301" s="14" t="s">
        <v>109</v>
      </c>
      <c r="AG301" s="21" t="s">
        <v>203</v>
      </c>
      <c r="AH301" s="10">
        <v>24696843</v>
      </c>
      <c r="AI301" s="24" t="str">
        <f>VLOOKUP(Sales[[#This Row],[Store]],'Store lay bao  cao'!A:B,2,0)</f>
        <v>Lấy BC</v>
      </c>
      <c r="AJ301" s="24" t="str">
        <f>VLOOKUP(Sales[[#This Row],[Associate]],'Associate Status'!B:C,2,0)</f>
        <v>Active</v>
      </c>
    </row>
    <row r="302" spans="1:36" x14ac:dyDescent="0.25">
      <c r="A302" s="7">
        <v>2024</v>
      </c>
      <c r="B302" s="8">
        <v>4</v>
      </c>
      <c r="C302" s="8">
        <v>16</v>
      </c>
      <c r="D302" s="8" t="s">
        <v>60</v>
      </c>
      <c r="E302" s="8" t="s">
        <v>43</v>
      </c>
      <c r="F302" s="8" t="s">
        <v>60</v>
      </c>
      <c r="G302" s="9">
        <v>62417605</v>
      </c>
      <c r="H302" s="10">
        <v>60610000</v>
      </c>
      <c r="I302" s="11">
        <v>45397</v>
      </c>
      <c r="J302" s="12">
        <v>205087</v>
      </c>
      <c r="K302" s="13" t="s">
        <v>608</v>
      </c>
      <c r="L302" s="14" t="s">
        <v>64</v>
      </c>
      <c r="M302" s="11" t="s">
        <v>15</v>
      </c>
      <c r="N302" s="14" t="s">
        <v>62</v>
      </c>
      <c r="O302" s="15">
        <v>4108</v>
      </c>
      <c r="P302" s="12">
        <v>1</v>
      </c>
      <c r="Q302" s="13" t="s">
        <v>101</v>
      </c>
      <c r="R302" s="16">
        <v>132009300</v>
      </c>
      <c r="S302" s="17">
        <v>122230833</v>
      </c>
      <c r="T302" s="12">
        <v>10</v>
      </c>
      <c r="U302" s="18">
        <v>13581204</v>
      </c>
      <c r="V302" s="19">
        <v>14667700</v>
      </c>
      <c r="W302" s="13" t="s">
        <v>104</v>
      </c>
      <c r="X302" s="14" t="s">
        <v>1531</v>
      </c>
      <c r="Y302" s="13" t="s">
        <v>261</v>
      </c>
      <c r="Z302" s="14" t="s">
        <v>1532</v>
      </c>
      <c r="AA302" s="17">
        <v>14</v>
      </c>
      <c r="AB302" s="14" t="s">
        <v>1126</v>
      </c>
      <c r="AC302" s="17">
        <v>146677000</v>
      </c>
      <c r="AD302" s="14">
        <v>13</v>
      </c>
      <c r="AE302" s="17">
        <v>135812037</v>
      </c>
      <c r="AF302" s="14" t="s">
        <v>352</v>
      </c>
      <c r="AG302" s="20" t="s">
        <v>262</v>
      </c>
      <c r="AH302" s="10">
        <v>59813228</v>
      </c>
      <c r="AI302" s="24" t="str">
        <f>VLOOKUP(Sales[[#This Row],[Store]],'Store lay bao  cao'!A:B,2,0)</f>
        <v>Lấy BC</v>
      </c>
      <c r="AJ302" s="24" t="str">
        <f>VLOOKUP(Sales[[#This Row],[Associate]],'Associate Status'!B:C,2,0)</f>
        <v>Retired</v>
      </c>
    </row>
    <row r="303" spans="1:36" x14ac:dyDescent="0.25">
      <c r="A303" s="7">
        <v>2024</v>
      </c>
      <c r="B303" s="8">
        <v>4</v>
      </c>
      <c r="C303" s="8">
        <v>16</v>
      </c>
      <c r="D303" s="8" t="s">
        <v>60</v>
      </c>
      <c r="E303" s="8" t="s">
        <v>34</v>
      </c>
      <c r="F303" s="8" t="s">
        <v>60</v>
      </c>
      <c r="G303" s="9">
        <v>54204628</v>
      </c>
      <c r="H303" s="10">
        <v>52641875</v>
      </c>
      <c r="I303" s="11">
        <v>45397</v>
      </c>
      <c r="J303" s="12">
        <v>205093</v>
      </c>
      <c r="K303" s="13" t="s">
        <v>608</v>
      </c>
      <c r="L303" s="14" t="s">
        <v>64</v>
      </c>
      <c r="M303" s="11" t="s">
        <v>15</v>
      </c>
      <c r="N303" s="14" t="s">
        <v>62</v>
      </c>
      <c r="O303" s="15">
        <v>4108</v>
      </c>
      <c r="P303" s="12">
        <v>1</v>
      </c>
      <c r="Q303" s="13" t="s">
        <v>101</v>
      </c>
      <c r="R303" s="16">
        <v>114654600</v>
      </c>
      <c r="S303" s="17">
        <v>106161667</v>
      </c>
      <c r="T303" s="12">
        <v>10</v>
      </c>
      <c r="U303" s="18">
        <v>11795741</v>
      </c>
      <c r="V303" s="19">
        <v>12739400</v>
      </c>
      <c r="W303" s="13" t="s">
        <v>104</v>
      </c>
      <c r="X303" s="14" t="s">
        <v>1533</v>
      </c>
      <c r="Y303" s="13" t="s">
        <v>261</v>
      </c>
      <c r="Z303" s="14" t="s">
        <v>1534</v>
      </c>
      <c r="AA303" s="17">
        <v>14</v>
      </c>
      <c r="AB303" s="14" t="s">
        <v>1126</v>
      </c>
      <c r="AC303" s="17">
        <v>127394000</v>
      </c>
      <c r="AD303" s="14" t="s">
        <v>108</v>
      </c>
      <c r="AE303" s="17">
        <v>117957407</v>
      </c>
      <c r="AF303" s="14" t="s">
        <v>352</v>
      </c>
      <c r="AG303" s="21" t="s">
        <v>262</v>
      </c>
      <c r="AH303" s="10">
        <v>51957039</v>
      </c>
      <c r="AI303" s="24" t="str">
        <f>VLOOKUP(Sales[[#This Row],[Store]],'Store lay bao  cao'!A:B,2,0)</f>
        <v>Lấy BC</v>
      </c>
      <c r="AJ303" s="24" t="str">
        <f>VLOOKUP(Sales[[#This Row],[Associate]],'Associate Status'!B:C,2,0)</f>
        <v>Retired</v>
      </c>
    </row>
    <row r="304" spans="1:36" x14ac:dyDescent="0.25">
      <c r="A304" s="7">
        <v>2024</v>
      </c>
      <c r="B304" s="8">
        <v>4</v>
      </c>
      <c r="C304" s="8">
        <v>16</v>
      </c>
      <c r="D304" s="8" t="s">
        <v>52</v>
      </c>
      <c r="E304" s="8" t="s">
        <v>43</v>
      </c>
      <c r="F304" s="8" t="s">
        <v>52</v>
      </c>
      <c r="G304" s="9">
        <v>2318374</v>
      </c>
      <c r="H304" s="10">
        <v>1960800</v>
      </c>
      <c r="I304" s="11">
        <v>45397</v>
      </c>
      <c r="J304" s="12">
        <v>186495</v>
      </c>
      <c r="K304" s="13" t="s">
        <v>1535</v>
      </c>
      <c r="L304" s="14" t="s">
        <v>19</v>
      </c>
      <c r="M304" s="11" t="s">
        <v>17</v>
      </c>
      <c r="N304" s="14" t="s">
        <v>11</v>
      </c>
      <c r="O304" s="15">
        <v>8074</v>
      </c>
      <c r="P304" s="12">
        <v>1</v>
      </c>
      <c r="Q304" s="13" t="s">
        <v>144</v>
      </c>
      <c r="R304" s="16">
        <v>6373000</v>
      </c>
      <c r="S304" s="17">
        <v>5900926</v>
      </c>
      <c r="T304" s="12">
        <v>0</v>
      </c>
      <c r="U304" s="18">
        <v>0</v>
      </c>
      <c r="V304" s="19">
        <v>0</v>
      </c>
      <c r="W304" s="13" t="s">
        <v>140</v>
      </c>
      <c r="X304" s="14" t="s">
        <v>1536</v>
      </c>
      <c r="Y304" s="13" t="s">
        <v>251</v>
      </c>
      <c r="Z304" s="14" t="s">
        <v>1537</v>
      </c>
      <c r="AA304" s="17">
        <v>11</v>
      </c>
      <c r="AB304" s="14" t="s">
        <v>422</v>
      </c>
      <c r="AC304" s="17">
        <v>6373000</v>
      </c>
      <c r="AD304" s="14">
        <v>51</v>
      </c>
      <c r="AE304" s="17">
        <v>5900926</v>
      </c>
      <c r="AF304" s="14" t="s">
        <v>145</v>
      </c>
      <c r="AG304" s="20" t="s">
        <v>252</v>
      </c>
      <c r="AH304" s="10">
        <v>3582552</v>
      </c>
      <c r="AI304" s="24" t="str">
        <f>VLOOKUP(Sales[[#This Row],[Store]],'Store lay bao  cao'!A:B,2,0)</f>
        <v>Lấy BC</v>
      </c>
      <c r="AJ304" s="24" t="str">
        <f>VLOOKUP(Sales[[#This Row],[Associate]],'Associate Status'!B:C,2,0)</f>
        <v>Retired</v>
      </c>
    </row>
    <row r="305" spans="1:36" x14ac:dyDescent="0.25">
      <c r="A305" s="7">
        <v>2024</v>
      </c>
      <c r="B305" s="8">
        <v>4</v>
      </c>
      <c r="C305" s="8">
        <v>16</v>
      </c>
      <c r="D305" s="8" t="s">
        <v>63</v>
      </c>
      <c r="E305" s="8" t="s">
        <v>37</v>
      </c>
      <c r="F305" s="8" t="s">
        <v>63</v>
      </c>
      <c r="G305" s="9">
        <v>1363267</v>
      </c>
      <c r="H305" s="10">
        <v>1223265.5999999999</v>
      </c>
      <c r="I305" s="11">
        <v>45397</v>
      </c>
      <c r="J305" s="12">
        <v>204999</v>
      </c>
      <c r="K305" s="13" t="s">
        <v>864</v>
      </c>
      <c r="L305" s="14" t="s">
        <v>47</v>
      </c>
      <c r="M305" s="11" t="s">
        <v>21</v>
      </c>
      <c r="N305" s="14" t="s">
        <v>62</v>
      </c>
      <c r="O305" s="15">
        <v>6609</v>
      </c>
      <c r="P305" s="12">
        <v>1</v>
      </c>
      <c r="Q305" s="13" t="s">
        <v>101</v>
      </c>
      <c r="R305" s="16">
        <v>7083000</v>
      </c>
      <c r="S305" s="17">
        <v>6558333</v>
      </c>
      <c r="T305" s="12">
        <v>0</v>
      </c>
      <c r="U305" s="18">
        <v>0</v>
      </c>
      <c r="V305" s="19">
        <v>0</v>
      </c>
      <c r="W305" s="13" t="s">
        <v>160</v>
      </c>
      <c r="X305" s="14" t="s">
        <v>1538</v>
      </c>
      <c r="Y305" s="13" t="s">
        <v>996</v>
      </c>
      <c r="Z305" s="14">
        <v>2</v>
      </c>
      <c r="AA305" s="17">
        <v>10</v>
      </c>
      <c r="AB305" s="14" t="s">
        <v>189</v>
      </c>
      <c r="AC305" s="17">
        <v>7083000</v>
      </c>
      <c r="AD305" s="14" t="s">
        <v>924</v>
      </c>
      <c r="AE305" s="17">
        <v>6558333</v>
      </c>
      <c r="AF305" s="14" t="s">
        <v>132</v>
      </c>
      <c r="AG305" s="21" t="s">
        <v>1422</v>
      </c>
      <c r="AH305" s="10">
        <v>5195066</v>
      </c>
      <c r="AI305" s="24" t="str">
        <f>VLOOKUP(Sales[[#This Row],[Store]],'Store lay bao  cao'!A:B,2,0)</f>
        <v>Lấy BC</v>
      </c>
      <c r="AJ305" s="24" t="str">
        <f>VLOOKUP(Sales[[#This Row],[Associate]],'Associate Status'!B:C,2,0)</f>
        <v>Retired</v>
      </c>
    </row>
    <row r="306" spans="1:36" x14ac:dyDescent="0.25">
      <c r="A306" s="7">
        <v>2024</v>
      </c>
      <c r="B306" s="8">
        <v>4</v>
      </c>
      <c r="C306" s="8">
        <v>16</v>
      </c>
      <c r="D306" s="8" t="s">
        <v>63</v>
      </c>
      <c r="E306" s="8" t="s">
        <v>34</v>
      </c>
      <c r="F306" s="8" t="s">
        <v>63</v>
      </c>
      <c r="G306" s="9">
        <v>636698</v>
      </c>
      <c r="H306" s="10">
        <v>611632.79999999993</v>
      </c>
      <c r="I306" s="11">
        <v>45397</v>
      </c>
      <c r="J306" s="12">
        <v>205044</v>
      </c>
      <c r="K306" s="13" t="s">
        <v>864</v>
      </c>
      <c r="L306" s="14" t="s">
        <v>47</v>
      </c>
      <c r="M306" s="11" t="s">
        <v>21</v>
      </c>
      <c r="N306" s="14" t="s">
        <v>62</v>
      </c>
      <c r="O306" s="15">
        <v>6609</v>
      </c>
      <c r="P306" s="12">
        <v>1</v>
      </c>
      <c r="Q306" s="13" t="s">
        <v>101</v>
      </c>
      <c r="R306" s="16">
        <v>3542000</v>
      </c>
      <c r="S306" s="17">
        <v>3279630</v>
      </c>
      <c r="T306" s="12">
        <v>0</v>
      </c>
      <c r="U306" s="18">
        <v>0</v>
      </c>
      <c r="V306" s="19">
        <v>0</v>
      </c>
      <c r="W306" s="13" t="s">
        <v>160</v>
      </c>
      <c r="X306" s="14" t="s">
        <v>1539</v>
      </c>
      <c r="Y306" s="13" t="s">
        <v>996</v>
      </c>
      <c r="Z306" s="14">
        <v>47</v>
      </c>
      <c r="AA306" s="17">
        <v>10</v>
      </c>
      <c r="AB306" s="14" t="s">
        <v>189</v>
      </c>
      <c r="AC306" s="17">
        <v>3542000</v>
      </c>
      <c r="AD306" s="14" t="s">
        <v>924</v>
      </c>
      <c r="AE306" s="17">
        <v>3279630</v>
      </c>
      <c r="AF306" s="14" t="s">
        <v>132</v>
      </c>
      <c r="AG306" s="20" t="s">
        <v>1422</v>
      </c>
      <c r="AH306" s="10">
        <v>2642932</v>
      </c>
      <c r="AI306" s="24" t="str">
        <f>VLOOKUP(Sales[[#This Row],[Store]],'Store lay bao  cao'!A:B,2,0)</f>
        <v>Lấy BC</v>
      </c>
      <c r="AJ306" s="24" t="str">
        <f>VLOOKUP(Sales[[#This Row],[Associate]],'Associate Status'!B:C,2,0)</f>
        <v>Retired</v>
      </c>
    </row>
    <row r="307" spans="1:36" x14ac:dyDescent="0.25">
      <c r="A307" s="7">
        <v>2024</v>
      </c>
      <c r="B307" s="8">
        <v>4</v>
      </c>
      <c r="C307" s="8">
        <v>16</v>
      </c>
      <c r="D307" s="8" t="s">
        <v>63</v>
      </c>
      <c r="E307" s="8" t="s">
        <v>34</v>
      </c>
      <c r="F307" s="8" t="s">
        <v>63</v>
      </c>
      <c r="G307" s="9">
        <v>277089714</v>
      </c>
      <c r="H307" s="10">
        <v>281545000</v>
      </c>
      <c r="I307" s="11">
        <v>45399</v>
      </c>
      <c r="J307" s="12">
        <v>205080</v>
      </c>
      <c r="K307" s="13" t="s">
        <v>1540</v>
      </c>
      <c r="L307" s="14" t="s">
        <v>55</v>
      </c>
      <c r="M307" s="11" t="s">
        <v>13</v>
      </c>
      <c r="N307" s="14" t="s">
        <v>62</v>
      </c>
      <c r="O307" s="15">
        <v>416</v>
      </c>
      <c r="P307" s="12">
        <v>1</v>
      </c>
      <c r="Q307" s="13" t="s">
        <v>144</v>
      </c>
      <c r="R307" s="16">
        <v>499000000</v>
      </c>
      <c r="S307" s="17">
        <v>462037037</v>
      </c>
      <c r="T307" s="12">
        <v>12.32</v>
      </c>
      <c r="U307" s="18">
        <v>64898148</v>
      </c>
      <c r="V307" s="19">
        <v>70090000</v>
      </c>
      <c r="W307" s="13" t="s">
        <v>425</v>
      </c>
      <c r="X307" s="14" t="s">
        <v>1541</v>
      </c>
      <c r="Y307" s="13" t="s">
        <v>206</v>
      </c>
      <c r="Z307" s="14" t="s">
        <v>1542</v>
      </c>
      <c r="AA307" s="17">
        <v>10</v>
      </c>
      <c r="AB307" s="14" t="s">
        <v>1543</v>
      </c>
      <c r="AC307" s="17">
        <v>569090000</v>
      </c>
      <c r="AD307" s="14" t="s">
        <v>108</v>
      </c>
      <c r="AE307" s="17">
        <v>526935185</v>
      </c>
      <c r="AF307" s="14" t="s">
        <v>117</v>
      </c>
      <c r="AG307" s="21" t="s">
        <v>207</v>
      </c>
      <c r="AH307" s="10">
        <v>184947323</v>
      </c>
      <c r="AI307" s="24" t="str">
        <f>VLOOKUP(Sales[[#This Row],[Store]],'Store lay bao  cao'!A:B,2,0)</f>
        <v>Lấy BC</v>
      </c>
      <c r="AJ307" s="24" t="str">
        <f>VLOOKUP(Sales[[#This Row],[Associate]],'Associate Status'!B:C,2,0)</f>
        <v>Retired</v>
      </c>
    </row>
    <row r="308" spans="1:36" x14ac:dyDescent="0.25">
      <c r="A308" s="7">
        <v>2024</v>
      </c>
      <c r="B308" s="8">
        <v>4</v>
      </c>
      <c r="C308" s="8">
        <v>16</v>
      </c>
      <c r="D308" s="8" t="s">
        <v>60</v>
      </c>
      <c r="E308" s="8" t="s">
        <v>37</v>
      </c>
      <c r="F308" s="8" t="s">
        <v>60</v>
      </c>
      <c r="G308" s="9">
        <v>2593631</v>
      </c>
      <c r="H308" s="10">
        <v>1938000</v>
      </c>
      <c r="I308" s="11">
        <v>45399</v>
      </c>
      <c r="J308" s="12">
        <v>202780</v>
      </c>
      <c r="K308" s="13" t="s">
        <v>1544</v>
      </c>
      <c r="L308" s="14" t="s">
        <v>19</v>
      </c>
      <c r="M308" s="11" t="s">
        <v>17</v>
      </c>
      <c r="N308" s="14" t="s">
        <v>62</v>
      </c>
      <c r="O308" s="15">
        <v>8082</v>
      </c>
      <c r="P308" s="12">
        <v>1</v>
      </c>
      <c r="Q308" s="13" t="s">
        <v>144</v>
      </c>
      <c r="R308" s="16">
        <v>6299000</v>
      </c>
      <c r="S308" s="17">
        <v>5832407</v>
      </c>
      <c r="T308" s="12">
        <v>0</v>
      </c>
      <c r="U308" s="18">
        <v>0</v>
      </c>
      <c r="V308" s="19">
        <v>0</v>
      </c>
      <c r="W308" s="13" t="s">
        <v>140</v>
      </c>
      <c r="X308" s="14" t="s">
        <v>1545</v>
      </c>
      <c r="Y308" s="13" t="s">
        <v>206</v>
      </c>
      <c r="Z308" s="14" t="s">
        <v>1546</v>
      </c>
      <c r="AA308" s="17">
        <v>18</v>
      </c>
      <c r="AB308" s="14" t="s">
        <v>1547</v>
      </c>
      <c r="AC308" s="17">
        <v>6299000</v>
      </c>
      <c r="AD308" s="14" t="s">
        <v>108</v>
      </c>
      <c r="AE308" s="17">
        <v>5832407</v>
      </c>
      <c r="AF308" s="14" t="s">
        <v>129</v>
      </c>
      <c r="AG308" s="20" t="s">
        <v>207</v>
      </c>
      <c r="AH308" s="10">
        <v>3238776</v>
      </c>
      <c r="AI308" s="24" t="str">
        <f>VLOOKUP(Sales[[#This Row],[Store]],'Store lay bao  cao'!A:B,2,0)</f>
        <v>Lấy BC</v>
      </c>
      <c r="AJ308" s="24" t="str">
        <f>VLOOKUP(Sales[[#This Row],[Associate]],'Associate Status'!B:C,2,0)</f>
        <v>Active</v>
      </c>
    </row>
    <row r="309" spans="1:36" x14ac:dyDescent="0.25">
      <c r="A309" s="7">
        <v>2024</v>
      </c>
      <c r="B309" s="8">
        <v>4</v>
      </c>
      <c r="C309" s="8">
        <v>16</v>
      </c>
      <c r="D309" s="8" t="s">
        <v>60</v>
      </c>
      <c r="E309" s="8" t="s">
        <v>37</v>
      </c>
      <c r="F309" s="8" t="s">
        <v>60</v>
      </c>
      <c r="G309" s="9">
        <v>2593631</v>
      </c>
      <c r="H309" s="10">
        <v>1938000</v>
      </c>
      <c r="I309" s="11">
        <v>45399</v>
      </c>
      <c r="J309" s="12">
        <v>202780</v>
      </c>
      <c r="K309" s="13" t="s">
        <v>1544</v>
      </c>
      <c r="L309" s="14" t="s">
        <v>19</v>
      </c>
      <c r="M309" s="11" t="s">
        <v>17</v>
      </c>
      <c r="N309" s="14" t="s">
        <v>62</v>
      </c>
      <c r="O309" s="15">
        <v>8082</v>
      </c>
      <c r="P309" s="12">
        <v>1</v>
      </c>
      <c r="Q309" s="13" t="s">
        <v>144</v>
      </c>
      <c r="R309" s="16">
        <v>6299000</v>
      </c>
      <c r="S309" s="17">
        <v>5832407</v>
      </c>
      <c r="T309" s="12">
        <v>0</v>
      </c>
      <c r="U309" s="18">
        <v>0</v>
      </c>
      <c r="V309" s="19">
        <v>0</v>
      </c>
      <c r="W309" s="13" t="s">
        <v>140</v>
      </c>
      <c r="X309" s="14" t="s">
        <v>1545</v>
      </c>
      <c r="Y309" s="13" t="s">
        <v>206</v>
      </c>
      <c r="Z309" s="14" t="s">
        <v>1546</v>
      </c>
      <c r="AA309" s="17">
        <v>18</v>
      </c>
      <c r="AB309" s="14" t="s">
        <v>1547</v>
      </c>
      <c r="AC309" s="17">
        <v>6299000</v>
      </c>
      <c r="AD309" s="14" t="s">
        <v>108</v>
      </c>
      <c r="AE309" s="17">
        <v>5832407</v>
      </c>
      <c r="AF309" s="14" t="s">
        <v>145</v>
      </c>
      <c r="AG309" s="21" t="s">
        <v>207</v>
      </c>
      <c r="AH309" s="10">
        <v>3238776</v>
      </c>
      <c r="AI309" s="24" t="str">
        <f>VLOOKUP(Sales[[#This Row],[Store]],'Store lay bao  cao'!A:B,2,0)</f>
        <v>Lấy BC</v>
      </c>
      <c r="AJ309" s="24" t="str">
        <f>VLOOKUP(Sales[[#This Row],[Associate]],'Associate Status'!B:C,2,0)</f>
        <v>Retired</v>
      </c>
    </row>
    <row r="310" spans="1:36" x14ac:dyDescent="0.25">
      <c r="A310" s="7">
        <v>2024</v>
      </c>
      <c r="B310" s="8">
        <v>4</v>
      </c>
      <c r="C310" s="8">
        <v>16</v>
      </c>
      <c r="D310" s="8" t="s">
        <v>63</v>
      </c>
      <c r="E310" s="8" t="s">
        <v>34</v>
      </c>
      <c r="F310" s="8" t="s">
        <v>63</v>
      </c>
      <c r="G310" s="9">
        <v>773190</v>
      </c>
      <c r="H310" s="10">
        <v>764541</v>
      </c>
      <c r="I310" s="11">
        <v>45402</v>
      </c>
      <c r="J310" s="12">
        <v>205063</v>
      </c>
      <c r="K310" s="13" t="s">
        <v>870</v>
      </c>
      <c r="L310" s="14" t="s">
        <v>47</v>
      </c>
      <c r="M310" s="11" t="s">
        <v>21</v>
      </c>
      <c r="N310" s="14" t="s">
        <v>62</v>
      </c>
      <c r="O310" s="15">
        <v>6647</v>
      </c>
      <c r="P310" s="12">
        <v>1</v>
      </c>
      <c r="Q310" s="13" t="s">
        <v>101</v>
      </c>
      <c r="R310" s="16">
        <v>4427000</v>
      </c>
      <c r="S310" s="17">
        <v>4099074</v>
      </c>
      <c r="T310" s="12">
        <v>0</v>
      </c>
      <c r="U310" s="18">
        <v>0</v>
      </c>
      <c r="V310" s="19">
        <v>0</v>
      </c>
      <c r="W310" s="13" t="s">
        <v>160</v>
      </c>
      <c r="X310" s="14" t="s">
        <v>1549</v>
      </c>
      <c r="Y310" s="13" t="s">
        <v>200</v>
      </c>
      <c r="Z310" s="14">
        <v>66</v>
      </c>
      <c r="AA310" s="17">
        <v>17</v>
      </c>
      <c r="AB310" s="14" t="s">
        <v>194</v>
      </c>
      <c r="AC310" s="17">
        <v>4427000</v>
      </c>
      <c r="AD310" s="14" t="s">
        <v>924</v>
      </c>
      <c r="AE310" s="17">
        <v>4099074</v>
      </c>
      <c r="AF310" s="14" t="s">
        <v>898</v>
      </c>
      <c r="AG310" s="20" t="s">
        <v>201</v>
      </c>
      <c r="AH310" s="10">
        <v>3325884</v>
      </c>
      <c r="AI310" s="24" t="str">
        <f>VLOOKUP(Sales[[#This Row],[Store]],'Store lay bao  cao'!A:B,2,0)</f>
        <v>Lấy BC</v>
      </c>
      <c r="AJ310" s="24" t="str">
        <f>VLOOKUP(Sales[[#This Row],[Associate]],'Associate Status'!B:C,2,0)</f>
        <v>Retired</v>
      </c>
    </row>
    <row r="311" spans="1:36" x14ac:dyDescent="0.25">
      <c r="A311" s="7">
        <v>2024</v>
      </c>
      <c r="B311" s="8">
        <v>4</v>
      </c>
      <c r="C311" s="8">
        <v>16</v>
      </c>
      <c r="D311" s="8" t="s">
        <v>60</v>
      </c>
      <c r="E311" s="8" t="s">
        <v>37</v>
      </c>
      <c r="F311" s="8" t="s">
        <v>60</v>
      </c>
      <c r="G311" s="9">
        <v>3177198</v>
      </c>
      <c r="H311" s="10">
        <v>2374050</v>
      </c>
      <c r="I311" s="11">
        <v>45403</v>
      </c>
      <c r="J311" s="12">
        <v>202758</v>
      </c>
      <c r="K311" s="13" t="s">
        <v>1550</v>
      </c>
      <c r="L311" s="14" t="s">
        <v>19</v>
      </c>
      <c r="M311" s="11" t="s">
        <v>28</v>
      </c>
      <c r="N311" s="14" t="s">
        <v>62</v>
      </c>
      <c r="O311" s="15">
        <v>1507</v>
      </c>
      <c r="P311" s="12">
        <v>1</v>
      </c>
      <c r="Q311" s="13" t="s">
        <v>101</v>
      </c>
      <c r="R311" s="16">
        <v>7716000</v>
      </c>
      <c r="S311" s="17">
        <v>7144444</v>
      </c>
      <c r="T311" s="12">
        <v>0</v>
      </c>
      <c r="U311" s="18">
        <v>0</v>
      </c>
      <c r="V311" s="19">
        <v>0</v>
      </c>
      <c r="W311" s="13" t="s">
        <v>484</v>
      </c>
      <c r="X311" s="14" t="s">
        <v>1469</v>
      </c>
      <c r="Y311" s="13" t="s">
        <v>191</v>
      </c>
      <c r="Z311" s="14" t="s">
        <v>1470</v>
      </c>
      <c r="AA311" s="17">
        <v>20</v>
      </c>
      <c r="AB311" s="14" t="s">
        <v>1471</v>
      </c>
      <c r="AC311" s="17">
        <v>7716000</v>
      </c>
      <c r="AD311" s="14" t="s">
        <v>108</v>
      </c>
      <c r="AE311" s="17">
        <v>7144444</v>
      </c>
      <c r="AF311" s="14" t="s">
        <v>121</v>
      </c>
      <c r="AG311" s="21" t="s">
        <v>193</v>
      </c>
      <c r="AH311" s="10">
        <v>3967246</v>
      </c>
      <c r="AI311" s="24" t="str">
        <f>VLOOKUP(Sales[[#This Row],[Store]],'Store lay bao  cao'!A:B,2,0)</f>
        <v>Lấy BC</v>
      </c>
      <c r="AJ311" s="24" t="str">
        <f>VLOOKUP(Sales[[#This Row],[Associate]],'Associate Status'!B:C,2,0)</f>
        <v>Active</v>
      </c>
    </row>
    <row r="312" spans="1:36" x14ac:dyDescent="0.25">
      <c r="A312" s="7">
        <v>2024</v>
      </c>
      <c r="B312" s="8">
        <v>4</v>
      </c>
      <c r="C312" s="8">
        <v>17</v>
      </c>
      <c r="D312" s="8" t="s">
        <v>57</v>
      </c>
      <c r="E312" s="8" t="s">
        <v>34</v>
      </c>
      <c r="F312" s="8" t="s">
        <v>57</v>
      </c>
      <c r="G312" s="9">
        <v>18315360</v>
      </c>
      <c r="H312" s="10">
        <v>16805250</v>
      </c>
      <c r="I312" s="11">
        <v>45406</v>
      </c>
      <c r="J312" s="12">
        <v>193278</v>
      </c>
      <c r="K312" s="13" t="s">
        <v>1551</v>
      </c>
      <c r="L312" s="14" t="s">
        <v>58</v>
      </c>
      <c r="M312" s="11" t="s">
        <v>28</v>
      </c>
      <c r="N312" s="14" t="s">
        <v>11</v>
      </c>
      <c r="O312" s="15">
        <v>1530</v>
      </c>
      <c r="P312" s="12">
        <v>1</v>
      </c>
      <c r="Q312" s="13" t="s">
        <v>101</v>
      </c>
      <c r="R312" s="16">
        <v>46618400</v>
      </c>
      <c r="S312" s="17">
        <v>43165185</v>
      </c>
      <c r="T312" s="12">
        <v>5</v>
      </c>
      <c r="U312" s="18">
        <v>2271852</v>
      </c>
      <c r="V312" s="19">
        <v>2453600</v>
      </c>
      <c r="W312" s="13" t="s">
        <v>157</v>
      </c>
      <c r="X312" s="14" t="s">
        <v>1552</v>
      </c>
      <c r="Y312" s="13" t="s">
        <v>844</v>
      </c>
      <c r="Z312" s="14" t="s">
        <v>1553</v>
      </c>
      <c r="AA312" s="17">
        <v>21</v>
      </c>
      <c r="AB312" s="14" t="s">
        <v>1337</v>
      </c>
      <c r="AC312" s="17">
        <v>49072000</v>
      </c>
      <c r="AD312" s="14" t="s">
        <v>108</v>
      </c>
      <c r="AE312" s="17">
        <v>45437037</v>
      </c>
      <c r="AF312" s="14" t="s">
        <v>139</v>
      </c>
      <c r="AG312" s="20" t="s">
        <v>236</v>
      </c>
      <c r="AH312" s="10">
        <v>24849825</v>
      </c>
      <c r="AI312" s="24" t="str">
        <f>VLOOKUP(Sales[[#This Row],[Store]],'Store lay bao  cao'!A:B,2,0)</f>
        <v>Lấy BC</v>
      </c>
      <c r="AJ312" s="24" t="str">
        <f>VLOOKUP(Sales[[#This Row],[Associate]],'Associate Status'!B:C,2,0)</f>
        <v>Active</v>
      </c>
    </row>
    <row r="313" spans="1:36" x14ac:dyDescent="0.25">
      <c r="A313" s="7">
        <v>2024</v>
      </c>
      <c r="B313" s="8">
        <v>4</v>
      </c>
      <c r="C313" s="8">
        <v>17</v>
      </c>
      <c r="D313" s="8" t="s">
        <v>60</v>
      </c>
      <c r="E313" s="8" t="s">
        <v>43</v>
      </c>
      <c r="F313" s="8" t="s">
        <v>60</v>
      </c>
      <c r="G313" s="9">
        <v>2074905</v>
      </c>
      <c r="H313" s="10">
        <v>1550400</v>
      </c>
      <c r="I313" s="11">
        <v>45407</v>
      </c>
      <c r="J313" s="12">
        <v>202770</v>
      </c>
      <c r="K313" s="13" t="s">
        <v>1554</v>
      </c>
      <c r="L313" s="14" t="s">
        <v>19</v>
      </c>
      <c r="M313" s="11" t="s">
        <v>17</v>
      </c>
      <c r="N313" s="14" t="s">
        <v>62</v>
      </c>
      <c r="O313" s="15">
        <v>8100</v>
      </c>
      <c r="P313" s="12">
        <v>1</v>
      </c>
      <c r="Q313" s="13" t="s">
        <v>101</v>
      </c>
      <c r="R313" s="16">
        <v>5039000</v>
      </c>
      <c r="S313" s="17">
        <v>4665741</v>
      </c>
      <c r="T313" s="12">
        <v>0</v>
      </c>
      <c r="U313" s="18">
        <v>0</v>
      </c>
      <c r="V313" s="19">
        <v>0</v>
      </c>
      <c r="W313" s="13" t="s">
        <v>427</v>
      </c>
      <c r="X313" s="14" t="s">
        <v>1555</v>
      </c>
      <c r="Y313" s="13" t="s">
        <v>146</v>
      </c>
      <c r="Z313" s="14" t="s">
        <v>1556</v>
      </c>
      <c r="AA313" s="17">
        <v>11</v>
      </c>
      <c r="AB313" s="14" t="s">
        <v>220</v>
      </c>
      <c r="AC313" s="17">
        <v>5039000</v>
      </c>
      <c r="AD313" s="14">
        <v>53</v>
      </c>
      <c r="AE313" s="17">
        <v>4665741</v>
      </c>
      <c r="AF313" s="14" t="s">
        <v>119</v>
      </c>
      <c r="AG313" s="21" t="s">
        <v>464</v>
      </c>
      <c r="AH313" s="10">
        <v>2590836</v>
      </c>
      <c r="AI313" s="24" t="str">
        <f>VLOOKUP(Sales[[#This Row],[Store]],'Store lay bao  cao'!A:B,2,0)</f>
        <v>Lấy BC</v>
      </c>
      <c r="AJ313" s="24" t="str">
        <f>VLOOKUP(Sales[[#This Row],[Associate]],'Associate Status'!B:C,2,0)</f>
        <v>Retired</v>
      </c>
    </row>
    <row r="314" spans="1:36" x14ac:dyDescent="0.25">
      <c r="A314" s="7">
        <v>2024</v>
      </c>
      <c r="B314" s="8">
        <v>4</v>
      </c>
      <c r="C314" s="8">
        <v>17</v>
      </c>
      <c r="D314" s="8" t="s">
        <v>63</v>
      </c>
      <c r="E314" s="8" t="s">
        <v>37</v>
      </c>
      <c r="F314" s="8" t="s">
        <v>63</v>
      </c>
      <c r="G314" s="9">
        <v>1857529</v>
      </c>
      <c r="H314" s="10">
        <v>1732959.5999999999</v>
      </c>
      <c r="I314" s="11">
        <v>45407</v>
      </c>
      <c r="J314" s="12">
        <v>205014</v>
      </c>
      <c r="K314" s="13" t="s">
        <v>875</v>
      </c>
      <c r="L314" s="14" t="s">
        <v>47</v>
      </c>
      <c r="M314" s="11" t="s">
        <v>21</v>
      </c>
      <c r="N314" s="14" t="s">
        <v>62</v>
      </c>
      <c r="O314" s="15">
        <v>6690</v>
      </c>
      <c r="P314" s="12">
        <v>1</v>
      </c>
      <c r="Q314" s="13" t="s">
        <v>102</v>
      </c>
      <c r="R314" s="16">
        <v>10033000</v>
      </c>
      <c r="S314" s="17">
        <v>9289815</v>
      </c>
      <c r="T314" s="12">
        <v>0</v>
      </c>
      <c r="U314" s="18">
        <v>0</v>
      </c>
      <c r="V314" s="19">
        <v>0</v>
      </c>
      <c r="W314" s="13" t="s">
        <v>160</v>
      </c>
      <c r="X314" s="14" t="s">
        <v>1557</v>
      </c>
      <c r="Y314" s="13" t="s">
        <v>130</v>
      </c>
      <c r="Z314" s="14">
        <v>17</v>
      </c>
      <c r="AA314" s="17">
        <v>20</v>
      </c>
      <c r="AB314" s="14" t="s">
        <v>749</v>
      </c>
      <c r="AC314" s="17">
        <v>10033000</v>
      </c>
      <c r="AD314" s="14" t="s">
        <v>924</v>
      </c>
      <c r="AE314" s="17">
        <v>9289815</v>
      </c>
      <c r="AF314" s="14" t="s">
        <v>324</v>
      </c>
      <c r="AG314" s="20" t="s">
        <v>131</v>
      </c>
      <c r="AH314" s="10">
        <v>7432286</v>
      </c>
      <c r="AI314" s="24" t="str">
        <f>VLOOKUP(Sales[[#This Row],[Store]],'Store lay bao  cao'!A:B,2,0)</f>
        <v>Lấy BC</v>
      </c>
      <c r="AJ314" s="24" t="str">
        <f>VLOOKUP(Sales[[#This Row],[Associate]],'Associate Status'!B:C,2,0)</f>
        <v>Retired</v>
      </c>
    </row>
    <row r="315" spans="1:36" x14ac:dyDescent="0.25">
      <c r="A315" s="7">
        <v>2024</v>
      </c>
      <c r="B315" s="8">
        <v>4</v>
      </c>
      <c r="C315" s="8">
        <v>17</v>
      </c>
      <c r="D315" s="8" t="s">
        <v>63</v>
      </c>
      <c r="E315" s="8" t="s">
        <v>37</v>
      </c>
      <c r="F315" s="8" t="s">
        <v>63</v>
      </c>
      <c r="G315" s="9">
        <v>1620996</v>
      </c>
      <c r="H315" s="10">
        <v>1478112.5999999999</v>
      </c>
      <c r="I315" s="11">
        <v>45407</v>
      </c>
      <c r="J315" s="12">
        <v>205017</v>
      </c>
      <c r="K315" s="13" t="s">
        <v>875</v>
      </c>
      <c r="L315" s="14" t="s">
        <v>47</v>
      </c>
      <c r="M315" s="11" t="s">
        <v>21</v>
      </c>
      <c r="N315" s="14" t="s">
        <v>62</v>
      </c>
      <c r="O315" s="15">
        <v>6690</v>
      </c>
      <c r="P315" s="12">
        <v>1</v>
      </c>
      <c r="Q315" s="13" t="s">
        <v>102</v>
      </c>
      <c r="R315" s="16">
        <v>8558000</v>
      </c>
      <c r="S315" s="17">
        <v>7924074</v>
      </c>
      <c r="T315" s="12">
        <v>0</v>
      </c>
      <c r="U315" s="18">
        <v>0</v>
      </c>
      <c r="V315" s="19">
        <v>0</v>
      </c>
      <c r="W315" s="13" t="s">
        <v>160</v>
      </c>
      <c r="X315" s="14" t="s">
        <v>1558</v>
      </c>
      <c r="Y315" s="13" t="s">
        <v>130</v>
      </c>
      <c r="Z315" s="14">
        <v>20</v>
      </c>
      <c r="AA315" s="17">
        <v>20</v>
      </c>
      <c r="AB315" s="14" t="s">
        <v>224</v>
      </c>
      <c r="AC315" s="17">
        <v>8558000</v>
      </c>
      <c r="AD315" s="14" t="s">
        <v>924</v>
      </c>
      <c r="AE315" s="17">
        <v>7924074</v>
      </c>
      <c r="AF315" s="14" t="s">
        <v>170</v>
      </c>
      <c r="AG315" s="21" t="s">
        <v>131</v>
      </c>
      <c r="AH315" s="10">
        <v>6303078</v>
      </c>
      <c r="AI315" s="24" t="str">
        <f>VLOOKUP(Sales[[#This Row],[Store]],'Store lay bao  cao'!A:B,2,0)</f>
        <v>Lấy BC</v>
      </c>
      <c r="AJ315" s="24" t="str">
        <f>VLOOKUP(Sales[[#This Row],[Associate]],'Associate Status'!B:C,2,0)</f>
        <v>Active</v>
      </c>
    </row>
    <row r="316" spans="1:36" x14ac:dyDescent="0.25">
      <c r="A316" s="7">
        <v>2024</v>
      </c>
      <c r="B316" s="8">
        <v>4</v>
      </c>
      <c r="C316" s="8">
        <v>17</v>
      </c>
      <c r="D316" s="8" t="s">
        <v>63</v>
      </c>
      <c r="E316" s="8" t="s">
        <v>34</v>
      </c>
      <c r="F316" s="8" t="s">
        <v>63</v>
      </c>
      <c r="G316" s="9">
        <v>326406</v>
      </c>
      <c r="H316" s="10">
        <v>280331.7</v>
      </c>
      <c r="I316" s="11">
        <v>45407</v>
      </c>
      <c r="J316" s="12">
        <v>205053</v>
      </c>
      <c r="K316" s="13" t="s">
        <v>875</v>
      </c>
      <c r="L316" s="14" t="s">
        <v>47</v>
      </c>
      <c r="M316" s="11" t="s">
        <v>21</v>
      </c>
      <c r="N316" s="14" t="s">
        <v>62</v>
      </c>
      <c r="O316" s="15">
        <v>6690</v>
      </c>
      <c r="P316" s="12">
        <v>1</v>
      </c>
      <c r="Q316" s="13" t="s">
        <v>102</v>
      </c>
      <c r="R316" s="16">
        <v>1623000</v>
      </c>
      <c r="S316" s="17">
        <v>1502778</v>
      </c>
      <c r="T316" s="12">
        <v>0</v>
      </c>
      <c r="U316" s="18">
        <v>0</v>
      </c>
      <c r="V316" s="19">
        <v>0</v>
      </c>
      <c r="W316" s="13" t="s">
        <v>160</v>
      </c>
      <c r="X316" s="14" t="s">
        <v>1484</v>
      </c>
      <c r="Y316" s="13" t="s">
        <v>130</v>
      </c>
      <c r="Z316" s="14">
        <v>56</v>
      </c>
      <c r="AA316" s="17">
        <v>20</v>
      </c>
      <c r="AB316" s="14" t="s">
        <v>224</v>
      </c>
      <c r="AC316" s="17">
        <v>1623000</v>
      </c>
      <c r="AD316" s="14" t="s">
        <v>924</v>
      </c>
      <c r="AE316" s="17">
        <v>1502778</v>
      </c>
      <c r="AF316" s="14" t="s">
        <v>170</v>
      </c>
      <c r="AG316" s="20" t="s">
        <v>131</v>
      </c>
      <c r="AH316" s="10">
        <v>1176372</v>
      </c>
      <c r="AI316" s="24" t="str">
        <f>VLOOKUP(Sales[[#This Row],[Store]],'Store lay bao  cao'!A:B,2,0)</f>
        <v>Lấy BC</v>
      </c>
      <c r="AJ316" s="24" t="str">
        <f>VLOOKUP(Sales[[#This Row],[Associate]],'Associate Status'!B:C,2,0)</f>
        <v>Active</v>
      </c>
    </row>
    <row r="317" spans="1:36" x14ac:dyDescent="0.25">
      <c r="A317" s="7">
        <v>2024</v>
      </c>
      <c r="B317" s="8">
        <v>4</v>
      </c>
      <c r="C317" s="8">
        <v>17</v>
      </c>
      <c r="D317" s="8" t="s">
        <v>63</v>
      </c>
      <c r="E317" s="8" t="s">
        <v>37</v>
      </c>
      <c r="F317" s="8" t="s">
        <v>63</v>
      </c>
      <c r="G317" s="9">
        <v>2072867</v>
      </c>
      <c r="H317" s="10">
        <v>1987806.6</v>
      </c>
      <c r="I317" s="11">
        <v>45409</v>
      </c>
      <c r="J317" s="12">
        <v>205009</v>
      </c>
      <c r="K317" s="13" t="s">
        <v>876</v>
      </c>
      <c r="L317" s="14" t="s">
        <v>47</v>
      </c>
      <c r="M317" s="11" t="s">
        <v>21</v>
      </c>
      <c r="N317" s="14" t="s">
        <v>62</v>
      </c>
      <c r="O317" s="15">
        <v>6695</v>
      </c>
      <c r="P317" s="12">
        <v>1</v>
      </c>
      <c r="Q317" s="13" t="s">
        <v>101</v>
      </c>
      <c r="R317" s="16">
        <v>11927000</v>
      </c>
      <c r="S317" s="17">
        <v>11043519</v>
      </c>
      <c r="T317" s="12">
        <v>0</v>
      </c>
      <c r="U317" s="18">
        <v>0</v>
      </c>
      <c r="V317" s="19">
        <v>0</v>
      </c>
      <c r="W317" s="13" t="s">
        <v>160</v>
      </c>
      <c r="X317" s="14" t="s">
        <v>1559</v>
      </c>
      <c r="Y317" s="13" t="s">
        <v>922</v>
      </c>
      <c r="Z317" s="14">
        <v>12</v>
      </c>
      <c r="AA317" s="17">
        <v>11</v>
      </c>
      <c r="AB317" s="14" t="s">
        <v>1511</v>
      </c>
      <c r="AC317" s="17">
        <v>11927000</v>
      </c>
      <c r="AD317" s="14" t="s">
        <v>924</v>
      </c>
      <c r="AE317" s="17">
        <v>11043519</v>
      </c>
      <c r="AF317" s="14" t="s">
        <v>379</v>
      </c>
      <c r="AG317" s="21" t="s">
        <v>923</v>
      </c>
      <c r="AH317" s="10">
        <v>8970652</v>
      </c>
      <c r="AI317" s="24" t="str">
        <f>VLOOKUP(Sales[[#This Row],[Store]],'Store lay bao  cao'!A:B,2,0)</f>
        <v>Lấy BC</v>
      </c>
      <c r="AJ317" s="24" t="str">
        <f>VLOOKUP(Sales[[#This Row],[Associate]],'Associate Status'!B:C,2,0)</f>
        <v>Retired</v>
      </c>
    </row>
    <row r="318" spans="1:36" x14ac:dyDescent="0.25">
      <c r="A318" s="7">
        <v>2024</v>
      </c>
      <c r="B318" s="8">
        <v>4</v>
      </c>
      <c r="C318" s="8">
        <v>17</v>
      </c>
      <c r="D318" s="8" t="s">
        <v>63</v>
      </c>
      <c r="E318" s="8" t="s">
        <v>37</v>
      </c>
      <c r="F318" s="8" t="s">
        <v>63</v>
      </c>
      <c r="G318" s="9">
        <v>1242888</v>
      </c>
      <c r="H318" s="10">
        <v>1019388</v>
      </c>
      <c r="I318" s="11">
        <v>45410</v>
      </c>
      <c r="J318" s="12">
        <v>205060</v>
      </c>
      <c r="K318" s="13" t="s">
        <v>879</v>
      </c>
      <c r="L318" s="14" t="s">
        <v>47</v>
      </c>
      <c r="M318" s="11" t="s">
        <v>21</v>
      </c>
      <c r="N318" s="14" t="s">
        <v>62</v>
      </c>
      <c r="O318" s="15">
        <v>6707</v>
      </c>
      <c r="P318" s="12">
        <v>1</v>
      </c>
      <c r="Q318" s="13" t="s">
        <v>101</v>
      </c>
      <c r="R318" s="16">
        <v>6117000</v>
      </c>
      <c r="S318" s="17">
        <v>5663889</v>
      </c>
      <c r="T318" s="12">
        <v>0</v>
      </c>
      <c r="U318" s="18">
        <v>0</v>
      </c>
      <c r="V318" s="19">
        <v>0</v>
      </c>
      <c r="W318" s="13" t="s">
        <v>160</v>
      </c>
      <c r="X318" s="14" t="s">
        <v>1558</v>
      </c>
      <c r="Y318" s="13" t="s">
        <v>1560</v>
      </c>
      <c r="Z318" s="14">
        <v>63</v>
      </c>
      <c r="AA318" s="17">
        <v>17</v>
      </c>
      <c r="AB318" s="14" t="s">
        <v>224</v>
      </c>
      <c r="AC318" s="17">
        <v>6117000</v>
      </c>
      <c r="AD318" s="14" t="s">
        <v>924</v>
      </c>
      <c r="AE318" s="17">
        <v>5663889</v>
      </c>
      <c r="AF318" s="14" t="s">
        <v>379</v>
      </c>
      <c r="AG318" s="20" t="s">
        <v>1561</v>
      </c>
      <c r="AH318" s="10">
        <v>4421001</v>
      </c>
      <c r="AI318" s="24" t="str">
        <f>VLOOKUP(Sales[[#This Row],[Store]],'Store lay bao  cao'!A:B,2,0)</f>
        <v>Lấy BC</v>
      </c>
      <c r="AJ318" s="24" t="str">
        <f>VLOOKUP(Sales[[#This Row],[Associate]],'Associate Status'!B:C,2,0)</f>
        <v>Retired</v>
      </c>
    </row>
    <row r="319" spans="1:36" x14ac:dyDescent="0.25">
      <c r="A319" s="7">
        <v>2024</v>
      </c>
      <c r="B319" s="8">
        <v>4</v>
      </c>
      <c r="C319" s="8">
        <v>17</v>
      </c>
      <c r="D319" s="8" t="s">
        <v>63</v>
      </c>
      <c r="E319" s="8" t="s">
        <v>34</v>
      </c>
      <c r="F319" s="8" t="s">
        <v>63</v>
      </c>
      <c r="G319" s="9">
        <v>405250</v>
      </c>
      <c r="H319" s="10">
        <v>356785.8</v>
      </c>
      <c r="I319" s="11">
        <v>45410</v>
      </c>
      <c r="J319" s="12">
        <v>205059</v>
      </c>
      <c r="K319" s="13" t="s">
        <v>879</v>
      </c>
      <c r="L319" s="14" t="s">
        <v>47</v>
      </c>
      <c r="M319" s="11" t="s">
        <v>21</v>
      </c>
      <c r="N319" s="14" t="s">
        <v>62</v>
      </c>
      <c r="O319" s="15">
        <v>6707</v>
      </c>
      <c r="P319" s="12">
        <v>1</v>
      </c>
      <c r="Q319" s="13" t="s">
        <v>101</v>
      </c>
      <c r="R319" s="16">
        <v>2141000</v>
      </c>
      <c r="S319" s="17">
        <v>1982407</v>
      </c>
      <c r="T319" s="12">
        <v>0</v>
      </c>
      <c r="U319" s="18">
        <v>0</v>
      </c>
      <c r="V319" s="19">
        <v>0</v>
      </c>
      <c r="W319" s="13" t="s">
        <v>160</v>
      </c>
      <c r="X319" s="14" t="s">
        <v>1484</v>
      </c>
      <c r="Y319" s="13" t="s">
        <v>1560</v>
      </c>
      <c r="Z319" s="14">
        <v>62</v>
      </c>
      <c r="AA319" s="17">
        <v>17</v>
      </c>
      <c r="AB319" s="14" t="s">
        <v>224</v>
      </c>
      <c r="AC319" s="17">
        <v>2141000</v>
      </c>
      <c r="AD319" s="14" t="s">
        <v>924</v>
      </c>
      <c r="AE319" s="17">
        <v>1982407</v>
      </c>
      <c r="AF319" s="14" t="s">
        <v>379</v>
      </c>
      <c r="AG319" s="21" t="s">
        <v>1561</v>
      </c>
      <c r="AH319" s="10">
        <v>1577157</v>
      </c>
      <c r="AI319" s="24" t="str">
        <f>VLOOKUP(Sales[[#This Row],[Store]],'Store lay bao  cao'!A:B,2,0)</f>
        <v>Lấy BC</v>
      </c>
      <c r="AJ319" s="24" t="str">
        <f>VLOOKUP(Sales[[#This Row],[Associate]],'Associate Status'!B:C,2,0)</f>
        <v>Retired</v>
      </c>
    </row>
    <row r="320" spans="1:36" x14ac:dyDescent="0.25">
      <c r="A320" s="7">
        <v>2024</v>
      </c>
      <c r="B320" s="8">
        <v>4</v>
      </c>
      <c r="C320" s="8">
        <v>17</v>
      </c>
      <c r="D320" s="8" t="s">
        <v>63</v>
      </c>
      <c r="E320" s="8" t="s">
        <v>34</v>
      </c>
      <c r="F320" s="8" t="s">
        <v>63</v>
      </c>
      <c r="G320" s="9">
        <v>484094</v>
      </c>
      <c r="H320" s="10">
        <v>458724.60000000003</v>
      </c>
      <c r="I320" s="11">
        <v>45410</v>
      </c>
      <c r="J320" s="12">
        <v>205054</v>
      </c>
      <c r="K320" s="13" t="s">
        <v>879</v>
      </c>
      <c r="L320" s="14" t="s">
        <v>47</v>
      </c>
      <c r="M320" s="11" t="s">
        <v>21</v>
      </c>
      <c r="N320" s="14" t="s">
        <v>62</v>
      </c>
      <c r="O320" s="15">
        <v>6707</v>
      </c>
      <c r="P320" s="12">
        <v>1</v>
      </c>
      <c r="Q320" s="13" t="s">
        <v>101</v>
      </c>
      <c r="R320" s="16">
        <v>2753000</v>
      </c>
      <c r="S320" s="17">
        <v>2549074</v>
      </c>
      <c r="T320" s="12">
        <v>0</v>
      </c>
      <c r="U320" s="18">
        <v>0</v>
      </c>
      <c r="V320" s="19">
        <v>0</v>
      </c>
      <c r="W320" s="13" t="s">
        <v>160</v>
      </c>
      <c r="X320" s="14" t="s">
        <v>1484</v>
      </c>
      <c r="Y320" s="13" t="s">
        <v>1560</v>
      </c>
      <c r="Z320" s="14">
        <v>57</v>
      </c>
      <c r="AA320" s="17">
        <v>17</v>
      </c>
      <c r="AB320" s="14" t="s">
        <v>224</v>
      </c>
      <c r="AC320" s="17">
        <v>2753000</v>
      </c>
      <c r="AD320" s="14" t="s">
        <v>924</v>
      </c>
      <c r="AE320" s="17">
        <v>2549074</v>
      </c>
      <c r="AF320" s="14" t="s">
        <v>379</v>
      </c>
      <c r="AG320" s="20" t="s">
        <v>1561</v>
      </c>
      <c r="AH320" s="10">
        <v>2064980</v>
      </c>
      <c r="AI320" s="24" t="str">
        <f>VLOOKUP(Sales[[#This Row],[Store]],'Store lay bao  cao'!A:B,2,0)</f>
        <v>Lấy BC</v>
      </c>
      <c r="AJ320" s="24" t="str">
        <f>VLOOKUP(Sales[[#This Row],[Associate]],'Associate Status'!B:C,2,0)</f>
        <v>Retired</v>
      </c>
    </row>
    <row r="321" spans="1:36" x14ac:dyDescent="0.25">
      <c r="A321" s="7">
        <v>2024</v>
      </c>
      <c r="B321" s="8">
        <v>4</v>
      </c>
      <c r="C321" s="8">
        <v>17</v>
      </c>
      <c r="D321" s="8" t="s">
        <v>63</v>
      </c>
      <c r="E321" s="8" t="s">
        <v>34</v>
      </c>
      <c r="F321" s="8" t="s">
        <v>63</v>
      </c>
      <c r="G321" s="9">
        <v>505291</v>
      </c>
      <c r="H321" s="10">
        <v>458724.60000000003</v>
      </c>
      <c r="I321" s="11">
        <v>45410</v>
      </c>
      <c r="J321" s="12">
        <v>205040</v>
      </c>
      <c r="K321" s="13" t="s">
        <v>879</v>
      </c>
      <c r="L321" s="14" t="s">
        <v>47</v>
      </c>
      <c r="M321" s="11" t="s">
        <v>21</v>
      </c>
      <c r="N321" s="14" t="s">
        <v>62</v>
      </c>
      <c r="O321" s="15">
        <v>6707</v>
      </c>
      <c r="P321" s="12">
        <v>1</v>
      </c>
      <c r="Q321" s="13" t="s">
        <v>101</v>
      </c>
      <c r="R321" s="16">
        <v>2753000</v>
      </c>
      <c r="S321" s="17">
        <v>2549074</v>
      </c>
      <c r="T321" s="12">
        <v>0</v>
      </c>
      <c r="U321" s="18">
        <v>0</v>
      </c>
      <c r="V321" s="19">
        <v>0</v>
      </c>
      <c r="W321" s="13" t="s">
        <v>160</v>
      </c>
      <c r="X321" s="14" t="s">
        <v>1510</v>
      </c>
      <c r="Y321" s="13" t="s">
        <v>1560</v>
      </c>
      <c r="Z321" s="14">
        <v>43</v>
      </c>
      <c r="AA321" s="17">
        <v>17</v>
      </c>
      <c r="AB321" s="14" t="s">
        <v>1511</v>
      </c>
      <c r="AC321" s="17">
        <v>2753000</v>
      </c>
      <c r="AD321" s="14" t="s">
        <v>924</v>
      </c>
      <c r="AE321" s="17">
        <v>2549074</v>
      </c>
      <c r="AF321" s="14" t="s">
        <v>379</v>
      </c>
      <c r="AG321" s="21" t="s">
        <v>1561</v>
      </c>
      <c r="AH321" s="10">
        <v>2043783</v>
      </c>
      <c r="AI321" s="24" t="str">
        <f>VLOOKUP(Sales[[#This Row],[Store]],'Store lay bao  cao'!A:B,2,0)</f>
        <v>Lấy BC</v>
      </c>
      <c r="AJ321" s="24" t="str">
        <f>VLOOKUP(Sales[[#This Row],[Associate]],'Associate Status'!B:C,2,0)</f>
        <v>Retired</v>
      </c>
    </row>
    <row r="322" spans="1:36" x14ac:dyDescent="0.25">
      <c r="A322" s="7">
        <v>2024</v>
      </c>
      <c r="B322" s="8">
        <v>5</v>
      </c>
      <c r="C322" s="8">
        <v>18</v>
      </c>
      <c r="D322" s="8" t="s">
        <v>60</v>
      </c>
      <c r="E322" s="8" t="s">
        <v>34</v>
      </c>
      <c r="F322" s="8" t="s">
        <v>60</v>
      </c>
      <c r="G322" s="9">
        <v>79474542</v>
      </c>
      <c r="H322" s="10">
        <v>77199375</v>
      </c>
      <c r="I322" s="11">
        <v>45416</v>
      </c>
      <c r="J322" s="12">
        <v>205089</v>
      </c>
      <c r="K322" s="13" t="s">
        <v>615</v>
      </c>
      <c r="L322" s="14" t="s">
        <v>64</v>
      </c>
      <c r="M322" s="11" t="s">
        <v>15</v>
      </c>
      <c r="N322" s="14" t="s">
        <v>62</v>
      </c>
      <c r="O322" s="15">
        <v>4224</v>
      </c>
      <c r="P322" s="12">
        <v>1</v>
      </c>
      <c r="Q322" s="13" t="s">
        <v>102</v>
      </c>
      <c r="R322" s="16">
        <v>183936150</v>
      </c>
      <c r="S322" s="17">
        <v>170311250</v>
      </c>
      <c r="T322" s="12">
        <v>5</v>
      </c>
      <c r="U322" s="18">
        <v>8963750</v>
      </c>
      <c r="V322" s="19">
        <v>9680850</v>
      </c>
      <c r="W322" s="13" t="s">
        <v>104</v>
      </c>
      <c r="X322" s="14" t="s">
        <v>1564</v>
      </c>
      <c r="Y322" s="13" t="s">
        <v>984</v>
      </c>
      <c r="Z322" s="14" t="s">
        <v>1565</v>
      </c>
      <c r="AA322" s="17">
        <v>12</v>
      </c>
      <c r="AB322" s="14" t="s">
        <v>1126</v>
      </c>
      <c r="AC322" s="17">
        <v>193617000</v>
      </c>
      <c r="AD322" s="14" t="s">
        <v>108</v>
      </c>
      <c r="AE322" s="17">
        <v>179275000</v>
      </c>
      <c r="AF322" s="14" t="s">
        <v>2594</v>
      </c>
      <c r="AG322" s="20" t="s">
        <v>985</v>
      </c>
      <c r="AH322" s="10">
        <v>90836708</v>
      </c>
      <c r="AI322" s="24" t="str">
        <f>VLOOKUP(Sales[[#This Row],[Store]],'Store lay bao  cao'!A:B,2,0)</f>
        <v>Lấy BC</v>
      </c>
      <c r="AJ322" s="24" t="e">
        <f>VLOOKUP(Sales[[#This Row],[Associate]],'Associate Status'!B:C,2,0)</f>
        <v>#N/A</v>
      </c>
    </row>
    <row r="323" spans="1:36" x14ac:dyDescent="0.25">
      <c r="A323" s="7">
        <v>2024</v>
      </c>
      <c r="B323" s="8">
        <v>5</v>
      </c>
      <c r="C323" s="8">
        <v>18</v>
      </c>
      <c r="D323" s="8" t="s">
        <v>60</v>
      </c>
      <c r="E323" s="8" t="s">
        <v>37</v>
      </c>
      <c r="F323" s="8" t="s">
        <v>60</v>
      </c>
      <c r="G323" s="9">
        <v>68249795</v>
      </c>
      <c r="H323" s="10">
        <v>66096250</v>
      </c>
      <c r="I323" s="11">
        <v>45416</v>
      </c>
      <c r="J323" s="12">
        <v>205090</v>
      </c>
      <c r="K323" s="13" t="s">
        <v>615</v>
      </c>
      <c r="L323" s="14" t="s">
        <v>64</v>
      </c>
      <c r="M323" s="11" t="s">
        <v>15</v>
      </c>
      <c r="N323" s="14" t="s">
        <v>62</v>
      </c>
      <c r="O323" s="15">
        <v>4224</v>
      </c>
      <c r="P323" s="12">
        <v>1</v>
      </c>
      <c r="Q323" s="13" t="s">
        <v>102</v>
      </c>
      <c r="R323" s="16">
        <v>157481500</v>
      </c>
      <c r="S323" s="17">
        <v>145816204</v>
      </c>
      <c r="T323" s="12">
        <v>5</v>
      </c>
      <c r="U323" s="18">
        <v>7674537</v>
      </c>
      <c r="V323" s="19">
        <v>8288500</v>
      </c>
      <c r="W323" s="13" t="s">
        <v>104</v>
      </c>
      <c r="X323" s="14" t="s">
        <v>1566</v>
      </c>
      <c r="Y323" s="13" t="s">
        <v>984</v>
      </c>
      <c r="Z323" s="14" t="s">
        <v>1567</v>
      </c>
      <c r="AA323" s="17">
        <v>12</v>
      </c>
      <c r="AB323" s="14" t="s">
        <v>1126</v>
      </c>
      <c r="AC323" s="17">
        <v>165770000</v>
      </c>
      <c r="AD323" s="14" t="s">
        <v>108</v>
      </c>
      <c r="AE323" s="17">
        <v>153490741</v>
      </c>
      <c r="AF323" s="14" t="s">
        <v>2594</v>
      </c>
      <c r="AG323" s="21" t="s">
        <v>985</v>
      </c>
      <c r="AH323" s="10">
        <v>77566409</v>
      </c>
      <c r="AI323" s="24" t="str">
        <f>VLOOKUP(Sales[[#This Row],[Store]],'Store lay bao  cao'!A:B,2,0)</f>
        <v>Lấy BC</v>
      </c>
      <c r="AJ323" s="24" t="e">
        <f>VLOOKUP(Sales[[#This Row],[Associate]],'Associate Status'!B:C,2,0)</f>
        <v>#N/A</v>
      </c>
    </row>
    <row r="324" spans="1:36" x14ac:dyDescent="0.25">
      <c r="A324" s="7">
        <v>2024</v>
      </c>
      <c r="B324" s="8">
        <v>5</v>
      </c>
      <c r="C324" s="8">
        <v>19</v>
      </c>
      <c r="D324" s="8" t="s">
        <v>52</v>
      </c>
      <c r="E324" s="8" t="s">
        <v>37</v>
      </c>
      <c r="F324" s="8" t="s">
        <v>52</v>
      </c>
      <c r="G324" s="9">
        <v>5860382</v>
      </c>
      <c r="H324" s="10">
        <v>5278500</v>
      </c>
      <c r="I324" s="11">
        <v>45420</v>
      </c>
      <c r="J324" s="12">
        <v>182224</v>
      </c>
      <c r="K324" s="13" t="s">
        <v>1568</v>
      </c>
      <c r="L324" s="14" t="s">
        <v>50</v>
      </c>
      <c r="M324" s="11" t="s">
        <v>17</v>
      </c>
      <c r="N324" s="14" t="s">
        <v>11</v>
      </c>
      <c r="O324" s="15">
        <v>8173</v>
      </c>
      <c r="P324" s="12">
        <v>1</v>
      </c>
      <c r="Q324" s="13" t="s">
        <v>101</v>
      </c>
      <c r="R324" s="16">
        <v>16892000</v>
      </c>
      <c r="S324" s="17">
        <v>15640741</v>
      </c>
      <c r="T324" s="12">
        <v>0</v>
      </c>
      <c r="U324" s="18">
        <v>0</v>
      </c>
      <c r="V324" s="19">
        <v>0</v>
      </c>
      <c r="W324" s="13" t="s">
        <v>140</v>
      </c>
      <c r="X324" s="14" t="s">
        <v>1071</v>
      </c>
      <c r="Y324" s="13" t="s">
        <v>697</v>
      </c>
      <c r="Z324" s="14" t="s">
        <v>896</v>
      </c>
      <c r="AA324" s="17">
        <v>11</v>
      </c>
      <c r="AB324" s="14" t="s">
        <v>1072</v>
      </c>
      <c r="AC324" s="17">
        <v>16892000</v>
      </c>
      <c r="AD324" s="14" t="s">
        <v>108</v>
      </c>
      <c r="AE324" s="17">
        <v>15640741</v>
      </c>
      <c r="AF324" s="14" t="s">
        <v>125</v>
      </c>
      <c r="AG324" s="20" t="s">
        <v>698</v>
      </c>
      <c r="AH324" s="10">
        <v>9780359</v>
      </c>
      <c r="AI324" s="24" t="str">
        <f>VLOOKUP(Sales[[#This Row],[Store]],'Store lay bao  cao'!A:B,2,0)</f>
        <v>Lấy BC</v>
      </c>
      <c r="AJ324" s="24" t="str">
        <f>VLOOKUP(Sales[[#This Row],[Associate]],'Associate Status'!B:C,2,0)</f>
        <v>Active</v>
      </c>
    </row>
    <row r="325" spans="1:36" x14ac:dyDescent="0.25">
      <c r="A325" s="7">
        <v>2024</v>
      </c>
      <c r="B325" s="8">
        <v>5</v>
      </c>
      <c r="C325" s="8">
        <v>19</v>
      </c>
      <c r="D325" s="8" t="s">
        <v>60</v>
      </c>
      <c r="E325" s="8" t="s">
        <v>43</v>
      </c>
      <c r="F325" s="8" t="s">
        <v>60</v>
      </c>
      <c r="G325" s="9">
        <v>3047517</v>
      </c>
      <c r="H325" s="10">
        <v>2277150</v>
      </c>
      <c r="I325" s="11">
        <v>45421</v>
      </c>
      <c r="J325" s="12">
        <v>202757</v>
      </c>
      <c r="K325" s="13" t="s">
        <v>619</v>
      </c>
      <c r="L325" s="14" t="s">
        <v>19</v>
      </c>
      <c r="M325" s="11" t="s">
        <v>15</v>
      </c>
      <c r="N325" s="14" t="s">
        <v>62</v>
      </c>
      <c r="O325" s="15">
        <v>4264</v>
      </c>
      <c r="P325" s="12">
        <v>1</v>
      </c>
      <c r="Q325" s="13" t="s">
        <v>101</v>
      </c>
      <c r="R325" s="16">
        <v>7546000</v>
      </c>
      <c r="S325" s="17">
        <v>6987037</v>
      </c>
      <c r="T325" s="12">
        <v>0</v>
      </c>
      <c r="U325" s="18">
        <v>0</v>
      </c>
      <c r="V325" s="19">
        <v>0</v>
      </c>
      <c r="W325" s="13" t="s">
        <v>104</v>
      </c>
      <c r="X325" s="14" t="s">
        <v>1569</v>
      </c>
      <c r="Y325" s="13" t="s">
        <v>1143</v>
      </c>
      <c r="Z325" s="14" t="s">
        <v>1570</v>
      </c>
      <c r="AA325" s="17">
        <v>14</v>
      </c>
      <c r="AB325" s="14" t="s">
        <v>1253</v>
      </c>
      <c r="AC325" s="17">
        <v>7546000</v>
      </c>
      <c r="AD325" s="14">
        <v>53</v>
      </c>
      <c r="AE325" s="17">
        <v>6987037</v>
      </c>
      <c r="AF325" s="14" t="s">
        <v>136</v>
      </c>
      <c r="AG325" s="21" t="s">
        <v>212</v>
      </c>
      <c r="AH325" s="10">
        <v>3939520</v>
      </c>
      <c r="AI325" s="24" t="str">
        <f>VLOOKUP(Sales[[#This Row],[Store]],'Store lay bao  cao'!A:B,2,0)</f>
        <v>Lấy BC</v>
      </c>
      <c r="AJ325" s="24" t="str">
        <f>VLOOKUP(Sales[[#This Row],[Associate]],'Associate Status'!B:C,2,0)</f>
        <v>Active</v>
      </c>
    </row>
    <row r="326" spans="1:36" x14ac:dyDescent="0.25">
      <c r="A326" s="7">
        <v>2024</v>
      </c>
      <c r="B326" s="8">
        <v>5</v>
      </c>
      <c r="C326" s="8">
        <v>19</v>
      </c>
      <c r="D326" s="8" t="s">
        <v>60</v>
      </c>
      <c r="E326" s="8" t="s">
        <v>43</v>
      </c>
      <c r="F326" s="8" t="s">
        <v>60</v>
      </c>
      <c r="G326" s="9">
        <v>78396663</v>
      </c>
      <c r="H326" s="10">
        <v>76023750</v>
      </c>
      <c r="I326" s="11">
        <v>45421</v>
      </c>
      <c r="J326" s="12">
        <v>205109</v>
      </c>
      <c r="K326" s="13" t="s">
        <v>621</v>
      </c>
      <c r="L326" s="14" t="s">
        <v>64</v>
      </c>
      <c r="M326" s="11" t="s">
        <v>15</v>
      </c>
      <c r="N326" s="14" t="s">
        <v>62</v>
      </c>
      <c r="O326" s="15">
        <v>4266</v>
      </c>
      <c r="P326" s="12">
        <v>1</v>
      </c>
      <c r="Q326" s="13" t="s">
        <v>144</v>
      </c>
      <c r="R326" s="16">
        <v>181134600</v>
      </c>
      <c r="S326" s="17">
        <v>167717222</v>
      </c>
      <c r="T326" s="12">
        <v>5</v>
      </c>
      <c r="U326" s="18">
        <v>8827222</v>
      </c>
      <c r="V326" s="19">
        <v>9533400</v>
      </c>
      <c r="W326" s="13" t="s">
        <v>104</v>
      </c>
      <c r="X326" s="14" t="s">
        <v>1571</v>
      </c>
      <c r="Y326" s="13" t="s">
        <v>917</v>
      </c>
      <c r="Z326" s="14" t="s">
        <v>1572</v>
      </c>
      <c r="AA326" s="17">
        <v>15</v>
      </c>
      <c r="AB326" s="14" t="s">
        <v>1126</v>
      </c>
      <c r="AC326" s="17">
        <v>190668000</v>
      </c>
      <c r="AD326" s="14">
        <v>14</v>
      </c>
      <c r="AE326" s="17">
        <v>176544444</v>
      </c>
      <c r="AF326" s="14" t="s">
        <v>2595</v>
      </c>
      <c r="AG326" s="20" t="s">
        <v>918</v>
      </c>
      <c r="AH326" s="10">
        <v>89320559</v>
      </c>
      <c r="AI326" s="24" t="str">
        <f>VLOOKUP(Sales[[#This Row],[Store]],'Store lay bao  cao'!A:B,2,0)</f>
        <v>Lấy BC</v>
      </c>
      <c r="AJ326" s="24" t="e">
        <f>VLOOKUP(Sales[[#This Row],[Associate]],'Associate Status'!B:C,2,0)</f>
        <v>#N/A</v>
      </c>
    </row>
    <row r="327" spans="1:36" x14ac:dyDescent="0.25">
      <c r="A327" s="7">
        <v>2024</v>
      </c>
      <c r="B327" s="8">
        <v>5</v>
      </c>
      <c r="C327" s="8">
        <v>19</v>
      </c>
      <c r="D327" s="8" t="s">
        <v>63</v>
      </c>
      <c r="E327" s="8" t="s">
        <v>43</v>
      </c>
      <c r="F327" s="8" t="s">
        <v>63</v>
      </c>
      <c r="G327" s="9">
        <v>48072918</v>
      </c>
      <c r="H327" s="10">
        <v>48840000</v>
      </c>
      <c r="I327" s="11">
        <v>45422</v>
      </c>
      <c r="J327" s="12">
        <v>205072</v>
      </c>
      <c r="K327" s="13" t="s">
        <v>620</v>
      </c>
      <c r="L327" s="14" t="s">
        <v>55</v>
      </c>
      <c r="M327" s="11" t="s">
        <v>15</v>
      </c>
      <c r="N327" s="14" t="s">
        <v>62</v>
      </c>
      <c r="O327" s="15">
        <v>4274</v>
      </c>
      <c r="P327" s="12">
        <v>1</v>
      </c>
      <c r="Q327" s="13" t="s">
        <v>110</v>
      </c>
      <c r="R327" s="16">
        <v>93100000</v>
      </c>
      <c r="S327" s="17">
        <v>86203704</v>
      </c>
      <c r="T327" s="12">
        <v>5</v>
      </c>
      <c r="U327" s="18">
        <v>4537037</v>
      </c>
      <c r="V327" s="19">
        <v>4900000</v>
      </c>
      <c r="W327" s="13" t="s">
        <v>104</v>
      </c>
      <c r="X327" s="14" t="s">
        <v>1573</v>
      </c>
      <c r="Y327" s="13" t="s">
        <v>274</v>
      </c>
      <c r="Z327" s="14" t="s">
        <v>1574</v>
      </c>
      <c r="AA327" s="17">
        <v>17</v>
      </c>
      <c r="AB327" s="14" t="s">
        <v>1575</v>
      </c>
      <c r="AC327" s="17">
        <v>98000000</v>
      </c>
      <c r="AD327" s="14">
        <v>12</v>
      </c>
      <c r="AE327" s="17">
        <v>90740741</v>
      </c>
      <c r="AF327" s="14" t="s">
        <v>1221</v>
      </c>
      <c r="AG327" s="21" t="s">
        <v>275</v>
      </c>
      <c r="AH327" s="10">
        <v>38130786</v>
      </c>
      <c r="AI327" s="24" t="str">
        <f>VLOOKUP(Sales[[#This Row],[Store]],'Store lay bao  cao'!A:B,2,0)</f>
        <v>Lấy BC</v>
      </c>
      <c r="AJ327" s="24" t="str">
        <f>VLOOKUP(Sales[[#This Row],[Associate]],'Associate Status'!B:C,2,0)</f>
        <v>Retired</v>
      </c>
    </row>
    <row r="328" spans="1:36" x14ac:dyDescent="0.25">
      <c r="A328" s="7">
        <v>2024</v>
      </c>
      <c r="B328" s="8">
        <v>5</v>
      </c>
      <c r="C328" s="8">
        <v>19</v>
      </c>
      <c r="D328" s="8" t="s">
        <v>60</v>
      </c>
      <c r="E328" s="8" t="s">
        <v>34</v>
      </c>
      <c r="F328" s="8" t="s">
        <v>60</v>
      </c>
      <c r="G328" s="9">
        <v>59243382</v>
      </c>
      <c r="H328" s="10">
        <v>57344375</v>
      </c>
      <c r="I328" s="11">
        <v>45422</v>
      </c>
      <c r="J328" s="12">
        <v>205085</v>
      </c>
      <c r="K328" s="13" t="s">
        <v>620</v>
      </c>
      <c r="L328" s="14" t="s">
        <v>64</v>
      </c>
      <c r="M328" s="11" t="s">
        <v>15</v>
      </c>
      <c r="N328" s="14" t="s">
        <v>62</v>
      </c>
      <c r="O328" s="15">
        <v>4274</v>
      </c>
      <c r="P328" s="12">
        <v>1</v>
      </c>
      <c r="Q328" s="13" t="s">
        <v>110</v>
      </c>
      <c r="R328" s="16">
        <v>136629000</v>
      </c>
      <c r="S328" s="17">
        <v>126508333</v>
      </c>
      <c r="T328" s="12">
        <v>5</v>
      </c>
      <c r="U328" s="18">
        <v>6658333</v>
      </c>
      <c r="V328" s="19">
        <v>7191000</v>
      </c>
      <c r="W328" s="13" t="s">
        <v>104</v>
      </c>
      <c r="X328" s="14" t="s">
        <v>1576</v>
      </c>
      <c r="Y328" s="13" t="s">
        <v>274</v>
      </c>
      <c r="Z328" s="14" t="s">
        <v>1577</v>
      </c>
      <c r="AA328" s="17">
        <v>17</v>
      </c>
      <c r="AB328" s="14" t="s">
        <v>1578</v>
      </c>
      <c r="AC328" s="17">
        <v>143820000</v>
      </c>
      <c r="AD328" s="14" t="s">
        <v>108</v>
      </c>
      <c r="AE328" s="17">
        <v>133166667</v>
      </c>
      <c r="AF328" s="14" t="s">
        <v>1221</v>
      </c>
      <c r="AG328" s="20" t="s">
        <v>275</v>
      </c>
      <c r="AH328" s="10">
        <v>67264951</v>
      </c>
      <c r="AI328" s="24" t="str">
        <f>VLOOKUP(Sales[[#This Row],[Store]],'Store lay bao  cao'!A:B,2,0)</f>
        <v>Lấy BC</v>
      </c>
      <c r="AJ328" s="24" t="str">
        <f>VLOOKUP(Sales[[#This Row],[Associate]],'Associate Status'!B:C,2,0)</f>
        <v>Retired</v>
      </c>
    </row>
    <row r="329" spans="1:36" x14ac:dyDescent="0.25">
      <c r="A329" s="7">
        <v>2024</v>
      </c>
      <c r="B329" s="8">
        <v>5</v>
      </c>
      <c r="C329" s="8">
        <v>19</v>
      </c>
      <c r="D329" s="8" t="s">
        <v>60</v>
      </c>
      <c r="E329" s="8" t="s">
        <v>34</v>
      </c>
      <c r="F329" s="8" t="s">
        <v>60</v>
      </c>
      <c r="G329" s="9">
        <v>17881865</v>
      </c>
      <c r="H329" s="10">
        <v>17914050.000000004</v>
      </c>
      <c r="I329" s="11">
        <v>45422</v>
      </c>
      <c r="J329" s="12">
        <v>202693</v>
      </c>
      <c r="K329" s="13" t="s">
        <v>620</v>
      </c>
      <c r="L329" s="14" t="s">
        <v>58</v>
      </c>
      <c r="M329" s="11" t="s">
        <v>15</v>
      </c>
      <c r="N329" s="14" t="s">
        <v>11</v>
      </c>
      <c r="O329" s="15">
        <v>4274</v>
      </c>
      <c r="P329" s="12">
        <v>1</v>
      </c>
      <c r="Q329" s="13" t="s">
        <v>110</v>
      </c>
      <c r="R329" s="16">
        <v>44479950</v>
      </c>
      <c r="S329" s="17">
        <v>41185139</v>
      </c>
      <c r="T329" s="12">
        <v>5</v>
      </c>
      <c r="U329" s="18">
        <v>2167639</v>
      </c>
      <c r="V329" s="19">
        <v>2341050</v>
      </c>
      <c r="W329" s="13" t="s">
        <v>104</v>
      </c>
      <c r="X329" s="14" t="s">
        <v>1579</v>
      </c>
      <c r="Y329" s="13" t="s">
        <v>274</v>
      </c>
      <c r="Z329" s="14" t="s">
        <v>1580</v>
      </c>
      <c r="AA329" s="17">
        <v>17</v>
      </c>
      <c r="AB329" s="14" t="s">
        <v>1498</v>
      </c>
      <c r="AC329" s="17">
        <v>46821000</v>
      </c>
      <c r="AD329" s="14" t="s">
        <v>115</v>
      </c>
      <c r="AE329" s="17">
        <v>43352778</v>
      </c>
      <c r="AF329" s="14" t="s">
        <v>1221</v>
      </c>
      <c r="AG329" s="21" t="s">
        <v>275</v>
      </c>
      <c r="AH329" s="10">
        <v>23303274</v>
      </c>
      <c r="AI329" s="24" t="str">
        <f>VLOOKUP(Sales[[#This Row],[Store]],'Store lay bao  cao'!A:B,2,0)</f>
        <v>Lấy BC</v>
      </c>
      <c r="AJ329" s="24" t="str">
        <f>VLOOKUP(Sales[[#This Row],[Associate]],'Associate Status'!B:C,2,0)</f>
        <v>Retired</v>
      </c>
    </row>
    <row r="330" spans="1:36" x14ac:dyDescent="0.25">
      <c r="A330" s="7">
        <v>2024</v>
      </c>
      <c r="B330" s="8">
        <v>5</v>
      </c>
      <c r="C330" s="8">
        <v>19</v>
      </c>
      <c r="D330" s="8" t="s">
        <v>63</v>
      </c>
      <c r="E330" s="8" t="s">
        <v>37</v>
      </c>
      <c r="F330" s="8" t="s">
        <v>63</v>
      </c>
      <c r="G330" s="9">
        <v>1363267</v>
      </c>
      <c r="H330" s="10">
        <v>1223265.5999999999</v>
      </c>
      <c r="I330" s="11">
        <v>45423</v>
      </c>
      <c r="J330" s="12">
        <v>204999</v>
      </c>
      <c r="K330" s="13" t="s">
        <v>624</v>
      </c>
      <c r="L330" s="14" t="s">
        <v>47</v>
      </c>
      <c r="M330" s="11" t="s">
        <v>15</v>
      </c>
      <c r="N330" s="14" t="s">
        <v>62</v>
      </c>
      <c r="O330" s="15">
        <v>4281</v>
      </c>
      <c r="P330" s="12">
        <v>1</v>
      </c>
      <c r="Q330" s="13" t="s">
        <v>102</v>
      </c>
      <c r="R330" s="16">
        <v>7340000</v>
      </c>
      <c r="S330" s="17">
        <v>6796296</v>
      </c>
      <c r="T330" s="12">
        <v>0</v>
      </c>
      <c r="U330" s="18">
        <v>0</v>
      </c>
      <c r="V330" s="19">
        <v>0</v>
      </c>
      <c r="W330" s="13" t="s">
        <v>135</v>
      </c>
      <c r="X330" s="14" t="s">
        <v>1538</v>
      </c>
      <c r="Y330" s="13" t="s">
        <v>919</v>
      </c>
      <c r="Z330" s="14">
        <v>2</v>
      </c>
      <c r="AA330" s="17">
        <v>19</v>
      </c>
      <c r="AB330" s="14" t="s">
        <v>189</v>
      </c>
      <c r="AC330" s="17">
        <v>7340000</v>
      </c>
      <c r="AD330" s="14" t="s">
        <v>924</v>
      </c>
      <c r="AE330" s="17">
        <v>6796296</v>
      </c>
      <c r="AF330" s="14" t="s">
        <v>136</v>
      </c>
      <c r="AG330" s="20" t="s">
        <v>920</v>
      </c>
      <c r="AH330" s="10">
        <v>5433029</v>
      </c>
      <c r="AI330" s="24" t="str">
        <f>VLOOKUP(Sales[[#This Row],[Store]],'Store lay bao  cao'!A:B,2,0)</f>
        <v>Lấy BC</v>
      </c>
      <c r="AJ330" s="24" t="str">
        <f>VLOOKUP(Sales[[#This Row],[Associate]],'Associate Status'!B:C,2,0)</f>
        <v>Active</v>
      </c>
    </row>
    <row r="331" spans="1:36" x14ac:dyDescent="0.25">
      <c r="A331" s="7">
        <v>2024</v>
      </c>
      <c r="B331" s="8">
        <v>5</v>
      </c>
      <c r="C331" s="8">
        <v>19</v>
      </c>
      <c r="D331" s="8" t="s">
        <v>63</v>
      </c>
      <c r="E331" s="8" t="s">
        <v>37</v>
      </c>
      <c r="F331" s="8" t="s">
        <v>63</v>
      </c>
      <c r="G331" s="9">
        <v>1384463</v>
      </c>
      <c r="H331" s="10">
        <v>1223265.5999999999</v>
      </c>
      <c r="I331" s="11">
        <v>45423</v>
      </c>
      <c r="J331" s="12">
        <v>205028</v>
      </c>
      <c r="K331" s="13" t="s">
        <v>624</v>
      </c>
      <c r="L331" s="14" t="s">
        <v>47</v>
      </c>
      <c r="M331" s="11" t="s">
        <v>15</v>
      </c>
      <c r="N331" s="14" t="s">
        <v>62</v>
      </c>
      <c r="O331" s="15">
        <v>4281</v>
      </c>
      <c r="P331" s="12">
        <v>1</v>
      </c>
      <c r="Q331" s="13" t="s">
        <v>102</v>
      </c>
      <c r="R331" s="16">
        <v>7340000</v>
      </c>
      <c r="S331" s="17">
        <v>6796296</v>
      </c>
      <c r="T331" s="12">
        <v>0</v>
      </c>
      <c r="U331" s="18">
        <v>0</v>
      </c>
      <c r="V331" s="19">
        <v>0</v>
      </c>
      <c r="W331" s="13" t="s">
        <v>135</v>
      </c>
      <c r="X331" s="14" t="s">
        <v>1538</v>
      </c>
      <c r="Y331" s="13" t="s">
        <v>919</v>
      </c>
      <c r="Z331" s="14">
        <v>31</v>
      </c>
      <c r="AA331" s="17">
        <v>19</v>
      </c>
      <c r="AB331" s="14" t="s">
        <v>189</v>
      </c>
      <c r="AC331" s="17">
        <v>7340000</v>
      </c>
      <c r="AD331" s="14" t="s">
        <v>924</v>
      </c>
      <c r="AE331" s="17">
        <v>6796296</v>
      </c>
      <c r="AF331" s="14" t="s">
        <v>136</v>
      </c>
      <c r="AG331" s="21" t="s">
        <v>920</v>
      </c>
      <c r="AH331" s="10">
        <v>5411833</v>
      </c>
      <c r="AI331" s="24" t="str">
        <f>VLOOKUP(Sales[[#This Row],[Store]],'Store lay bao  cao'!A:B,2,0)</f>
        <v>Lấy BC</v>
      </c>
      <c r="AJ331" s="24" t="str">
        <f>VLOOKUP(Sales[[#This Row],[Associate]],'Associate Status'!B:C,2,0)</f>
        <v>Active</v>
      </c>
    </row>
    <row r="332" spans="1:36" ht="26.25" x14ac:dyDescent="0.25">
      <c r="A332" s="7">
        <v>2024</v>
      </c>
      <c r="B332" s="8">
        <v>5</v>
      </c>
      <c r="C332" s="8">
        <v>20</v>
      </c>
      <c r="D332" s="8" t="s">
        <v>63</v>
      </c>
      <c r="E332" s="8" t="s">
        <v>37</v>
      </c>
      <c r="F332" s="8" t="s">
        <v>63</v>
      </c>
      <c r="G332" s="9">
        <v>1321732</v>
      </c>
      <c r="H332" s="10">
        <v>1121326.8</v>
      </c>
      <c r="I332" s="11">
        <v>45425</v>
      </c>
      <c r="J332" s="12">
        <v>205035</v>
      </c>
      <c r="K332" s="13" t="s">
        <v>623</v>
      </c>
      <c r="L332" s="14" t="s">
        <v>47</v>
      </c>
      <c r="M332" s="11" t="s">
        <v>15</v>
      </c>
      <c r="N332" s="14" t="s">
        <v>62</v>
      </c>
      <c r="O332" s="15">
        <v>4293</v>
      </c>
      <c r="P332" s="12">
        <v>1</v>
      </c>
      <c r="Q332" s="13" t="s">
        <v>101</v>
      </c>
      <c r="R332" s="16">
        <v>6728000</v>
      </c>
      <c r="S332" s="17">
        <v>6229630</v>
      </c>
      <c r="T332" s="12">
        <v>0</v>
      </c>
      <c r="U332" s="18">
        <v>0</v>
      </c>
      <c r="V332" s="19">
        <v>0</v>
      </c>
      <c r="W332" s="13" t="s">
        <v>135</v>
      </c>
      <c r="X332" s="23" t="s">
        <v>1559</v>
      </c>
      <c r="Y332" s="13" t="s">
        <v>171</v>
      </c>
      <c r="Z332" s="14">
        <v>38</v>
      </c>
      <c r="AA332" s="17">
        <v>12</v>
      </c>
      <c r="AB332" s="14" t="s">
        <v>1511</v>
      </c>
      <c r="AC332" s="17">
        <v>6728000</v>
      </c>
      <c r="AD332" s="14" t="s">
        <v>924</v>
      </c>
      <c r="AE332" s="17">
        <v>6229630</v>
      </c>
      <c r="AF332" s="14" t="s">
        <v>2594</v>
      </c>
      <c r="AG332" s="20" t="s">
        <v>172</v>
      </c>
      <c r="AH332" s="10">
        <v>4907898</v>
      </c>
      <c r="AI332" s="24" t="str">
        <f>VLOOKUP(Sales[[#This Row],[Store]],'Store lay bao  cao'!A:B,2,0)</f>
        <v>Lấy BC</v>
      </c>
      <c r="AJ332" s="24" t="e">
        <f>VLOOKUP(Sales[[#This Row],[Associate]],'Associate Status'!B:C,2,0)</f>
        <v>#N/A</v>
      </c>
    </row>
    <row r="333" spans="1:36" x14ac:dyDescent="0.25">
      <c r="A333" s="7">
        <v>2024</v>
      </c>
      <c r="B333" s="8">
        <v>5</v>
      </c>
      <c r="C333" s="8">
        <v>20</v>
      </c>
      <c r="D333" s="8" t="s">
        <v>63</v>
      </c>
      <c r="E333" s="8" t="s">
        <v>37</v>
      </c>
      <c r="F333" s="8" t="s">
        <v>63</v>
      </c>
      <c r="G333" s="9">
        <v>1242888</v>
      </c>
      <c r="H333" s="10">
        <v>1019388</v>
      </c>
      <c r="I333" s="11">
        <v>45425</v>
      </c>
      <c r="J333" s="12">
        <v>205060</v>
      </c>
      <c r="K333" s="13" t="s">
        <v>623</v>
      </c>
      <c r="L333" s="14" t="s">
        <v>47</v>
      </c>
      <c r="M333" s="11" t="s">
        <v>15</v>
      </c>
      <c r="N333" s="14" t="s">
        <v>62</v>
      </c>
      <c r="O333" s="15">
        <v>4293</v>
      </c>
      <c r="P333" s="12">
        <v>1</v>
      </c>
      <c r="Q333" s="13" t="s">
        <v>101</v>
      </c>
      <c r="R333" s="16">
        <v>6117000</v>
      </c>
      <c r="S333" s="17">
        <v>5663889</v>
      </c>
      <c r="T333" s="12">
        <v>0</v>
      </c>
      <c r="U333" s="18">
        <v>0</v>
      </c>
      <c r="V333" s="19">
        <v>0</v>
      </c>
      <c r="W333" s="13" t="s">
        <v>135</v>
      </c>
      <c r="X333" s="14" t="s">
        <v>1558</v>
      </c>
      <c r="Y333" s="13" t="s">
        <v>171</v>
      </c>
      <c r="Z333" s="14">
        <v>63</v>
      </c>
      <c r="AA333" s="17">
        <v>12</v>
      </c>
      <c r="AB333" s="14" t="s">
        <v>224</v>
      </c>
      <c r="AC333" s="17">
        <v>6117000</v>
      </c>
      <c r="AD333" s="14" t="s">
        <v>924</v>
      </c>
      <c r="AE333" s="17">
        <v>5663889</v>
      </c>
      <c r="AF333" s="14" t="s">
        <v>2594</v>
      </c>
      <c r="AG333" s="21" t="s">
        <v>172</v>
      </c>
      <c r="AH333" s="10">
        <v>4421001</v>
      </c>
      <c r="AI333" s="24" t="str">
        <f>VLOOKUP(Sales[[#This Row],[Store]],'Store lay bao  cao'!A:B,2,0)</f>
        <v>Lấy BC</v>
      </c>
      <c r="AJ333" s="24" t="e">
        <f>VLOOKUP(Sales[[#This Row],[Associate]],'Associate Status'!B:C,2,0)</f>
        <v>#N/A</v>
      </c>
    </row>
    <row r="334" spans="1:36" x14ac:dyDescent="0.25">
      <c r="A334" s="7">
        <v>2024</v>
      </c>
      <c r="B334" s="8">
        <v>5</v>
      </c>
      <c r="C334" s="8">
        <v>20</v>
      </c>
      <c r="D334" s="8" t="s">
        <v>63</v>
      </c>
      <c r="E334" s="8" t="s">
        <v>34</v>
      </c>
      <c r="F334" s="8" t="s">
        <v>63</v>
      </c>
      <c r="G334" s="9">
        <v>378968</v>
      </c>
      <c r="H334" s="10">
        <v>331301.09999999998</v>
      </c>
      <c r="I334" s="11">
        <v>45425</v>
      </c>
      <c r="J334" s="12">
        <v>205052</v>
      </c>
      <c r="K334" s="13" t="s">
        <v>623</v>
      </c>
      <c r="L334" s="14" t="s">
        <v>47</v>
      </c>
      <c r="M334" s="11" t="s">
        <v>15</v>
      </c>
      <c r="N334" s="14" t="s">
        <v>62</v>
      </c>
      <c r="O334" s="15">
        <v>4293</v>
      </c>
      <c r="P334" s="12">
        <v>1</v>
      </c>
      <c r="Q334" s="13" t="s">
        <v>101</v>
      </c>
      <c r="R334" s="16">
        <v>1988000</v>
      </c>
      <c r="S334" s="17">
        <v>1840741</v>
      </c>
      <c r="T334" s="12">
        <v>0</v>
      </c>
      <c r="U334" s="18">
        <v>0</v>
      </c>
      <c r="V334" s="19">
        <v>0</v>
      </c>
      <c r="W334" s="13" t="s">
        <v>135</v>
      </c>
      <c r="X334" s="14" t="s">
        <v>1581</v>
      </c>
      <c r="Y334" s="13" t="s">
        <v>171</v>
      </c>
      <c r="Z334" s="14">
        <v>55</v>
      </c>
      <c r="AA334" s="17">
        <v>12</v>
      </c>
      <c r="AB334" s="14" t="s">
        <v>224</v>
      </c>
      <c r="AC334" s="17">
        <v>1988000</v>
      </c>
      <c r="AD334" s="14" t="s">
        <v>924</v>
      </c>
      <c r="AE334" s="17">
        <v>1840741</v>
      </c>
      <c r="AF334" s="14" t="s">
        <v>2594</v>
      </c>
      <c r="AG334" s="20" t="s">
        <v>172</v>
      </c>
      <c r="AH334" s="10">
        <v>1461773</v>
      </c>
      <c r="AI334" s="24" t="str">
        <f>VLOOKUP(Sales[[#This Row],[Store]],'Store lay bao  cao'!A:B,2,0)</f>
        <v>Lấy BC</v>
      </c>
      <c r="AJ334" s="24" t="e">
        <f>VLOOKUP(Sales[[#This Row],[Associate]],'Associate Status'!B:C,2,0)</f>
        <v>#N/A</v>
      </c>
    </row>
    <row r="335" spans="1:36" x14ac:dyDescent="0.25">
      <c r="A335" s="7">
        <v>2024</v>
      </c>
      <c r="B335" s="8">
        <v>5</v>
      </c>
      <c r="C335" s="8">
        <v>20</v>
      </c>
      <c r="D335" s="8" t="s">
        <v>63</v>
      </c>
      <c r="E335" s="8" t="s">
        <v>37</v>
      </c>
      <c r="F335" s="8" t="s">
        <v>63</v>
      </c>
      <c r="G335" s="9">
        <v>1599800</v>
      </c>
      <c r="H335" s="10">
        <v>1478112.5999999999</v>
      </c>
      <c r="I335" s="11">
        <v>45425</v>
      </c>
      <c r="J335" s="12">
        <v>205000</v>
      </c>
      <c r="K335" s="13" t="s">
        <v>623</v>
      </c>
      <c r="L335" s="14" t="s">
        <v>47</v>
      </c>
      <c r="M335" s="11" t="s">
        <v>15</v>
      </c>
      <c r="N335" s="14" t="s">
        <v>62</v>
      </c>
      <c r="O335" s="15">
        <v>4293</v>
      </c>
      <c r="P335" s="12">
        <v>1</v>
      </c>
      <c r="Q335" s="13" t="s">
        <v>101</v>
      </c>
      <c r="R335" s="16">
        <v>8869000</v>
      </c>
      <c r="S335" s="17">
        <v>8212037</v>
      </c>
      <c r="T335" s="12">
        <v>0</v>
      </c>
      <c r="U335" s="18">
        <v>0</v>
      </c>
      <c r="V335" s="19">
        <v>0</v>
      </c>
      <c r="W335" s="13" t="s">
        <v>135</v>
      </c>
      <c r="X335" s="14" t="s">
        <v>1582</v>
      </c>
      <c r="Y335" s="13" t="s">
        <v>171</v>
      </c>
      <c r="Z335" s="14">
        <v>3</v>
      </c>
      <c r="AA335" s="17">
        <v>12</v>
      </c>
      <c r="AB335" s="14" t="s">
        <v>137</v>
      </c>
      <c r="AC335" s="17">
        <v>8869000</v>
      </c>
      <c r="AD335" s="14" t="s">
        <v>924</v>
      </c>
      <c r="AE335" s="17">
        <v>8212037</v>
      </c>
      <c r="AF335" s="14" t="s">
        <v>2594</v>
      </c>
      <c r="AG335" s="21" t="s">
        <v>172</v>
      </c>
      <c r="AH335" s="10">
        <v>6612237</v>
      </c>
      <c r="AI335" s="24" t="str">
        <f>VLOOKUP(Sales[[#This Row],[Store]],'Store lay bao  cao'!A:B,2,0)</f>
        <v>Lấy BC</v>
      </c>
      <c r="AJ335" s="24" t="e">
        <f>VLOOKUP(Sales[[#This Row],[Associate]],'Associate Status'!B:C,2,0)</f>
        <v>#N/A</v>
      </c>
    </row>
    <row r="336" spans="1:36" x14ac:dyDescent="0.25">
      <c r="A336" s="7">
        <v>2024</v>
      </c>
      <c r="B336" s="8">
        <v>5</v>
      </c>
      <c r="C336" s="8">
        <v>20</v>
      </c>
      <c r="D336" s="8" t="s">
        <v>63</v>
      </c>
      <c r="E336" s="8" t="s">
        <v>37</v>
      </c>
      <c r="F336" s="8" t="s">
        <v>63</v>
      </c>
      <c r="G336" s="9">
        <v>1190323</v>
      </c>
      <c r="H336" s="10">
        <v>968418.6</v>
      </c>
      <c r="I336" s="11">
        <v>45425</v>
      </c>
      <c r="J336" s="12">
        <v>205032</v>
      </c>
      <c r="K336" s="13" t="s">
        <v>623</v>
      </c>
      <c r="L336" s="14" t="s">
        <v>47</v>
      </c>
      <c r="M336" s="11" t="s">
        <v>15</v>
      </c>
      <c r="N336" s="14" t="s">
        <v>62</v>
      </c>
      <c r="O336" s="15">
        <v>4293</v>
      </c>
      <c r="P336" s="12">
        <v>1</v>
      </c>
      <c r="Q336" s="13" t="s">
        <v>101</v>
      </c>
      <c r="R336" s="16">
        <v>5811000</v>
      </c>
      <c r="S336" s="17">
        <v>5380556</v>
      </c>
      <c r="T336" s="12">
        <v>0</v>
      </c>
      <c r="U336" s="18">
        <v>0</v>
      </c>
      <c r="V336" s="19">
        <v>0</v>
      </c>
      <c r="W336" s="13" t="s">
        <v>135</v>
      </c>
      <c r="X336" s="14" t="s">
        <v>904</v>
      </c>
      <c r="Y336" s="13" t="s">
        <v>171</v>
      </c>
      <c r="Z336" s="14">
        <v>35</v>
      </c>
      <c r="AA336" s="17">
        <v>12</v>
      </c>
      <c r="AB336" s="14" t="s">
        <v>161</v>
      </c>
      <c r="AC336" s="17">
        <v>5811000</v>
      </c>
      <c r="AD336" s="14" t="s">
        <v>924</v>
      </c>
      <c r="AE336" s="17">
        <v>5380556</v>
      </c>
      <c r="AF336" s="14" t="s">
        <v>2594</v>
      </c>
      <c r="AG336" s="20" t="s">
        <v>172</v>
      </c>
      <c r="AH336" s="10">
        <v>4190233</v>
      </c>
      <c r="AI336" s="24" t="str">
        <f>VLOOKUP(Sales[[#This Row],[Store]],'Store lay bao  cao'!A:B,2,0)</f>
        <v>Lấy BC</v>
      </c>
      <c r="AJ336" s="24" t="e">
        <f>VLOOKUP(Sales[[#This Row],[Associate]],'Associate Status'!B:C,2,0)</f>
        <v>#N/A</v>
      </c>
    </row>
    <row r="337" spans="1:36" x14ac:dyDescent="0.25">
      <c r="A337" s="7">
        <v>2024</v>
      </c>
      <c r="B337" s="8">
        <v>5</v>
      </c>
      <c r="C337" s="8">
        <v>20</v>
      </c>
      <c r="D337" s="8" t="s">
        <v>63</v>
      </c>
      <c r="E337" s="8" t="s">
        <v>37</v>
      </c>
      <c r="F337" s="8" t="s">
        <v>63</v>
      </c>
      <c r="G337" s="9">
        <v>2072867</v>
      </c>
      <c r="H337" s="10">
        <v>1987806.6</v>
      </c>
      <c r="I337" s="11">
        <v>45426</v>
      </c>
      <c r="J337" s="12">
        <v>205007</v>
      </c>
      <c r="K337" s="13" t="s">
        <v>625</v>
      </c>
      <c r="L337" s="14" t="s">
        <v>47</v>
      </c>
      <c r="M337" s="11" t="s">
        <v>15</v>
      </c>
      <c r="N337" s="14" t="s">
        <v>62</v>
      </c>
      <c r="O337" s="15">
        <v>4298</v>
      </c>
      <c r="P337" s="12">
        <v>1</v>
      </c>
      <c r="Q337" s="13" t="s">
        <v>175</v>
      </c>
      <c r="R337" s="16">
        <v>11927000</v>
      </c>
      <c r="S337" s="17">
        <v>11043519</v>
      </c>
      <c r="T337" s="12">
        <v>0</v>
      </c>
      <c r="U337" s="18">
        <v>0</v>
      </c>
      <c r="V337" s="19">
        <v>0</v>
      </c>
      <c r="W337" s="13" t="s">
        <v>104</v>
      </c>
      <c r="X337" s="14" t="s">
        <v>1486</v>
      </c>
      <c r="Y337" s="13" t="s">
        <v>228</v>
      </c>
      <c r="Z337" s="14">
        <v>10</v>
      </c>
      <c r="AA337" s="17">
        <v>13</v>
      </c>
      <c r="AB337" s="14" t="s">
        <v>341</v>
      </c>
      <c r="AC337" s="17">
        <v>11927000</v>
      </c>
      <c r="AD337" s="14" t="s">
        <v>924</v>
      </c>
      <c r="AE337" s="17">
        <v>11043519</v>
      </c>
      <c r="AF337" s="14" t="s">
        <v>1221</v>
      </c>
      <c r="AG337" s="21" t="s">
        <v>229</v>
      </c>
      <c r="AH337" s="10">
        <v>8970652</v>
      </c>
      <c r="AI337" s="24" t="str">
        <f>VLOOKUP(Sales[[#This Row],[Store]],'Store lay bao  cao'!A:B,2,0)</f>
        <v>Lấy BC</v>
      </c>
      <c r="AJ337" s="24" t="str">
        <f>VLOOKUP(Sales[[#This Row],[Associate]],'Associate Status'!B:C,2,0)</f>
        <v>Retired</v>
      </c>
    </row>
    <row r="338" spans="1:36" x14ac:dyDescent="0.25">
      <c r="A338" s="7">
        <v>2024</v>
      </c>
      <c r="B338" s="8">
        <v>5</v>
      </c>
      <c r="C338" s="8">
        <v>20</v>
      </c>
      <c r="D338" s="8" t="s">
        <v>63</v>
      </c>
      <c r="E338" s="8" t="s">
        <v>37</v>
      </c>
      <c r="F338" s="8" t="s">
        <v>63</v>
      </c>
      <c r="G338" s="9">
        <v>1200493</v>
      </c>
      <c r="H338" s="10">
        <v>1019388</v>
      </c>
      <c r="I338" s="11">
        <v>45427</v>
      </c>
      <c r="J338" s="12">
        <v>205018</v>
      </c>
      <c r="K338" s="13" t="s">
        <v>881</v>
      </c>
      <c r="L338" s="14" t="s">
        <v>47</v>
      </c>
      <c r="M338" s="11" t="s">
        <v>21</v>
      </c>
      <c r="N338" s="14" t="s">
        <v>62</v>
      </c>
      <c r="O338" s="15">
        <v>6818</v>
      </c>
      <c r="P338" s="12">
        <v>1</v>
      </c>
      <c r="Q338" s="13" t="s">
        <v>101</v>
      </c>
      <c r="R338" s="16">
        <v>6117000</v>
      </c>
      <c r="S338" s="17">
        <v>5663889</v>
      </c>
      <c r="T338" s="12">
        <v>0</v>
      </c>
      <c r="U338" s="18">
        <v>0</v>
      </c>
      <c r="V338" s="19">
        <v>0</v>
      </c>
      <c r="W338" s="13" t="s">
        <v>160</v>
      </c>
      <c r="X338" s="14" t="s">
        <v>1558</v>
      </c>
      <c r="Y338" s="13" t="s">
        <v>967</v>
      </c>
      <c r="Z338" s="14">
        <v>21</v>
      </c>
      <c r="AA338" s="17">
        <v>21</v>
      </c>
      <c r="AB338" s="14" t="s">
        <v>224</v>
      </c>
      <c r="AC338" s="17">
        <v>6117000</v>
      </c>
      <c r="AD338" s="14" t="s">
        <v>924</v>
      </c>
      <c r="AE338" s="17">
        <v>5663889</v>
      </c>
      <c r="AF338" s="14" t="s">
        <v>1198</v>
      </c>
      <c r="AG338" s="20" t="s">
        <v>1043</v>
      </c>
      <c r="AH338" s="10">
        <v>4463396</v>
      </c>
      <c r="AI338" s="24" t="str">
        <f>VLOOKUP(Sales[[#This Row],[Store]],'Store lay bao  cao'!A:B,2,0)</f>
        <v>Lấy BC</v>
      </c>
      <c r="AJ338" s="24" t="e">
        <f>VLOOKUP(Sales[[#This Row],[Associate]],'Associate Status'!B:C,2,0)</f>
        <v>#N/A</v>
      </c>
    </row>
    <row r="339" spans="1:36" ht="26.25" x14ac:dyDescent="0.25">
      <c r="A339" s="7">
        <v>2024</v>
      </c>
      <c r="B339" s="8">
        <v>5</v>
      </c>
      <c r="C339" s="8">
        <v>20</v>
      </c>
      <c r="D339" s="8" t="s">
        <v>63</v>
      </c>
      <c r="E339" s="8" t="s">
        <v>37</v>
      </c>
      <c r="F339" s="8" t="s">
        <v>63</v>
      </c>
      <c r="G339" s="9">
        <v>1857529</v>
      </c>
      <c r="H339" s="10">
        <v>1732959.5999999999</v>
      </c>
      <c r="I339" s="11">
        <v>45427</v>
      </c>
      <c r="J339" s="12">
        <v>205016</v>
      </c>
      <c r="K339" s="13" t="s">
        <v>881</v>
      </c>
      <c r="L339" s="14" t="s">
        <v>47</v>
      </c>
      <c r="M339" s="11" t="s">
        <v>21</v>
      </c>
      <c r="N339" s="14" t="s">
        <v>62</v>
      </c>
      <c r="O339" s="15">
        <v>6818</v>
      </c>
      <c r="P339" s="12">
        <v>1</v>
      </c>
      <c r="Q339" s="13" t="s">
        <v>101</v>
      </c>
      <c r="R339" s="16">
        <v>10398000</v>
      </c>
      <c r="S339" s="17">
        <v>9627778</v>
      </c>
      <c r="T339" s="12">
        <v>0</v>
      </c>
      <c r="U339" s="18">
        <v>0</v>
      </c>
      <c r="V339" s="19">
        <v>0</v>
      </c>
      <c r="W339" s="13" t="s">
        <v>160</v>
      </c>
      <c r="X339" s="23" t="s">
        <v>1559</v>
      </c>
      <c r="Y339" s="13" t="s">
        <v>967</v>
      </c>
      <c r="Z339" s="14">
        <v>19</v>
      </c>
      <c r="AA339" s="17">
        <v>21</v>
      </c>
      <c r="AB339" s="23" t="s">
        <v>161</v>
      </c>
      <c r="AC339" s="17">
        <v>10398000</v>
      </c>
      <c r="AD339" s="14" t="s">
        <v>924</v>
      </c>
      <c r="AE339" s="17">
        <v>9627778</v>
      </c>
      <c r="AF339" s="14" t="s">
        <v>1198</v>
      </c>
      <c r="AG339" s="21" t="s">
        <v>1043</v>
      </c>
      <c r="AH339" s="10">
        <v>7770249</v>
      </c>
      <c r="AI339" s="24" t="str">
        <f>VLOOKUP(Sales[[#This Row],[Store]],'Store lay bao  cao'!A:B,2,0)</f>
        <v>Lấy BC</v>
      </c>
      <c r="AJ339" s="24" t="e">
        <f>VLOOKUP(Sales[[#This Row],[Associate]],'Associate Status'!B:C,2,0)</f>
        <v>#N/A</v>
      </c>
    </row>
    <row r="340" spans="1:36" x14ac:dyDescent="0.25">
      <c r="A340" s="7">
        <v>2024</v>
      </c>
      <c r="B340" s="8">
        <v>5</v>
      </c>
      <c r="C340" s="8">
        <v>20</v>
      </c>
      <c r="D340" s="8" t="s">
        <v>33</v>
      </c>
      <c r="E340" s="8" t="s">
        <v>43</v>
      </c>
      <c r="F340" s="8" t="s">
        <v>33</v>
      </c>
      <c r="G340" s="9">
        <v>-7365600</v>
      </c>
      <c r="H340" s="10">
        <v>-7365600.0000000009</v>
      </c>
      <c r="I340" s="11">
        <v>45429</v>
      </c>
      <c r="J340" s="12">
        <v>117959</v>
      </c>
      <c r="K340" s="13" t="s">
        <v>1583</v>
      </c>
      <c r="L340" s="14" t="s">
        <v>19</v>
      </c>
      <c r="M340" s="11" t="s">
        <v>13</v>
      </c>
      <c r="N340" s="14" t="s">
        <v>11</v>
      </c>
      <c r="O340" s="15">
        <v>428</v>
      </c>
      <c r="P340" s="12">
        <v>-1</v>
      </c>
      <c r="Q340" s="13" t="s">
        <v>144</v>
      </c>
      <c r="R340" s="16">
        <v>-7365718.7999999998</v>
      </c>
      <c r="S340" s="17">
        <v>-6820110</v>
      </c>
      <c r="T340" s="12">
        <v>65.55</v>
      </c>
      <c r="U340" s="18">
        <v>-12979890</v>
      </c>
      <c r="V340" s="19">
        <v>-14018281.199999999</v>
      </c>
      <c r="W340" s="13" t="s">
        <v>880</v>
      </c>
      <c r="X340" s="14" t="s">
        <v>335</v>
      </c>
      <c r="Y340" s="13" t="s">
        <v>216</v>
      </c>
      <c r="Z340" s="14" t="s">
        <v>336</v>
      </c>
      <c r="AA340" s="17">
        <v>12</v>
      </c>
      <c r="AB340" s="14" t="s">
        <v>220</v>
      </c>
      <c r="AC340" s="17">
        <v>-21384000</v>
      </c>
      <c r="AD340" s="14">
        <v>12</v>
      </c>
      <c r="AE340" s="17">
        <v>-19800000</v>
      </c>
      <c r="AF340" s="14" t="s">
        <v>117</v>
      </c>
      <c r="AG340" s="20" t="s">
        <v>217</v>
      </c>
      <c r="AH340" s="10">
        <v>545490</v>
      </c>
      <c r="AI340" s="24" t="str">
        <f>VLOOKUP(Sales[[#This Row],[Store]],'Store lay bao  cao'!A:B,2,0)</f>
        <v>Lấy BC</v>
      </c>
      <c r="AJ340" s="24" t="str">
        <f>VLOOKUP(Sales[[#This Row],[Associate]],'Associate Status'!B:C,2,0)</f>
        <v>Retired</v>
      </c>
    </row>
    <row r="341" spans="1:36" x14ac:dyDescent="0.25">
      <c r="A341" s="7">
        <v>2024</v>
      </c>
      <c r="B341" s="8">
        <v>5</v>
      </c>
      <c r="C341" s="8">
        <v>20</v>
      </c>
      <c r="D341" s="8" t="s">
        <v>33</v>
      </c>
      <c r="E341" s="8" t="s">
        <v>43</v>
      </c>
      <c r="F341" s="8" t="s">
        <v>33</v>
      </c>
      <c r="G341" s="9">
        <v>7365600</v>
      </c>
      <c r="H341" s="10">
        <v>7365600.0000000009</v>
      </c>
      <c r="I341" s="11">
        <v>45429</v>
      </c>
      <c r="J341" s="12">
        <v>117959</v>
      </c>
      <c r="K341" s="13" t="s">
        <v>1584</v>
      </c>
      <c r="L341" s="14" t="s">
        <v>19</v>
      </c>
      <c r="M341" s="11" t="s">
        <v>17</v>
      </c>
      <c r="N341" s="14" t="s">
        <v>11</v>
      </c>
      <c r="O341" s="15">
        <v>8190</v>
      </c>
      <c r="P341" s="12">
        <v>1</v>
      </c>
      <c r="Q341" s="13" t="s">
        <v>144</v>
      </c>
      <c r="R341" s="16">
        <v>17107200</v>
      </c>
      <c r="S341" s="17">
        <v>15840000</v>
      </c>
      <c r="T341" s="12">
        <v>20</v>
      </c>
      <c r="U341" s="18">
        <v>3960000</v>
      </c>
      <c r="V341" s="19">
        <v>4276800</v>
      </c>
      <c r="W341" s="13" t="s">
        <v>427</v>
      </c>
      <c r="X341" s="14" t="s">
        <v>335</v>
      </c>
      <c r="Y341" s="13" t="s">
        <v>1423</v>
      </c>
      <c r="Z341" s="14" t="s">
        <v>336</v>
      </c>
      <c r="AA341" s="17">
        <v>13</v>
      </c>
      <c r="AB341" s="14" t="s">
        <v>220</v>
      </c>
      <c r="AC341" s="17">
        <v>21384000</v>
      </c>
      <c r="AD341" s="14">
        <v>12</v>
      </c>
      <c r="AE341" s="17">
        <v>19800000</v>
      </c>
      <c r="AF341" s="14" t="s">
        <v>113</v>
      </c>
      <c r="AG341" s="21" t="s">
        <v>1424</v>
      </c>
      <c r="AH341" s="10">
        <v>8474400</v>
      </c>
      <c r="AI341" s="24" t="str">
        <f>VLOOKUP(Sales[[#This Row],[Store]],'Store lay bao  cao'!A:B,2,0)</f>
        <v>Lấy BC</v>
      </c>
      <c r="AJ341" s="24" t="str">
        <f>VLOOKUP(Sales[[#This Row],[Associate]],'Associate Status'!B:C,2,0)</f>
        <v>Active</v>
      </c>
    </row>
    <row r="342" spans="1:36" x14ac:dyDescent="0.25">
      <c r="A342" s="7">
        <v>2024</v>
      </c>
      <c r="B342" s="8">
        <v>5</v>
      </c>
      <c r="C342" s="8">
        <v>20</v>
      </c>
      <c r="D342" s="8" t="s">
        <v>63</v>
      </c>
      <c r="E342" s="8" t="s">
        <v>37</v>
      </c>
      <c r="F342" s="8" t="s">
        <v>63</v>
      </c>
      <c r="G342" s="9">
        <v>1363267</v>
      </c>
      <c r="H342" s="10">
        <v>1223265.5999999999</v>
      </c>
      <c r="I342" s="11">
        <v>45430</v>
      </c>
      <c r="J342" s="12">
        <v>205004</v>
      </c>
      <c r="K342" s="13" t="s">
        <v>883</v>
      </c>
      <c r="L342" s="14" t="s">
        <v>47</v>
      </c>
      <c r="M342" s="11" t="s">
        <v>21</v>
      </c>
      <c r="N342" s="14" t="s">
        <v>62</v>
      </c>
      <c r="O342" s="15">
        <v>6834</v>
      </c>
      <c r="P342" s="12">
        <v>1</v>
      </c>
      <c r="Q342" s="13" t="s">
        <v>101</v>
      </c>
      <c r="R342" s="16">
        <v>7340000</v>
      </c>
      <c r="S342" s="17">
        <v>6796296</v>
      </c>
      <c r="T342" s="12">
        <v>0</v>
      </c>
      <c r="U342" s="18">
        <v>0</v>
      </c>
      <c r="V342" s="19">
        <v>0</v>
      </c>
      <c r="W342" s="13" t="s">
        <v>160</v>
      </c>
      <c r="X342" s="14" t="s">
        <v>903</v>
      </c>
      <c r="Y342" s="13" t="s">
        <v>967</v>
      </c>
      <c r="Z342" s="14">
        <v>7</v>
      </c>
      <c r="AA342" s="17">
        <v>21</v>
      </c>
      <c r="AB342" s="14" t="s">
        <v>194</v>
      </c>
      <c r="AC342" s="17">
        <v>7340000</v>
      </c>
      <c r="AD342" s="14" t="s">
        <v>924</v>
      </c>
      <c r="AE342" s="17">
        <v>6796296</v>
      </c>
      <c r="AF342" s="14" t="s">
        <v>132</v>
      </c>
      <c r="AG342" s="20" t="s">
        <v>1043</v>
      </c>
      <c r="AH342" s="10">
        <v>5433029</v>
      </c>
      <c r="AI342" s="24" t="str">
        <f>VLOOKUP(Sales[[#This Row],[Store]],'Store lay bao  cao'!A:B,2,0)</f>
        <v>Lấy BC</v>
      </c>
      <c r="AJ342" s="24" t="str">
        <f>VLOOKUP(Sales[[#This Row],[Associate]],'Associate Status'!B:C,2,0)</f>
        <v>Retired</v>
      </c>
    </row>
    <row r="343" spans="1:36" ht="26.25" x14ac:dyDescent="0.25">
      <c r="A343" s="7">
        <v>2024</v>
      </c>
      <c r="B343" s="8">
        <v>5</v>
      </c>
      <c r="C343" s="8">
        <v>20</v>
      </c>
      <c r="D343" s="8" t="s">
        <v>63</v>
      </c>
      <c r="E343" s="8" t="s">
        <v>37</v>
      </c>
      <c r="F343" s="8" t="s">
        <v>63</v>
      </c>
      <c r="G343" s="9">
        <v>1836333</v>
      </c>
      <c r="H343" s="10">
        <v>1732959.5999999999</v>
      </c>
      <c r="I343" s="11">
        <v>45430</v>
      </c>
      <c r="J343" s="12">
        <v>204998</v>
      </c>
      <c r="K343" s="13" t="s">
        <v>882</v>
      </c>
      <c r="L343" s="14" t="s">
        <v>47</v>
      </c>
      <c r="M343" s="11" t="s">
        <v>21</v>
      </c>
      <c r="N343" s="14" t="s">
        <v>62</v>
      </c>
      <c r="O343" s="15">
        <v>6833</v>
      </c>
      <c r="P343" s="12">
        <v>1</v>
      </c>
      <c r="Q343" s="13" t="s">
        <v>101</v>
      </c>
      <c r="R343" s="16">
        <v>10398000</v>
      </c>
      <c r="S343" s="17">
        <v>9627778</v>
      </c>
      <c r="T343" s="12">
        <v>0</v>
      </c>
      <c r="U343" s="18">
        <v>0</v>
      </c>
      <c r="V343" s="19">
        <v>0</v>
      </c>
      <c r="W343" s="13" t="s">
        <v>160</v>
      </c>
      <c r="X343" s="23" t="s">
        <v>1515</v>
      </c>
      <c r="Y343" s="13" t="s">
        <v>103</v>
      </c>
      <c r="Z343" s="14">
        <v>1</v>
      </c>
      <c r="AA343" s="17">
        <v>20</v>
      </c>
      <c r="AB343" s="14" t="s">
        <v>190</v>
      </c>
      <c r="AC343" s="17">
        <v>10398000</v>
      </c>
      <c r="AD343" s="14" t="s">
        <v>924</v>
      </c>
      <c r="AE343" s="17">
        <v>9627778</v>
      </c>
      <c r="AF343" s="14" t="s">
        <v>379</v>
      </c>
      <c r="AG343" s="21"/>
      <c r="AH343" s="10">
        <v>7791445</v>
      </c>
      <c r="AI343" s="24" t="str">
        <f>VLOOKUP(Sales[[#This Row],[Store]],'Store lay bao  cao'!A:B,2,0)</f>
        <v>Lấy BC</v>
      </c>
      <c r="AJ343" s="24" t="str">
        <f>VLOOKUP(Sales[[#This Row],[Associate]],'Associate Status'!B:C,2,0)</f>
        <v>Retired</v>
      </c>
    </row>
    <row r="344" spans="1:36" x14ac:dyDescent="0.25">
      <c r="A344" s="7">
        <v>2024</v>
      </c>
      <c r="B344" s="8">
        <v>5</v>
      </c>
      <c r="C344" s="8">
        <v>21</v>
      </c>
      <c r="D344" s="8" t="s">
        <v>52</v>
      </c>
      <c r="E344" s="8" t="s">
        <v>43</v>
      </c>
      <c r="F344" s="8" t="s">
        <v>52</v>
      </c>
      <c r="G344" s="9">
        <v>8170398</v>
      </c>
      <c r="H344" s="10">
        <v>6914400</v>
      </c>
      <c r="I344" s="11">
        <v>45432</v>
      </c>
      <c r="J344" s="12">
        <v>186488</v>
      </c>
      <c r="K344" s="13" t="s">
        <v>1585</v>
      </c>
      <c r="L344" s="14" t="s">
        <v>19</v>
      </c>
      <c r="M344" s="11" t="s">
        <v>28</v>
      </c>
      <c r="N344" s="14" t="s">
        <v>11</v>
      </c>
      <c r="O344" s="15">
        <v>1633</v>
      </c>
      <c r="P344" s="12">
        <v>1</v>
      </c>
      <c r="Q344" s="13" t="s">
        <v>144</v>
      </c>
      <c r="R344" s="16">
        <v>21348400</v>
      </c>
      <c r="S344" s="17">
        <v>19767037</v>
      </c>
      <c r="T344" s="12">
        <v>5</v>
      </c>
      <c r="U344" s="18">
        <v>1040370</v>
      </c>
      <c r="V344" s="19">
        <v>1123600</v>
      </c>
      <c r="W344" s="13" t="s">
        <v>1225</v>
      </c>
      <c r="X344" s="14" t="s">
        <v>1586</v>
      </c>
      <c r="Y344" s="13" t="s">
        <v>251</v>
      </c>
      <c r="Z344" s="14" t="s">
        <v>1587</v>
      </c>
      <c r="AA344" s="17">
        <v>16</v>
      </c>
      <c r="AB344" s="14" t="s">
        <v>1306</v>
      </c>
      <c r="AC344" s="17">
        <v>22472000</v>
      </c>
      <c r="AD344" s="14" t="s">
        <v>1588</v>
      </c>
      <c r="AE344" s="17">
        <v>20807407</v>
      </c>
      <c r="AF344" s="14" t="s">
        <v>121</v>
      </c>
      <c r="AG344" s="20" t="s">
        <v>252</v>
      </c>
      <c r="AH344" s="10">
        <v>11596639</v>
      </c>
      <c r="AI344" s="24" t="str">
        <f>VLOOKUP(Sales[[#This Row],[Store]],'Store lay bao  cao'!A:B,2,0)</f>
        <v>Lấy BC</v>
      </c>
      <c r="AJ344" s="24" t="str">
        <f>VLOOKUP(Sales[[#This Row],[Associate]],'Associate Status'!B:C,2,0)</f>
        <v>Active</v>
      </c>
    </row>
    <row r="345" spans="1:36" x14ac:dyDescent="0.25">
      <c r="A345" s="7">
        <v>2024</v>
      </c>
      <c r="B345" s="8">
        <v>5</v>
      </c>
      <c r="C345" s="8">
        <v>22</v>
      </c>
      <c r="D345" s="8" t="s">
        <v>60</v>
      </c>
      <c r="E345" s="8" t="s">
        <v>34</v>
      </c>
      <c r="F345" s="8" t="s">
        <v>60</v>
      </c>
      <c r="G345" s="9">
        <v>19623624</v>
      </c>
      <c r="H345" s="10">
        <v>20766240</v>
      </c>
      <c r="I345" s="11">
        <v>45442</v>
      </c>
      <c r="J345" s="12">
        <v>206912</v>
      </c>
      <c r="K345" s="13" t="s">
        <v>1589</v>
      </c>
      <c r="L345" s="14" t="s">
        <v>58</v>
      </c>
      <c r="M345" s="11" t="s">
        <v>17</v>
      </c>
      <c r="N345" s="14" t="s">
        <v>11</v>
      </c>
      <c r="O345" s="15">
        <v>8226</v>
      </c>
      <c r="P345" s="12">
        <v>1</v>
      </c>
      <c r="Q345" s="13" t="s">
        <v>144</v>
      </c>
      <c r="R345" s="16">
        <v>56990000</v>
      </c>
      <c r="S345" s="17">
        <v>52768519</v>
      </c>
      <c r="T345" s="12">
        <v>0</v>
      </c>
      <c r="U345" s="18">
        <v>0</v>
      </c>
      <c r="V345" s="19">
        <v>0</v>
      </c>
      <c r="W345" s="13" t="s">
        <v>140</v>
      </c>
      <c r="X345" s="14" t="s">
        <v>1590</v>
      </c>
      <c r="Y345" s="13" t="s">
        <v>267</v>
      </c>
      <c r="Z345" s="14" t="s">
        <v>1591</v>
      </c>
      <c r="AA345" s="17">
        <v>17</v>
      </c>
      <c r="AB345" s="14" t="s">
        <v>1592</v>
      </c>
      <c r="AC345" s="17">
        <v>56990000</v>
      </c>
      <c r="AD345" s="14">
        <v>0</v>
      </c>
      <c r="AE345" s="17">
        <v>52768519</v>
      </c>
      <c r="AF345" s="14" t="s">
        <v>846</v>
      </c>
      <c r="AG345" s="21" t="s">
        <v>268</v>
      </c>
      <c r="AH345" s="10">
        <v>33144895</v>
      </c>
      <c r="AI345" s="24" t="str">
        <f>VLOOKUP(Sales[[#This Row],[Store]],'Store lay bao  cao'!A:B,2,0)</f>
        <v>Lấy BC</v>
      </c>
      <c r="AJ345" s="24" t="str">
        <f>VLOOKUP(Sales[[#This Row],[Associate]],'Associate Status'!B:C,2,0)</f>
        <v>Active</v>
      </c>
    </row>
    <row r="346" spans="1:36" x14ac:dyDescent="0.25">
      <c r="A346" s="7">
        <v>2024</v>
      </c>
      <c r="B346" s="8">
        <v>6</v>
      </c>
      <c r="C346" s="8">
        <v>22</v>
      </c>
      <c r="D346" s="8" t="s">
        <v>52</v>
      </c>
      <c r="E346" s="8" t="s">
        <v>53</v>
      </c>
      <c r="F346" s="8" t="s">
        <v>52</v>
      </c>
      <c r="G346" s="9">
        <v>2264882.5555555555</v>
      </c>
      <c r="H346" s="10">
        <v>2295000</v>
      </c>
      <c r="I346" s="11">
        <v>45445</v>
      </c>
      <c r="J346" s="12">
        <v>182195</v>
      </c>
      <c r="K346" s="13" t="s">
        <v>626</v>
      </c>
      <c r="L346" s="14" t="s">
        <v>50</v>
      </c>
      <c r="M346" s="11" t="s">
        <v>15</v>
      </c>
      <c r="N346" s="14" t="s">
        <v>11</v>
      </c>
      <c r="O346" s="15">
        <v>4384</v>
      </c>
      <c r="P346" s="12">
        <v>1</v>
      </c>
      <c r="Q346" s="13" t="s">
        <v>175</v>
      </c>
      <c r="R346" s="16">
        <v>7344000</v>
      </c>
      <c r="S346" s="17">
        <v>6800000</v>
      </c>
      <c r="T346" s="12">
        <v>0</v>
      </c>
      <c r="U346" s="18">
        <v>0</v>
      </c>
      <c r="V346" s="19">
        <v>0</v>
      </c>
      <c r="W346" s="13" t="s">
        <v>104</v>
      </c>
      <c r="X346" s="14" t="s">
        <v>1595</v>
      </c>
      <c r="Y346" s="13" t="s">
        <v>171</v>
      </c>
      <c r="Z346" s="14" t="s">
        <v>1596</v>
      </c>
      <c r="AA346" s="17">
        <v>10</v>
      </c>
      <c r="AB346" s="14" t="s">
        <v>1597</v>
      </c>
      <c r="AC346" s="17">
        <v>7344000</v>
      </c>
      <c r="AD346" s="14" t="s">
        <v>108</v>
      </c>
      <c r="AE346" s="17">
        <v>6800000</v>
      </c>
      <c r="AF346" s="14" t="s">
        <v>2594</v>
      </c>
      <c r="AG346" s="20" t="s">
        <v>172</v>
      </c>
      <c r="AH346" s="10">
        <v>4535117.444444444</v>
      </c>
      <c r="AI346" s="24" t="str">
        <f>VLOOKUP(Sales[[#This Row],[Store]],'Store lay bao  cao'!A:B,2,0)</f>
        <v>Lấy BC</v>
      </c>
      <c r="AJ346" s="24" t="e">
        <f>VLOOKUP(Sales[[#This Row],[Associate]],'Associate Status'!B:C,2,0)</f>
        <v>#N/A</v>
      </c>
    </row>
    <row r="347" spans="1:36" x14ac:dyDescent="0.25">
      <c r="A347" s="7">
        <v>2024</v>
      </c>
      <c r="B347" s="8">
        <v>6</v>
      </c>
      <c r="C347" s="8">
        <v>22</v>
      </c>
      <c r="D347" s="8" t="s">
        <v>52</v>
      </c>
      <c r="E347" s="8" t="s">
        <v>53</v>
      </c>
      <c r="F347" s="8" t="s">
        <v>52</v>
      </c>
      <c r="G347" s="9">
        <v>3383734</v>
      </c>
      <c r="H347" s="10">
        <v>3435750</v>
      </c>
      <c r="I347" s="11">
        <v>45445</v>
      </c>
      <c r="J347" s="12">
        <v>182206</v>
      </c>
      <c r="K347" s="13" t="s">
        <v>626</v>
      </c>
      <c r="L347" s="14" t="s">
        <v>50</v>
      </c>
      <c r="M347" s="11" t="s">
        <v>15</v>
      </c>
      <c r="N347" s="14" t="s">
        <v>11</v>
      </c>
      <c r="O347" s="15">
        <v>4384</v>
      </c>
      <c r="P347" s="12">
        <v>1</v>
      </c>
      <c r="Q347" s="13" t="s">
        <v>175</v>
      </c>
      <c r="R347" s="16">
        <v>10995000</v>
      </c>
      <c r="S347" s="17">
        <v>10180556</v>
      </c>
      <c r="T347" s="12">
        <v>0</v>
      </c>
      <c r="U347" s="18">
        <v>0</v>
      </c>
      <c r="V347" s="19">
        <v>0</v>
      </c>
      <c r="W347" s="13" t="s">
        <v>104</v>
      </c>
      <c r="X347" s="14" t="s">
        <v>1342</v>
      </c>
      <c r="Y347" s="13" t="s">
        <v>171</v>
      </c>
      <c r="Z347" s="14" t="s">
        <v>1343</v>
      </c>
      <c r="AA347" s="17">
        <v>10</v>
      </c>
      <c r="AB347" s="14" t="s">
        <v>1344</v>
      </c>
      <c r="AC347" s="17">
        <v>10995000</v>
      </c>
      <c r="AD347" s="14" t="s">
        <v>108</v>
      </c>
      <c r="AE347" s="17">
        <v>10180556</v>
      </c>
      <c r="AF347" s="14" t="s">
        <v>2594</v>
      </c>
      <c r="AG347" s="21" t="s">
        <v>172</v>
      </c>
      <c r="AH347" s="10">
        <v>6796822</v>
      </c>
      <c r="AI347" s="24" t="str">
        <f>VLOOKUP(Sales[[#This Row],[Store]],'Store lay bao  cao'!A:B,2,0)</f>
        <v>Lấy BC</v>
      </c>
      <c r="AJ347" s="24" t="e">
        <f>VLOOKUP(Sales[[#This Row],[Associate]],'Associate Status'!B:C,2,0)</f>
        <v>#N/A</v>
      </c>
    </row>
    <row r="348" spans="1:36" x14ac:dyDescent="0.25">
      <c r="A348" s="7">
        <v>2024</v>
      </c>
      <c r="B348" s="8">
        <v>6</v>
      </c>
      <c r="C348" s="8">
        <v>22</v>
      </c>
      <c r="D348" s="8" t="s">
        <v>63</v>
      </c>
      <c r="E348" s="8" t="s">
        <v>43</v>
      </c>
      <c r="F348" s="8" t="s">
        <v>63</v>
      </c>
      <c r="G348" s="9">
        <v>65429824</v>
      </c>
      <c r="H348" s="10">
        <v>66467500</v>
      </c>
      <c r="I348" s="11">
        <v>45445</v>
      </c>
      <c r="J348" s="12">
        <v>205069</v>
      </c>
      <c r="K348" s="13" t="s">
        <v>626</v>
      </c>
      <c r="L348" s="14" t="s">
        <v>55</v>
      </c>
      <c r="M348" s="11" t="s">
        <v>15</v>
      </c>
      <c r="N348" s="14" t="s">
        <v>62</v>
      </c>
      <c r="O348" s="15">
        <v>4384</v>
      </c>
      <c r="P348" s="12">
        <v>1</v>
      </c>
      <c r="Q348" s="13" t="s">
        <v>175</v>
      </c>
      <c r="R348" s="16">
        <v>168000000</v>
      </c>
      <c r="S348" s="17">
        <v>155555556</v>
      </c>
      <c r="T348" s="12">
        <v>0</v>
      </c>
      <c r="U348" s="18">
        <v>0</v>
      </c>
      <c r="V348" s="19">
        <v>0</v>
      </c>
      <c r="W348" s="13" t="s">
        <v>104</v>
      </c>
      <c r="X348" s="14" t="s">
        <v>1598</v>
      </c>
      <c r="Y348" s="13" t="s">
        <v>171</v>
      </c>
      <c r="Z348" s="14" t="s">
        <v>1599</v>
      </c>
      <c r="AA348" s="17">
        <v>10</v>
      </c>
      <c r="AB348" s="14" t="s">
        <v>1600</v>
      </c>
      <c r="AC348" s="17">
        <v>168000000</v>
      </c>
      <c r="AD348" s="14">
        <v>13</v>
      </c>
      <c r="AE348" s="17">
        <v>155555556</v>
      </c>
      <c r="AF348" s="14" t="s">
        <v>2594</v>
      </c>
      <c r="AG348" s="20" t="s">
        <v>172</v>
      </c>
      <c r="AH348" s="10">
        <v>90125732</v>
      </c>
      <c r="AI348" s="24" t="str">
        <f>VLOOKUP(Sales[[#This Row],[Store]],'Store lay bao  cao'!A:B,2,0)</f>
        <v>Lấy BC</v>
      </c>
      <c r="AJ348" s="24" t="e">
        <f>VLOOKUP(Sales[[#This Row],[Associate]],'Associate Status'!B:C,2,0)</f>
        <v>#N/A</v>
      </c>
    </row>
    <row r="349" spans="1:36" x14ac:dyDescent="0.25">
      <c r="A349" s="7">
        <v>2024</v>
      </c>
      <c r="B349" s="8">
        <v>6</v>
      </c>
      <c r="C349" s="8">
        <v>22</v>
      </c>
      <c r="D349" s="8" t="s">
        <v>60</v>
      </c>
      <c r="E349" s="8" t="s">
        <v>43</v>
      </c>
      <c r="F349" s="8" t="s">
        <v>60</v>
      </c>
      <c r="G349" s="9">
        <v>4655985</v>
      </c>
      <c r="H349" s="10">
        <v>4332000</v>
      </c>
      <c r="I349" s="11">
        <v>45445</v>
      </c>
      <c r="J349" s="12">
        <v>208237</v>
      </c>
      <c r="K349" s="13" t="s">
        <v>884</v>
      </c>
      <c r="L349" s="14" t="s">
        <v>50</v>
      </c>
      <c r="M349" s="11" t="s">
        <v>21</v>
      </c>
      <c r="N349" s="14" t="s">
        <v>11</v>
      </c>
      <c r="O349" s="15">
        <v>6910</v>
      </c>
      <c r="P349" s="12">
        <v>1</v>
      </c>
      <c r="Q349" s="13" t="s">
        <v>101</v>
      </c>
      <c r="R349" s="16">
        <v>13863000</v>
      </c>
      <c r="S349" s="17">
        <v>12836111</v>
      </c>
      <c r="T349" s="12">
        <v>0</v>
      </c>
      <c r="U349" s="18">
        <v>0</v>
      </c>
      <c r="V349" s="19">
        <v>0</v>
      </c>
      <c r="W349" s="13" t="s">
        <v>160</v>
      </c>
      <c r="X349" s="14" t="s">
        <v>1601</v>
      </c>
      <c r="Y349" s="13" t="s">
        <v>316</v>
      </c>
      <c r="Z349" s="14" t="s">
        <v>1602</v>
      </c>
      <c r="AA349" s="17">
        <v>21</v>
      </c>
      <c r="AB349" s="14" t="s">
        <v>1603</v>
      </c>
      <c r="AC349" s="17">
        <v>13863000</v>
      </c>
      <c r="AD349" s="14">
        <v>13</v>
      </c>
      <c r="AE349" s="17">
        <v>12836111</v>
      </c>
      <c r="AF349" s="14" t="s">
        <v>540</v>
      </c>
      <c r="AG349" s="21" t="s">
        <v>317</v>
      </c>
      <c r="AH349" s="10">
        <v>8180126</v>
      </c>
      <c r="AI349" s="24" t="str">
        <f>VLOOKUP(Sales[[#This Row],[Store]],'Store lay bao  cao'!A:B,2,0)</f>
        <v>Lấy BC</v>
      </c>
      <c r="AJ349" s="24" t="str">
        <f>VLOOKUP(Sales[[#This Row],[Associate]],'Associate Status'!B:C,2,0)</f>
        <v>Active</v>
      </c>
    </row>
    <row r="350" spans="1:36" x14ac:dyDescent="0.25">
      <c r="A350" s="7">
        <v>2024</v>
      </c>
      <c r="B350" s="8">
        <v>6</v>
      </c>
      <c r="C350" s="8">
        <v>23</v>
      </c>
      <c r="D350" s="8" t="s">
        <v>60</v>
      </c>
      <c r="E350" s="8" t="s">
        <v>34</v>
      </c>
      <c r="F350" s="8" t="s">
        <v>60</v>
      </c>
      <c r="G350" s="9">
        <v>3431521</v>
      </c>
      <c r="H350" s="10">
        <v>3192000</v>
      </c>
      <c r="I350" s="11">
        <v>45448</v>
      </c>
      <c r="J350" s="12">
        <v>208319</v>
      </c>
      <c r="K350" s="13" t="s">
        <v>629</v>
      </c>
      <c r="L350" s="14" t="s">
        <v>50</v>
      </c>
      <c r="M350" s="11" t="s">
        <v>15</v>
      </c>
      <c r="N350" s="14" t="s">
        <v>11</v>
      </c>
      <c r="O350" s="15">
        <v>4416</v>
      </c>
      <c r="P350" s="12">
        <v>1</v>
      </c>
      <c r="Q350" s="13" t="s">
        <v>101</v>
      </c>
      <c r="R350" s="16">
        <v>10215000</v>
      </c>
      <c r="S350" s="17">
        <v>9458333</v>
      </c>
      <c r="T350" s="12">
        <v>0</v>
      </c>
      <c r="U350" s="18">
        <v>0</v>
      </c>
      <c r="V350" s="19">
        <v>0</v>
      </c>
      <c r="W350" s="13" t="s">
        <v>104</v>
      </c>
      <c r="X350" s="14" t="s">
        <v>1604</v>
      </c>
      <c r="Y350" s="13" t="s">
        <v>913</v>
      </c>
      <c r="Z350" s="14" t="s">
        <v>945</v>
      </c>
      <c r="AA350" s="17">
        <v>17</v>
      </c>
      <c r="AB350" s="14" t="s">
        <v>161</v>
      </c>
      <c r="AC350" s="17">
        <v>10215000</v>
      </c>
      <c r="AD350" s="14" t="s">
        <v>108</v>
      </c>
      <c r="AE350" s="17">
        <v>9458333</v>
      </c>
      <c r="AF350" s="14" t="s">
        <v>2595</v>
      </c>
      <c r="AG350" s="20" t="s">
        <v>914</v>
      </c>
      <c r="AH350" s="10">
        <v>6026812</v>
      </c>
      <c r="AI350" s="24" t="str">
        <f>VLOOKUP(Sales[[#This Row],[Store]],'Store lay bao  cao'!A:B,2,0)</f>
        <v>Lấy BC</v>
      </c>
      <c r="AJ350" s="24" t="e">
        <f>VLOOKUP(Sales[[#This Row],[Associate]],'Associate Status'!B:C,2,0)</f>
        <v>#N/A</v>
      </c>
    </row>
    <row r="351" spans="1:36" x14ac:dyDescent="0.25">
      <c r="A351" s="7">
        <v>2024</v>
      </c>
      <c r="B351" s="8">
        <v>6</v>
      </c>
      <c r="C351" s="8">
        <v>23</v>
      </c>
      <c r="D351" s="8" t="s">
        <v>60</v>
      </c>
      <c r="E351" s="8" t="s">
        <v>37</v>
      </c>
      <c r="F351" s="8" t="s">
        <v>60</v>
      </c>
      <c r="G351" s="9">
        <v>3651924</v>
      </c>
      <c r="H351" s="10">
        <v>3397200</v>
      </c>
      <c r="I351" s="11">
        <v>45451</v>
      </c>
      <c r="J351" s="12">
        <v>208314</v>
      </c>
      <c r="K351" s="13" t="s">
        <v>1605</v>
      </c>
      <c r="L351" s="14" t="s">
        <v>50</v>
      </c>
      <c r="M351" s="11" t="s">
        <v>28</v>
      </c>
      <c r="N351" s="14" t="s">
        <v>11</v>
      </c>
      <c r="O351" s="15">
        <v>1706</v>
      </c>
      <c r="P351" s="12">
        <v>1</v>
      </c>
      <c r="Q351" s="13" t="s">
        <v>101</v>
      </c>
      <c r="R351" s="16">
        <v>9784800</v>
      </c>
      <c r="S351" s="17">
        <v>9060000</v>
      </c>
      <c r="T351" s="12">
        <v>10</v>
      </c>
      <c r="U351" s="18">
        <v>1006667</v>
      </c>
      <c r="V351" s="19">
        <v>1087200</v>
      </c>
      <c r="W351" s="13" t="s">
        <v>157</v>
      </c>
      <c r="X351" s="14" t="s">
        <v>1606</v>
      </c>
      <c r="Y351" s="13" t="s">
        <v>365</v>
      </c>
      <c r="Z351" s="14" t="s">
        <v>1607</v>
      </c>
      <c r="AA351" s="17">
        <v>17</v>
      </c>
      <c r="AB351" s="14" t="s">
        <v>161</v>
      </c>
      <c r="AC351" s="17">
        <v>10872000</v>
      </c>
      <c r="AD351" s="14" t="s">
        <v>108</v>
      </c>
      <c r="AE351" s="17">
        <v>10066667</v>
      </c>
      <c r="AF351" s="14" t="s">
        <v>121</v>
      </c>
      <c r="AG351" s="21" t="s">
        <v>366</v>
      </c>
      <c r="AH351" s="10">
        <v>5408076</v>
      </c>
      <c r="AI351" s="24" t="str">
        <f>VLOOKUP(Sales[[#This Row],[Store]],'Store lay bao  cao'!A:B,2,0)</f>
        <v>Lấy BC</v>
      </c>
      <c r="AJ351" s="24" t="str">
        <f>VLOOKUP(Sales[[#This Row],[Associate]],'Associate Status'!B:C,2,0)</f>
        <v>Active</v>
      </c>
    </row>
    <row r="352" spans="1:36" x14ac:dyDescent="0.25">
      <c r="A352" s="7">
        <v>2024</v>
      </c>
      <c r="B352" s="8">
        <v>6</v>
      </c>
      <c r="C352" s="8">
        <v>23</v>
      </c>
      <c r="D352" s="8" t="s">
        <v>52</v>
      </c>
      <c r="E352" s="8" t="s">
        <v>34</v>
      </c>
      <c r="F352" s="8" t="s">
        <v>52</v>
      </c>
      <c r="G352" s="9">
        <v>2847756</v>
      </c>
      <c r="H352" s="10">
        <v>2565000</v>
      </c>
      <c r="I352" s="11">
        <v>45451</v>
      </c>
      <c r="J352" s="12">
        <v>182260</v>
      </c>
      <c r="K352" s="13" t="s">
        <v>1608</v>
      </c>
      <c r="L352" s="14" t="s">
        <v>50</v>
      </c>
      <c r="M352" s="11" t="s">
        <v>28</v>
      </c>
      <c r="N352" s="14" t="s">
        <v>11</v>
      </c>
      <c r="O352" s="15">
        <v>1708</v>
      </c>
      <c r="P352" s="12">
        <v>1</v>
      </c>
      <c r="Q352" s="13" t="s">
        <v>102</v>
      </c>
      <c r="R352" s="16">
        <v>8208000</v>
      </c>
      <c r="S352" s="17">
        <v>7600000</v>
      </c>
      <c r="T352" s="12">
        <v>0</v>
      </c>
      <c r="U352" s="18">
        <v>0</v>
      </c>
      <c r="V352" s="19">
        <v>0</v>
      </c>
      <c r="W352" s="13" t="s">
        <v>1218</v>
      </c>
      <c r="X352" s="14" t="s">
        <v>1609</v>
      </c>
      <c r="Y352" s="13" t="s">
        <v>304</v>
      </c>
      <c r="Z352" s="14" t="s">
        <v>1610</v>
      </c>
      <c r="AA352" s="17">
        <v>19</v>
      </c>
      <c r="AB352" s="14" t="s">
        <v>1075</v>
      </c>
      <c r="AC352" s="17">
        <v>8208000</v>
      </c>
      <c r="AD352" s="14" t="s">
        <v>108</v>
      </c>
      <c r="AE352" s="17">
        <v>7600000</v>
      </c>
      <c r="AF352" s="14" t="s">
        <v>1157</v>
      </c>
      <c r="AG352" s="20" t="s">
        <v>305</v>
      </c>
      <c r="AH352" s="10">
        <v>4752244</v>
      </c>
      <c r="AI352" s="24" t="str">
        <f>VLOOKUP(Sales[[#This Row],[Store]],'Store lay bao  cao'!A:B,2,0)</f>
        <v>Lấy BC</v>
      </c>
      <c r="AJ352" s="24" t="e">
        <f>VLOOKUP(Sales[[#This Row],[Associate]],'Associate Status'!B:C,2,0)</f>
        <v>#N/A</v>
      </c>
    </row>
    <row r="353" spans="1:36" x14ac:dyDescent="0.25">
      <c r="A353" s="7">
        <v>2024</v>
      </c>
      <c r="B353" s="8">
        <v>6</v>
      </c>
      <c r="C353" s="8">
        <v>23</v>
      </c>
      <c r="D353" s="8" t="s">
        <v>52</v>
      </c>
      <c r="E353" s="8" t="s">
        <v>53</v>
      </c>
      <c r="F353" s="8" t="s">
        <v>52</v>
      </c>
      <c r="G353" s="9">
        <v>3383434</v>
      </c>
      <c r="H353" s="10">
        <v>3435750</v>
      </c>
      <c r="I353" s="11">
        <v>45451</v>
      </c>
      <c r="J353" s="12">
        <v>182205</v>
      </c>
      <c r="K353" s="13" t="s">
        <v>1611</v>
      </c>
      <c r="L353" s="14" t="s">
        <v>50</v>
      </c>
      <c r="M353" s="11" t="s">
        <v>17</v>
      </c>
      <c r="N353" s="14" t="s">
        <v>11</v>
      </c>
      <c r="O353" s="15">
        <v>8266</v>
      </c>
      <c r="P353" s="12">
        <v>1</v>
      </c>
      <c r="Q353" s="13" t="s">
        <v>101</v>
      </c>
      <c r="R353" s="16">
        <v>10995000</v>
      </c>
      <c r="S353" s="17">
        <v>10180556</v>
      </c>
      <c r="T353" s="12">
        <v>0</v>
      </c>
      <c r="U353" s="18">
        <v>0</v>
      </c>
      <c r="V353" s="19">
        <v>0</v>
      </c>
      <c r="W353" s="13" t="s">
        <v>140</v>
      </c>
      <c r="X353" s="14" t="s">
        <v>1212</v>
      </c>
      <c r="Y353" s="13" t="s">
        <v>1612</v>
      </c>
      <c r="Z353" s="14" t="s">
        <v>1213</v>
      </c>
      <c r="AA353" s="17">
        <v>16</v>
      </c>
      <c r="AB353" s="14" t="s">
        <v>1214</v>
      </c>
      <c r="AC353" s="17">
        <v>10995000</v>
      </c>
      <c r="AD353" s="14" t="s">
        <v>108</v>
      </c>
      <c r="AE353" s="17">
        <v>10180556</v>
      </c>
      <c r="AF353" s="14" t="s">
        <v>846</v>
      </c>
      <c r="AG353" s="21" t="s">
        <v>1613</v>
      </c>
      <c r="AH353" s="10">
        <v>6797122</v>
      </c>
      <c r="AI353" s="24" t="str">
        <f>VLOOKUP(Sales[[#This Row],[Store]],'Store lay bao  cao'!A:B,2,0)</f>
        <v>Lấy BC</v>
      </c>
      <c r="AJ353" s="24" t="str">
        <f>VLOOKUP(Sales[[#This Row],[Associate]],'Associate Status'!B:C,2,0)</f>
        <v>Active</v>
      </c>
    </row>
    <row r="354" spans="1:36" x14ac:dyDescent="0.25">
      <c r="A354" s="7">
        <v>2024</v>
      </c>
      <c r="B354" s="8">
        <v>6</v>
      </c>
      <c r="C354" s="8">
        <v>23</v>
      </c>
      <c r="D354" s="8" t="s">
        <v>60</v>
      </c>
      <c r="E354" s="8" t="s">
        <v>34</v>
      </c>
      <c r="F354" s="8" t="s">
        <v>60</v>
      </c>
      <c r="G354" s="9">
        <v>59243382</v>
      </c>
      <c r="H354" s="10">
        <v>57344375</v>
      </c>
      <c r="I354" s="11">
        <v>45452</v>
      </c>
      <c r="J354" s="12">
        <v>205084</v>
      </c>
      <c r="K354" s="13" t="s">
        <v>631</v>
      </c>
      <c r="L354" s="14" t="s">
        <v>64</v>
      </c>
      <c r="M354" s="11" t="s">
        <v>15</v>
      </c>
      <c r="N354" s="14" t="s">
        <v>62</v>
      </c>
      <c r="O354" s="15">
        <v>4432</v>
      </c>
      <c r="P354" s="12">
        <v>1</v>
      </c>
      <c r="Q354" s="13" t="s">
        <v>144</v>
      </c>
      <c r="R354" s="16">
        <v>143820000</v>
      </c>
      <c r="S354" s="17">
        <v>133166667</v>
      </c>
      <c r="T354" s="12">
        <v>0</v>
      </c>
      <c r="U354" s="18">
        <v>0</v>
      </c>
      <c r="V354" s="19">
        <v>0</v>
      </c>
      <c r="W354" s="13" t="s">
        <v>135</v>
      </c>
      <c r="X354" s="14" t="s">
        <v>1614</v>
      </c>
      <c r="Y354" s="13" t="s">
        <v>183</v>
      </c>
      <c r="Z354" s="14" t="s">
        <v>1615</v>
      </c>
      <c r="AA354" s="17">
        <v>15</v>
      </c>
      <c r="AB354" s="14" t="s">
        <v>1126</v>
      </c>
      <c r="AC354" s="17">
        <v>143820000</v>
      </c>
      <c r="AD354" s="14" t="s">
        <v>108</v>
      </c>
      <c r="AE354" s="17">
        <v>133166667</v>
      </c>
      <c r="AF354" s="14" t="s">
        <v>2595</v>
      </c>
      <c r="AG354" s="20" t="s">
        <v>184</v>
      </c>
      <c r="AH354" s="10">
        <v>73923285</v>
      </c>
      <c r="AI354" s="24" t="str">
        <f>VLOOKUP(Sales[[#This Row],[Store]],'Store lay bao  cao'!A:B,2,0)</f>
        <v>Lấy BC</v>
      </c>
      <c r="AJ354" s="24" t="e">
        <f>VLOOKUP(Sales[[#This Row],[Associate]],'Associate Status'!B:C,2,0)</f>
        <v>#N/A</v>
      </c>
    </row>
    <row r="355" spans="1:36" x14ac:dyDescent="0.25">
      <c r="A355" s="7">
        <v>2024</v>
      </c>
      <c r="B355" s="8">
        <v>6</v>
      </c>
      <c r="C355" s="8">
        <v>23</v>
      </c>
      <c r="D355" s="8" t="s">
        <v>60</v>
      </c>
      <c r="E355" s="8" t="s">
        <v>43</v>
      </c>
      <c r="F355" s="8" t="s">
        <v>60</v>
      </c>
      <c r="G355" s="9">
        <v>97079781</v>
      </c>
      <c r="H355" s="10">
        <v>93919375</v>
      </c>
      <c r="I355" s="11">
        <v>45452</v>
      </c>
      <c r="J355" s="12">
        <v>205099</v>
      </c>
      <c r="K355" s="13" t="s">
        <v>631</v>
      </c>
      <c r="L355" s="14" t="s">
        <v>64</v>
      </c>
      <c r="M355" s="11" t="s">
        <v>15</v>
      </c>
      <c r="N355" s="14" t="s">
        <v>62</v>
      </c>
      <c r="O355" s="15">
        <v>4432</v>
      </c>
      <c r="P355" s="12">
        <v>1</v>
      </c>
      <c r="Q355" s="13" t="s">
        <v>144</v>
      </c>
      <c r="R355" s="16">
        <v>235550000</v>
      </c>
      <c r="S355" s="17">
        <v>218101852</v>
      </c>
      <c r="T355" s="12">
        <v>0</v>
      </c>
      <c r="U355" s="18">
        <v>0</v>
      </c>
      <c r="V355" s="19">
        <v>0</v>
      </c>
      <c r="W355" s="13" t="s">
        <v>135</v>
      </c>
      <c r="X355" s="14" t="s">
        <v>1616</v>
      </c>
      <c r="Y355" s="13" t="s">
        <v>183</v>
      </c>
      <c r="Z355" s="14" t="s">
        <v>1617</v>
      </c>
      <c r="AA355" s="17">
        <v>15</v>
      </c>
      <c r="AB355" s="14" t="s">
        <v>1578</v>
      </c>
      <c r="AC355" s="17">
        <v>235550000</v>
      </c>
      <c r="AD355" s="14">
        <v>12</v>
      </c>
      <c r="AE355" s="17">
        <v>218101852</v>
      </c>
      <c r="AF355" s="14" t="s">
        <v>136</v>
      </c>
      <c r="AG355" s="21" t="s">
        <v>184</v>
      </c>
      <c r="AH355" s="10">
        <v>121022071</v>
      </c>
      <c r="AI355" s="24" t="str">
        <f>VLOOKUP(Sales[[#This Row],[Store]],'Store lay bao  cao'!A:B,2,0)</f>
        <v>Lấy BC</v>
      </c>
      <c r="AJ355" s="24" t="str">
        <f>VLOOKUP(Sales[[#This Row],[Associate]],'Associate Status'!B:C,2,0)</f>
        <v>Active</v>
      </c>
    </row>
    <row r="356" spans="1:36" x14ac:dyDescent="0.25">
      <c r="A356" s="7">
        <v>2024</v>
      </c>
      <c r="B356" s="8">
        <v>6</v>
      </c>
      <c r="C356" s="8">
        <v>23</v>
      </c>
      <c r="D356" s="8" t="s">
        <v>63</v>
      </c>
      <c r="E356" s="8" t="s">
        <v>34</v>
      </c>
      <c r="F356" s="8" t="s">
        <v>63</v>
      </c>
      <c r="G356" s="9">
        <v>65899215</v>
      </c>
      <c r="H356" s="10">
        <v>65047500</v>
      </c>
      <c r="I356" s="11">
        <v>45452</v>
      </c>
      <c r="J356" s="12">
        <v>209292</v>
      </c>
      <c r="K356" s="13" t="s">
        <v>1618</v>
      </c>
      <c r="L356" s="14" t="s">
        <v>65</v>
      </c>
      <c r="M356" s="11" t="s">
        <v>17</v>
      </c>
      <c r="N356" s="14" t="s">
        <v>62</v>
      </c>
      <c r="O356" s="15">
        <v>8270</v>
      </c>
      <c r="P356" s="12">
        <v>1</v>
      </c>
      <c r="Q356" s="13" t="s">
        <v>101</v>
      </c>
      <c r="R356" s="16">
        <v>148945500</v>
      </c>
      <c r="S356" s="17">
        <v>137912500</v>
      </c>
      <c r="T356" s="12">
        <v>10</v>
      </c>
      <c r="U356" s="18">
        <v>15323611</v>
      </c>
      <c r="V356" s="19">
        <v>16549500</v>
      </c>
      <c r="W356" s="13" t="s">
        <v>427</v>
      </c>
      <c r="X356" s="14" t="s">
        <v>1619</v>
      </c>
      <c r="Y356" s="13" t="s">
        <v>760</v>
      </c>
      <c r="Z356" s="14" t="s">
        <v>1620</v>
      </c>
      <c r="AA356" s="17">
        <v>16</v>
      </c>
      <c r="AB356" s="14" t="s">
        <v>173</v>
      </c>
      <c r="AC356" s="17">
        <v>165495000</v>
      </c>
      <c r="AD356" s="14" t="s">
        <v>108</v>
      </c>
      <c r="AE356" s="17">
        <v>153236111</v>
      </c>
      <c r="AF356" s="14" t="s">
        <v>540</v>
      </c>
      <c r="AG356" s="20" t="s">
        <v>761</v>
      </c>
      <c r="AH356" s="10">
        <v>72013285</v>
      </c>
      <c r="AI356" s="24" t="str">
        <f>VLOOKUP(Sales[[#This Row],[Store]],'Store lay bao  cao'!A:B,2,0)</f>
        <v>Lấy BC</v>
      </c>
      <c r="AJ356" s="24" t="str">
        <f>VLOOKUP(Sales[[#This Row],[Associate]],'Associate Status'!B:C,2,0)</f>
        <v>Active</v>
      </c>
    </row>
    <row r="357" spans="1:36" x14ac:dyDescent="0.25">
      <c r="A357" s="7">
        <v>2024</v>
      </c>
      <c r="B357" s="8">
        <v>6</v>
      </c>
      <c r="C357" s="8">
        <v>24</v>
      </c>
      <c r="D357" s="8" t="s">
        <v>63</v>
      </c>
      <c r="E357" s="8" t="s">
        <v>43</v>
      </c>
      <c r="F357" s="8" t="s">
        <v>63</v>
      </c>
      <c r="G357" s="9">
        <v>49760632</v>
      </c>
      <c r="H357" s="10">
        <v>49117500</v>
      </c>
      <c r="I357" s="11">
        <v>45453</v>
      </c>
      <c r="J357" s="12">
        <v>209304</v>
      </c>
      <c r="K357" s="13" t="s">
        <v>633</v>
      </c>
      <c r="L357" s="14" t="s">
        <v>65</v>
      </c>
      <c r="M357" s="11" t="s">
        <v>15</v>
      </c>
      <c r="N357" s="14" t="s">
        <v>62</v>
      </c>
      <c r="O357" s="15">
        <v>4442</v>
      </c>
      <c r="P357" s="12">
        <v>1</v>
      </c>
      <c r="Q357" s="13" t="s">
        <v>175</v>
      </c>
      <c r="R357" s="16">
        <v>133045000</v>
      </c>
      <c r="S357" s="17">
        <v>123189815</v>
      </c>
      <c r="T357" s="12">
        <v>0</v>
      </c>
      <c r="U357" s="18">
        <v>0</v>
      </c>
      <c r="V357" s="19">
        <v>0</v>
      </c>
      <c r="W357" s="13" t="s">
        <v>135</v>
      </c>
      <c r="X357" s="14" t="s">
        <v>1621</v>
      </c>
      <c r="Y357" s="13" t="s">
        <v>183</v>
      </c>
      <c r="Z357" s="14" t="s">
        <v>1622</v>
      </c>
      <c r="AA357" s="17">
        <v>15</v>
      </c>
      <c r="AB357" s="14" t="s">
        <v>173</v>
      </c>
      <c r="AC357" s="17">
        <v>133045000</v>
      </c>
      <c r="AD357" s="14">
        <v>54</v>
      </c>
      <c r="AE357" s="17">
        <v>123189815</v>
      </c>
      <c r="AF357" s="14" t="s">
        <v>136</v>
      </c>
      <c r="AG357" s="21" t="s">
        <v>184</v>
      </c>
      <c r="AH357" s="10">
        <v>73429183</v>
      </c>
      <c r="AI357" s="24" t="str">
        <f>VLOOKUP(Sales[[#This Row],[Store]],'Store lay bao  cao'!A:B,2,0)</f>
        <v>Lấy BC</v>
      </c>
      <c r="AJ357" s="24" t="str">
        <f>VLOOKUP(Sales[[#This Row],[Associate]],'Associate Status'!B:C,2,0)</f>
        <v>Active</v>
      </c>
    </row>
    <row r="358" spans="1:36" x14ac:dyDescent="0.25">
      <c r="A358" s="7">
        <v>2024</v>
      </c>
      <c r="B358" s="8">
        <v>6</v>
      </c>
      <c r="C358" s="8">
        <v>24</v>
      </c>
      <c r="D358" s="8" t="s">
        <v>63</v>
      </c>
      <c r="E358" s="8" t="s">
        <v>53</v>
      </c>
      <c r="F358" s="8" t="s">
        <v>63</v>
      </c>
      <c r="G358" s="9">
        <v>100866145</v>
      </c>
      <c r="H358" s="10">
        <v>99562500</v>
      </c>
      <c r="I358" s="11">
        <v>45453</v>
      </c>
      <c r="J358" s="12">
        <v>209305</v>
      </c>
      <c r="K358" s="13" t="s">
        <v>633</v>
      </c>
      <c r="L358" s="14" t="s">
        <v>65</v>
      </c>
      <c r="M358" s="11" t="s">
        <v>15</v>
      </c>
      <c r="N358" s="14" t="s">
        <v>62</v>
      </c>
      <c r="O358" s="15">
        <v>4442</v>
      </c>
      <c r="P358" s="12">
        <v>1</v>
      </c>
      <c r="Q358" s="13" t="s">
        <v>175</v>
      </c>
      <c r="R358" s="16">
        <v>253110000</v>
      </c>
      <c r="S358" s="17">
        <v>234361111</v>
      </c>
      <c r="T358" s="12">
        <v>0</v>
      </c>
      <c r="U358" s="18">
        <v>0</v>
      </c>
      <c r="V358" s="19">
        <v>0</v>
      </c>
      <c r="W358" s="13" t="s">
        <v>135</v>
      </c>
      <c r="X358" s="14" t="s">
        <v>1623</v>
      </c>
      <c r="Y358" s="13" t="s">
        <v>183</v>
      </c>
      <c r="Z358" s="14" t="s">
        <v>1624</v>
      </c>
      <c r="AA358" s="17">
        <v>15</v>
      </c>
      <c r="AB358" s="14" t="s">
        <v>173</v>
      </c>
      <c r="AC358" s="17">
        <v>253110000</v>
      </c>
      <c r="AD358" s="14" t="s">
        <v>108</v>
      </c>
      <c r="AE358" s="17">
        <v>234361111</v>
      </c>
      <c r="AF358" s="14" t="s">
        <v>136</v>
      </c>
      <c r="AG358" s="20" t="s">
        <v>184</v>
      </c>
      <c r="AH358" s="10">
        <v>133494966</v>
      </c>
      <c r="AI358" s="24" t="str">
        <f>VLOOKUP(Sales[[#This Row],[Store]],'Store lay bao  cao'!A:B,2,0)</f>
        <v>Lấy BC</v>
      </c>
      <c r="AJ358" s="24" t="str">
        <f>VLOOKUP(Sales[[#This Row],[Associate]],'Associate Status'!B:C,2,0)</f>
        <v>Active</v>
      </c>
    </row>
    <row r="359" spans="1:36" x14ac:dyDescent="0.25">
      <c r="A359" s="7">
        <v>2024</v>
      </c>
      <c r="B359" s="8">
        <v>6</v>
      </c>
      <c r="C359" s="8">
        <v>24</v>
      </c>
      <c r="D359" s="8" t="s">
        <v>63</v>
      </c>
      <c r="E359" s="8" t="s">
        <v>34</v>
      </c>
      <c r="F359" s="8" t="s">
        <v>63</v>
      </c>
      <c r="G359" s="9">
        <v>108935436</v>
      </c>
      <c r="H359" s="10">
        <v>107527500</v>
      </c>
      <c r="I359" s="11">
        <v>45453</v>
      </c>
      <c r="J359" s="12">
        <v>209283</v>
      </c>
      <c r="K359" s="13" t="s">
        <v>633</v>
      </c>
      <c r="L359" s="14" t="s">
        <v>65</v>
      </c>
      <c r="M359" s="11" t="s">
        <v>15</v>
      </c>
      <c r="N359" s="14" t="s">
        <v>62</v>
      </c>
      <c r="O359" s="15">
        <v>4442</v>
      </c>
      <c r="P359" s="12">
        <v>1</v>
      </c>
      <c r="Q359" s="13" t="s">
        <v>175</v>
      </c>
      <c r="R359" s="16">
        <v>272580000</v>
      </c>
      <c r="S359" s="17">
        <v>252388889</v>
      </c>
      <c r="T359" s="12">
        <v>0</v>
      </c>
      <c r="U359" s="18">
        <v>0</v>
      </c>
      <c r="V359" s="19">
        <v>0</v>
      </c>
      <c r="W359" s="13" t="s">
        <v>135</v>
      </c>
      <c r="X359" s="14" t="s">
        <v>1625</v>
      </c>
      <c r="Y359" s="13" t="s">
        <v>183</v>
      </c>
      <c r="Z359" s="14" t="s">
        <v>1626</v>
      </c>
      <c r="AA359" s="17">
        <v>15</v>
      </c>
      <c r="AB359" s="14" t="s">
        <v>173</v>
      </c>
      <c r="AC359" s="17">
        <v>272580000</v>
      </c>
      <c r="AD359" s="14" t="s">
        <v>108</v>
      </c>
      <c r="AE359" s="17">
        <v>252388889</v>
      </c>
      <c r="AF359" s="14" t="s">
        <v>136</v>
      </c>
      <c r="AG359" s="21" t="s">
        <v>184</v>
      </c>
      <c r="AH359" s="10">
        <v>143453453</v>
      </c>
      <c r="AI359" s="24" t="str">
        <f>VLOOKUP(Sales[[#This Row],[Store]],'Store lay bao  cao'!A:B,2,0)</f>
        <v>Lấy BC</v>
      </c>
      <c r="AJ359" s="24" t="str">
        <f>VLOOKUP(Sales[[#This Row],[Associate]],'Associate Status'!B:C,2,0)</f>
        <v>Active</v>
      </c>
    </row>
    <row r="360" spans="1:36" x14ac:dyDescent="0.25">
      <c r="A360" s="7">
        <v>2024</v>
      </c>
      <c r="B360" s="8">
        <v>6</v>
      </c>
      <c r="C360" s="8">
        <v>24</v>
      </c>
      <c r="D360" s="8" t="s">
        <v>63</v>
      </c>
      <c r="E360" s="8" t="s">
        <v>34</v>
      </c>
      <c r="F360" s="8" t="s">
        <v>63</v>
      </c>
      <c r="G360" s="9">
        <v>87417325</v>
      </c>
      <c r="H360" s="10">
        <v>86287500</v>
      </c>
      <c r="I360" s="11">
        <v>45453</v>
      </c>
      <c r="J360" s="12">
        <v>209323</v>
      </c>
      <c r="K360" s="13" t="s">
        <v>633</v>
      </c>
      <c r="L360" s="14" t="s">
        <v>65</v>
      </c>
      <c r="M360" s="11" t="s">
        <v>15</v>
      </c>
      <c r="N360" s="14" t="s">
        <v>62</v>
      </c>
      <c r="O360" s="15">
        <v>4442</v>
      </c>
      <c r="P360" s="12">
        <v>1</v>
      </c>
      <c r="Q360" s="13" t="s">
        <v>175</v>
      </c>
      <c r="R360" s="16">
        <v>220660000</v>
      </c>
      <c r="S360" s="17">
        <v>204314815</v>
      </c>
      <c r="T360" s="12">
        <v>0</v>
      </c>
      <c r="U360" s="18">
        <v>0</v>
      </c>
      <c r="V360" s="19">
        <v>0</v>
      </c>
      <c r="W360" s="13" t="s">
        <v>135</v>
      </c>
      <c r="X360" s="14" t="s">
        <v>1627</v>
      </c>
      <c r="Y360" s="13" t="s">
        <v>183</v>
      </c>
      <c r="Z360" s="14" t="s">
        <v>1628</v>
      </c>
      <c r="AA360" s="17">
        <v>15</v>
      </c>
      <c r="AB360" s="14" t="s">
        <v>173</v>
      </c>
      <c r="AC360" s="17">
        <v>220660000</v>
      </c>
      <c r="AD360" s="14" t="s">
        <v>108</v>
      </c>
      <c r="AE360" s="17">
        <v>204314815</v>
      </c>
      <c r="AF360" s="14" t="s">
        <v>2595</v>
      </c>
      <c r="AG360" s="20" t="s">
        <v>184</v>
      </c>
      <c r="AH360" s="10">
        <v>116897490</v>
      </c>
      <c r="AI360" s="24" t="str">
        <f>VLOOKUP(Sales[[#This Row],[Store]],'Store lay bao  cao'!A:B,2,0)</f>
        <v>Lấy BC</v>
      </c>
      <c r="AJ360" s="24" t="e">
        <f>VLOOKUP(Sales[[#This Row],[Associate]],'Associate Status'!B:C,2,0)</f>
        <v>#N/A</v>
      </c>
    </row>
    <row r="361" spans="1:36" x14ac:dyDescent="0.25">
      <c r="A361" s="7">
        <v>2024</v>
      </c>
      <c r="B361" s="8">
        <v>6</v>
      </c>
      <c r="C361" s="8">
        <v>24</v>
      </c>
      <c r="D361" s="8" t="s">
        <v>63</v>
      </c>
      <c r="E361" s="8" t="s">
        <v>34</v>
      </c>
      <c r="F361" s="8" t="s">
        <v>63</v>
      </c>
      <c r="G361" s="9">
        <v>65899215</v>
      </c>
      <c r="H361" s="10">
        <v>65047500</v>
      </c>
      <c r="I361" s="11">
        <v>45453</v>
      </c>
      <c r="J361" s="12">
        <v>209293</v>
      </c>
      <c r="K361" s="13" t="s">
        <v>633</v>
      </c>
      <c r="L361" s="14" t="s">
        <v>65</v>
      </c>
      <c r="M361" s="11" t="s">
        <v>15</v>
      </c>
      <c r="N361" s="14" t="s">
        <v>62</v>
      </c>
      <c r="O361" s="15">
        <v>4442</v>
      </c>
      <c r="P361" s="12">
        <v>1</v>
      </c>
      <c r="Q361" s="13" t="s">
        <v>175</v>
      </c>
      <c r="R361" s="16">
        <v>165495000</v>
      </c>
      <c r="S361" s="17">
        <v>153236111</v>
      </c>
      <c r="T361" s="12">
        <v>0</v>
      </c>
      <c r="U361" s="18">
        <v>0</v>
      </c>
      <c r="V361" s="19">
        <v>0</v>
      </c>
      <c r="W361" s="13" t="s">
        <v>135</v>
      </c>
      <c r="X361" s="14" t="s">
        <v>1629</v>
      </c>
      <c r="Y361" s="13" t="s">
        <v>183</v>
      </c>
      <c r="Z361" s="14" t="s">
        <v>1630</v>
      </c>
      <c r="AA361" s="17">
        <v>15</v>
      </c>
      <c r="AB361" s="14" t="s">
        <v>173</v>
      </c>
      <c r="AC361" s="17">
        <v>165495000</v>
      </c>
      <c r="AD361" s="14" t="s">
        <v>108</v>
      </c>
      <c r="AE361" s="17">
        <v>153236111</v>
      </c>
      <c r="AF361" s="14" t="s">
        <v>2595</v>
      </c>
      <c r="AG361" s="21" t="s">
        <v>184</v>
      </c>
      <c r="AH361" s="10">
        <v>87336896</v>
      </c>
      <c r="AI361" s="24" t="str">
        <f>VLOOKUP(Sales[[#This Row],[Store]],'Store lay bao  cao'!A:B,2,0)</f>
        <v>Lấy BC</v>
      </c>
      <c r="AJ361" s="24" t="e">
        <f>VLOOKUP(Sales[[#This Row],[Associate]],'Associate Status'!B:C,2,0)</f>
        <v>#N/A</v>
      </c>
    </row>
    <row r="362" spans="1:36" x14ac:dyDescent="0.25">
      <c r="A362" s="7">
        <v>2024</v>
      </c>
      <c r="B362" s="8">
        <v>6</v>
      </c>
      <c r="C362" s="8">
        <v>24</v>
      </c>
      <c r="D362" s="8" t="s">
        <v>63</v>
      </c>
      <c r="E362" s="8" t="s">
        <v>43</v>
      </c>
      <c r="F362" s="8" t="s">
        <v>63</v>
      </c>
      <c r="G362" s="9">
        <v>64554332</v>
      </c>
      <c r="H362" s="10">
        <v>63720000</v>
      </c>
      <c r="I362" s="11">
        <v>45453</v>
      </c>
      <c r="J362" s="12">
        <v>209321</v>
      </c>
      <c r="K362" s="13" t="s">
        <v>633</v>
      </c>
      <c r="L362" s="14" t="s">
        <v>65</v>
      </c>
      <c r="M362" s="11" t="s">
        <v>15</v>
      </c>
      <c r="N362" s="14" t="s">
        <v>62</v>
      </c>
      <c r="O362" s="15">
        <v>4442</v>
      </c>
      <c r="P362" s="12">
        <v>1</v>
      </c>
      <c r="Q362" s="13" t="s">
        <v>175</v>
      </c>
      <c r="R362" s="16">
        <v>165495000</v>
      </c>
      <c r="S362" s="17">
        <v>153236111</v>
      </c>
      <c r="T362" s="12">
        <v>0</v>
      </c>
      <c r="U362" s="18">
        <v>0</v>
      </c>
      <c r="V362" s="19">
        <v>0</v>
      </c>
      <c r="W362" s="13" t="s">
        <v>135</v>
      </c>
      <c r="X362" s="14" t="s">
        <v>1631</v>
      </c>
      <c r="Y362" s="13" t="s">
        <v>183</v>
      </c>
      <c r="Z362" s="14" t="s">
        <v>1632</v>
      </c>
      <c r="AA362" s="17">
        <v>15</v>
      </c>
      <c r="AB362" s="14" t="s">
        <v>173</v>
      </c>
      <c r="AC362" s="17">
        <v>165495000</v>
      </c>
      <c r="AD362" s="14">
        <v>52</v>
      </c>
      <c r="AE362" s="17">
        <v>153236111</v>
      </c>
      <c r="AF362" s="14" t="s">
        <v>2595</v>
      </c>
      <c r="AG362" s="20" t="s">
        <v>184</v>
      </c>
      <c r="AH362" s="10">
        <v>88681779</v>
      </c>
      <c r="AI362" s="24" t="str">
        <f>VLOOKUP(Sales[[#This Row],[Store]],'Store lay bao  cao'!A:B,2,0)</f>
        <v>Lấy BC</v>
      </c>
      <c r="AJ362" s="24" t="e">
        <f>VLOOKUP(Sales[[#This Row],[Associate]],'Associate Status'!B:C,2,0)</f>
        <v>#N/A</v>
      </c>
    </row>
    <row r="363" spans="1:36" x14ac:dyDescent="0.25">
      <c r="A363" s="7">
        <v>2024</v>
      </c>
      <c r="B363" s="8">
        <v>6</v>
      </c>
      <c r="C363" s="8">
        <v>24</v>
      </c>
      <c r="D363" s="8" t="s">
        <v>63</v>
      </c>
      <c r="E363" s="8" t="s">
        <v>34</v>
      </c>
      <c r="F363" s="8" t="s">
        <v>63</v>
      </c>
      <c r="G363" s="9">
        <v>96831498</v>
      </c>
      <c r="H363" s="10">
        <v>95580000</v>
      </c>
      <c r="I363" s="11">
        <v>45453</v>
      </c>
      <c r="J363" s="12">
        <v>209312</v>
      </c>
      <c r="K363" s="13" t="s">
        <v>633</v>
      </c>
      <c r="L363" s="14" t="s">
        <v>65</v>
      </c>
      <c r="M363" s="11" t="s">
        <v>15</v>
      </c>
      <c r="N363" s="14" t="s">
        <v>62</v>
      </c>
      <c r="O363" s="15">
        <v>4442</v>
      </c>
      <c r="P363" s="12">
        <v>1</v>
      </c>
      <c r="Q363" s="13" t="s">
        <v>175</v>
      </c>
      <c r="R363" s="16">
        <v>243375000</v>
      </c>
      <c r="S363" s="17">
        <v>225347222</v>
      </c>
      <c r="T363" s="12">
        <v>0</v>
      </c>
      <c r="U363" s="18">
        <v>0</v>
      </c>
      <c r="V363" s="19">
        <v>0</v>
      </c>
      <c r="W363" s="13" t="s">
        <v>135</v>
      </c>
      <c r="X363" s="14" t="s">
        <v>1633</v>
      </c>
      <c r="Y363" s="13" t="s">
        <v>183</v>
      </c>
      <c r="Z363" s="14" t="s">
        <v>1634</v>
      </c>
      <c r="AA363" s="17">
        <v>15</v>
      </c>
      <c r="AB363" s="14" t="s">
        <v>173</v>
      </c>
      <c r="AC363" s="17">
        <v>243375000</v>
      </c>
      <c r="AD363" s="14" t="s">
        <v>108</v>
      </c>
      <c r="AE363" s="17">
        <v>225347222</v>
      </c>
      <c r="AF363" s="14" t="s">
        <v>2595</v>
      </c>
      <c r="AG363" s="21" t="s">
        <v>184</v>
      </c>
      <c r="AH363" s="10">
        <v>128515724</v>
      </c>
      <c r="AI363" s="24" t="str">
        <f>VLOOKUP(Sales[[#This Row],[Store]],'Store lay bao  cao'!A:B,2,0)</f>
        <v>Lấy BC</v>
      </c>
      <c r="AJ363" s="24" t="e">
        <f>VLOOKUP(Sales[[#This Row],[Associate]],'Associate Status'!B:C,2,0)</f>
        <v>#N/A</v>
      </c>
    </row>
    <row r="364" spans="1:36" x14ac:dyDescent="0.25">
      <c r="A364" s="7">
        <v>2024</v>
      </c>
      <c r="B364" s="8">
        <v>6</v>
      </c>
      <c r="C364" s="8">
        <v>24</v>
      </c>
      <c r="D364" s="8" t="s">
        <v>52</v>
      </c>
      <c r="E364" s="8" t="s">
        <v>34</v>
      </c>
      <c r="F364" s="8" t="s">
        <v>52</v>
      </c>
      <c r="G364" s="9">
        <v>46402707</v>
      </c>
      <c r="H364" s="10">
        <v>43311750</v>
      </c>
      <c r="I364" s="11">
        <v>45455</v>
      </c>
      <c r="J364" s="12">
        <v>182559</v>
      </c>
      <c r="K364" s="13" t="s">
        <v>632</v>
      </c>
      <c r="L364" s="14" t="s">
        <v>44</v>
      </c>
      <c r="M364" s="11" t="s">
        <v>15</v>
      </c>
      <c r="N364" s="14" t="s">
        <v>11</v>
      </c>
      <c r="O364" s="15">
        <v>4461</v>
      </c>
      <c r="P364" s="12">
        <v>1</v>
      </c>
      <c r="Q364" s="13" t="s">
        <v>144</v>
      </c>
      <c r="R364" s="16">
        <v>115584000</v>
      </c>
      <c r="S364" s="17">
        <v>107022222</v>
      </c>
      <c r="T364" s="12">
        <v>0</v>
      </c>
      <c r="U364" s="18">
        <v>0</v>
      </c>
      <c r="V364" s="19">
        <v>0</v>
      </c>
      <c r="W364" s="13" t="s">
        <v>135</v>
      </c>
      <c r="X364" s="14" t="s">
        <v>1635</v>
      </c>
      <c r="Y364" s="13" t="s">
        <v>302</v>
      </c>
      <c r="Z364" s="14" t="s">
        <v>1636</v>
      </c>
      <c r="AA364" s="17">
        <v>18</v>
      </c>
      <c r="AB364" s="14" t="s">
        <v>1637</v>
      </c>
      <c r="AC364" s="17">
        <v>115584000</v>
      </c>
      <c r="AD364" s="14" t="s">
        <v>108</v>
      </c>
      <c r="AE364" s="17">
        <v>107022222</v>
      </c>
      <c r="AF364" s="14" t="s">
        <v>2594</v>
      </c>
      <c r="AG364" s="20" t="s">
        <v>303</v>
      </c>
      <c r="AH364" s="10">
        <v>60619515</v>
      </c>
      <c r="AI364" s="24" t="str">
        <f>VLOOKUP(Sales[[#This Row],[Store]],'Store lay bao  cao'!A:B,2,0)</f>
        <v>Lấy BC</v>
      </c>
      <c r="AJ364" s="24" t="e">
        <f>VLOOKUP(Sales[[#This Row],[Associate]],'Associate Status'!B:C,2,0)</f>
        <v>#N/A</v>
      </c>
    </row>
    <row r="365" spans="1:36" x14ac:dyDescent="0.25">
      <c r="A365" s="7">
        <v>2024</v>
      </c>
      <c r="B365" s="8">
        <v>6</v>
      </c>
      <c r="C365" s="8">
        <v>24</v>
      </c>
      <c r="D365" s="8" t="s">
        <v>52</v>
      </c>
      <c r="E365" s="8" t="s">
        <v>37</v>
      </c>
      <c r="F365" s="8" t="s">
        <v>52</v>
      </c>
      <c r="G365" s="9">
        <v>30187759</v>
      </c>
      <c r="H365" s="10">
        <v>25542000</v>
      </c>
      <c r="I365" s="11">
        <v>45455</v>
      </c>
      <c r="J365" s="12">
        <v>186484</v>
      </c>
      <c r="K365" s="13" t="s">
        <v>634</v>
      </c>
      <c r="L365" s="14" t="s">
        <v>19</v>
      </c>
      <c r="M365" s="11" t="s">
        <v>15</v>
      </c>
      <c r="N365" s="14" t="s">
        <v>11</v>
      </c>
      <c r="O365" s="15">
        <v>4455</v>
      </c>
      <c r="P365" s="12">
        <v>1</v>
      </c>
      <c r="Q365" s="13" t="s">
        <v>101</v>
      </c>
      <c r="R365" s="16">
        <v>78861400</v>
      </c>
      <c r="S365" s="17">
        <v>73019815</v>
      </c>
      <c r="T365" s="12">
        <v>5</v>
      </c>
      <c r="U365" s="18">
        <v>3843148</v>
      </c>
      <c r="V365" s="19">
        <v>4150600</v>
      </c>
      <c r="W365" s="13" t="s">
        <v>135</v>
      </c>
      <c r="X365" s="14" t="s">
        <v>1638</v>
      </c>
      <c r="Y365" s="13" t="s">
        <v>183</v>
      </c>
      <c r="Z365" s="14" t="s">
        <v>1639</v>
      </c>
      <c r="AA365" s="17">
        <v>12</v>
      </c>
      <c r="AB365" s="14" t="s">
        <v>1253</v>
      </c>
      <c r="AC365" s="17">
        <v>83012000</v>
      </c>
      <c r="AD365" s="14" t="s">
        <v>108</v>
      </c>
      <c r="AE365" s="17">
        <v>76862963</v>
      </c>
      <c r="AF365" s="14" t="s">
        <v>2595</v>
      </c>
      <c r="AG365" s="21" t="s">
        <v>184</v>
      </c>
      <c r="AH365" s="10">
        <v>42832056</v>
      </c>
      <c r="AI365" s="24" t="str">
        <f>VLOOKUP(Sales[[#This Row],[Store]],'Store lay bao  cao'!A:B,2,0)</f>
        <v>Lấy BC</v>
      </c>
      <c r="AJ365" s="24" t="e">
        <f>VLOOKUP(Sales[[#This Row],[Associate]],'Associate Status'!B:C,2,0)</f>
        <v>#N/A</v>
      </c>
    </row>
    <row r="366" spans="1:36" x14ac:dyDescent="0.25">
      <c r="A366" s="7">
        <v>2024</v>
      </c>
      <c r="B366" s="8">
        <v>6</v>
      </c>
      <c r="C366" s="8">
        <v>24</v>
      </c>
      <c r="D366" s="8" t="s">
        <v>52</v>
      </c>
      <c r="E366" s="8" t="s">
        <v>34</v>
      </c>
      <c r="F366" s="8" t="s">
        <v>52</v>
      </c>
      <c r="G366" s="9">
        <v>14022423</v>
      </c>
      <c r="H366" s="10">
        <v>11868000</v>
      </c>
      <c r="I366" s="11">
        <v>45455</v>
      </c>
      <c r="J366" s="12">
        <v>186452</v>
      </c>
      <c r="K366" s="13" t="s">
        <v>634</v>
      </c>
      <c r="L366" s="14" t="s">
        <v>19</v>
      </c>
      <c r="M366" s="11" t="s">
        <v>15</v>
      </c>
      <c r="N366" s="14" t="s">
        <v>11</v>
      </c>
      <c r="O366" s="15">
        <v>4455</v>
      </c>
      <c r="P366" s="12">
        <v>1</v>
      </c>
      <c r="Q366" s="13" t="s">
        <v>101</v>
      </c>
      <c r="R366" s="16">
        <v>36642450</v>
      </c>
      <c r="S366" s="17">
        <v>33928194</v>
      </c>
      <c r="T366" s="12">
        <v>5</v>
      </c>
      <c r="U366" s="18">
        <v>1785694</v>
      </c>
      <c r="V366" s="19">
        <v>1928550</v>
      </c>
      <c r="W366" s="13" t="s">
        <v>135</v>
      </c>
      <c r="X366" s="14" t="s">
        <v>1640</v>
      </c>
      <c r="Y366" s="13" t="s">
        <v>183</v>
      </c>
      <c r="Z366" s="14" t="s">
        <v>1641</v>
      </c>
      <c r="AA366" s="17">
        <v>12</v>
      </c>
      <c r="AB366" s="14" t="s">
        <v>1642</v>
      </c>
      <c r="AC366" s="17">
        <v>38571000</v>
      </c>
      <c r="AD366" s="14" t="s">
        <v>108</v>
      </c>
      <c r="AE366" s="17">
        <v>35713889</v>
      </c>
      <c r="AF366" s="14" t="s">
        <v>2595</v>
      </c>
      <c r="AG366" s="20" t="s">
        <v>184</v>
      </c>
      <c r="AH366" s="10">
        <v>19905771</v>
      </c>
      <c r="AI366" s="24" t="str">
        <f>VLOOKUP(Sales[[#This Row],[Store]],'Store lay bao  cao'!A:B,2,0)</f>
        <v>Lấy BC</v>
      </c>
      <c r="AJ366" s="24" t="e">
        <f>VLOOKUP(Sales[[#This Row],[Associate]],'Associate Status'!B:C,2,0)</f>
        <v>#N/A</v>
      </c>
    </row>
    <row r="367" spans="1:36" x14ac:dyDescent="0.25">
      <c r="A367" s="7">
        <v>2024</v>
      </c>
      <c r="B367" s="8">
        <v>6</v>
      </c>
      <c r="C367" s="8">
        <v>24</v>
      </c>
      <c r="D367" s="8" t="s">
        <v>52</v>
      </c>
      <c r="E367" s="8" t="s">
        <v>43</v>
      </c>
      <c r="F367" s="8" t="s">
        <v>52</v>
      </c>
      <c r="G367" s="9">
        <v>15722373</v>
      </c>
      <c r="H367" s="10">
        <v>13312800</v>
      </c>
      <c r="I367" s="11">
        <v>45455</v>
      </c>
      <c r="J367" s="12">
        <v>186469</v>
      </c>
      <c r="K367" s="13" t="s">
        <v>634</v>
      </c>
      <c r="L367" s="14" t="s">
        <v>19</v>
      </c>
      <c r="M367" s="11" t="s">
        <v>15</v>
      </c>
      <c r="N367" s="14" t="s">
        <v>11</v>
      </c>
      <c r="O367" s="15">
        <v>4455</v>
      </c>
      <c r="P367" s="12">
        <v>1</v>
      </c>
      <c r="Q367" s="13" t="s">
        <v>101</v>
      </c>
      <c r="R367" s="16">
        <v>41103650</v>
      </c>
      <c r="S367" s="17">
        <v>38058935</v>
      </c>
      <c r="T367" s="12">
        <v>5</v>
      </c>
      <c r="U367" s="18">
        <v>2003102</v>
      </c>
      <c r="V367" s="19">
        <v>2163350</v>
      </c>
      <c r="W367" s="13" t="s">
        <v>135</v>
      </c>
      <c r="X367" s="14" t="s">
        <v>1643</v>
      </c>
      <c r="Y367" s="13" t="s">
        <v>183</v>
      </c>
      <c r="Z367" s="14" t="s">
        <v>1644</v>
      </c>
      <c r="AA367" s="17">
        <v>12</v>
      </c>
      <c r="AB367" s="14" t="s">
        <v>1645</v>
      </c>
      <c r="AC367" s="17">
        <v>43267000</v>
      </c>
      <c r="AD367" s="14" t="s">
        <v>1307</v>
      </c>
      <c r="AE367" s="17">
        <v>40062037</v>
      </c>
      <c r="AF367" s="14" t="s">
        <v>2595</v>
      </c>
      <c r="AG367" s="21" t="s">
        <v>184</v>
      </c>
      <c r="AH367" s="10">
        <v>22336562</v>
      </c>
      <c r="AI367" s="24" t="str">
        <f>VLOOKUP(Sales[[#This Row],[Store]],'Store lay bao  cao'!A:B,2,0)</f>
        <v>Lấy BC</v>
      </c>
      <c r="AJ367" s="24" t="e">
        <f>VLOOKUP(Sales[[#This Row],[Associate]],'Associate Status'!B:C,2,0)</f>
        <v>#N/A</v>
      </c>
    </row>
    <row r="368" spans="1:36" x14ac:dyDescent="0.25">
      <c r="A368" s="7">
        <v>2024</v>
      </c>
      <c r="B368" s="8">
        <v>6</v>
      </c>
      <c r="C368" s="8">
        <v>24</v>
      </c>
      <c r="D368" s="8" t="s">
        <v>29</v>
      </c>
      <c r="E368" s="8" t="s">
        <v>12</v>
      </c>
      <c r="F368" s="8" t="s">
        <v>29</v>
      </c>
      <c r="G368" s="9">
        <v>9771300</v>
      </c>
      <c r="H368" s="10">
        <v>9771300</v>
      </c>
      <c r="I368" s="11">
        <v>45455</v>
      </c>
      <c r="J368" s="12">
        <v>90572</v>
      </c>
      <c r="K368" s="13" t="s">
        <v>634</v>
      </c>
      <c r="L368" s="14" t="s">
        <v>19</v>
      </c>
      <c r="M368" s="11" t="s">
        <v>15</v>
      </c>
      <c r="N368" s="14" t="s">
        <v>11</v>
      </c>
      <c r="O368" s="15">
        <v>4455</v>
      </c>
      <c r="P368" s="12">
        <v>1</v>
      </c>
      <c r="Q368" s="13" t="s">
        <v>101</v>
      </c>
      <c r="R368" s="16">
        <v>30942450</v>
      </c>
      <c r="S368" s="17">
        <v>28650417</v>
      </c>
      <c r="T368" s="12">
        <v>5</v>
      </c>
      <c r="U368" s="18">
        <v>1507917</v>
      </c>
      <c r="V368" s="19">
        <v>1628550</v>
      </c>
      <c r="W368" s="13" t="s">
        <v>135</v>
      </c>
      <c r="X368" s="14" t="s">
        <v>856</v>
      </c>
      <c r="Y368" s="13" t="s">
        <v>183</v>
      </c>
      <c r="Z368" s="14" t="s">
        <v>857</v>
      </c>
      <c r="AA368" s="17">
        <v>12</v>
      </c>
      <c r="AB368" s="14" t="s">
        <v>858</v>
      </c>
      <c r="AC368" s="17">
        <v>32571000</v>
      </c>
      <c r="AD368" s="14">
        <v>12</v>
      </c>
      <c r="AE368" s="17">
        <v>30158333</v>
      </c>
      <c r="AF368" s="14" t="s">
        <v>2595</v>
      </c>
      <c r="AG368" s="20" t="s">
        <v>184</v>
      </c>
      <c r="AH368" s="10">
        <v>18879117</v>
      </c>
      <c r="AI368" s="24" t="str">
        <f>VLOOKUP(Sales[[#This Row],[Store]],'Store lay bao  cao'!A:B,2,0)</f>
        <v>Lấy BC</v>
      </c>
      <c r="AJ368" s="24" t="e">
        <f>VLOOKUP(Sales[[#This Row],[Associate]],'Associate Status'!B:C,2,0)</f>
        <v>#N/A</v>
      </c>
    </row>
    <row r="369" spans="1:36" x14ac:dyDescent="0.25">
      <c r="A369" s="7">
        <v>2024</v>
      </c>
      <c r="B369" s="8">
        <v>6</v>
      </c>
      <c r="C369" s="8">
        <v>24</v>
      </c>
      <c r="D369" s="8" t="s">
        <v>60</v>
      </c>
      <c r="E369" s="8" t="s">
        <v>43</v>
      </c>
      <c r="F369" s="8" t="s">
        <v>60</v>
      </c>
      <c r="G369" s="9">
        <v>3501402</v>
      </c>
      <c r="H369" s="10">
        <v>2616300</v>
      </c>
      <c r="I369" s="11">
        <v>45455</v>
      </c>
      <c r="J369" s="12">
        <v>202765</v>
      </c>
      <c r="K369" s="13" t="s">
        <v>634</v>
      </c>
      <c r="L369" s="14" t="s">
        <v>19</v>
      </c>
      <c r="M369" s="11" t="s">
        <v>15</v>
      </c>
      <c r="N369" s="14" t="s">
        <v>62</v>
      </c>
      <c r="O369" s="15">
        <v>4455</v>
      </c>
      <c r="P369" s="12">
        <v>1</v>
      </c>
      <c r="Q369" s="13" t="s">
        <v>101</v>
      </c>
      <c r="R369" s="16">
        <v>8236500</v>
      </c>
      <c r="S369" s="17">
        <v>7626389</v>
      </c>
      <c r="T369" s="12">
        <v>5</v>
      </c>
      <c r="U369" s="18">
        <v>401389</v>
      </c>
      <c r="V369" s="19">
        <v>433500</v>
      </c>
      <c r="W369" s="13" t="s">
        <v>135</v>
      </c>
      <c r="X369" s="14" t="s">
        <v>1646</v>
      </c>
      <c r="Y369" s="13" t="s">
        <v>183</v>
      </c>
      <c r="Z369" s="14" t="s">
        <v>1647</v>
      </c>
      <c r="AA369" s="17">
        <v>12</v>
      </c>
      <c r="AB369" s="14" t="s">
        <v>1331</v>
      </c>
      <c r="AC369" s="17">
        <v>8670000</v>
      </c>
      <c r="AD369" s="14">
        <v>53</v>
      </c>
      <c r="AE369" s="17">
        <v>8027778</v>
      </c>
      <c r="AF369" s="14" t="s">
        <v>2595</v>
      </c>
      <c r="AG369" s="21" t="s">
        <v>184</v>
      </c>
      <c r="AH369" s="10">
        <v>4124987</v>
      </c>
      <c r="AI369" s="24" t="str">
        <f>VLOOKUP(Sales[[#This Row],[Store]],'Store lay bao  cao'!A:B,2,0)</f>
        <v>Lấy BC</v>
      </c>
      <c r="AJ369" s="24" t="e">
        <f>VLOOKUP(Sales[[#This Row],[Associate]],'Associate Status'!B:C,2,0)</f>
        <v>#N/A</v>
      </c>
    </row>
    <row r="370" spans="1:36" x14ac:dyDescent="0.25">
      <c r="A370" s="7">
        <v>2024</v>
      </c>
      <c r="B370" s="8">
        <v>6</v>
      </c>
      <c r="C370" s="8">
        <v>24</v>
      </c>
      <c r="D370" s="8" t="s">
        <v>52</v>
      </c>
      <c r="E370" s="8" t="s">
        <v>43</v>
      </c>
      <c r="F370" s="8" t="s">
        <v>52</v>
      </c>
      <c r="G370" s="9">
        <v>6280608</v>
      </c>
      <c r="H370" s="10">
        <v>5314800</v>
      </c>
      <c r="I370" s="11">
        <v>45455</v>
      </c>
      <c r="J370" s="12">
        <v>186472</v>
      </c>
      <c r="K370" s="13" t="s">
        <v>634</v>
      </c>
      <c r="L370" s="14" t="s">
        <v>19</v>
      </c>
      <c r="M370" s="11" t="s">
        <v>15</v>
      </c>
      <c r="N370" s="14" t="s">
        <v>11</v>
      </c>
      <c r="O370" s="15">
        <v>4455</v>
      </c>
      <c r="P370" s="12">
        <v>1</v>
      </c>
      <c r="Q370" s="13" t="s">
        <v>101</v>
      </c>
      <c r="R370" s="16">
        <v>16410300</v>
      </c>
      <c r="S370" s="17">
        <v>15194722</v>
      </c>
      <c r="T370" s="12">
        <v>5</v>
      </c>
      <c r="U370" s="18">
        <v>799722</v>
      </c>
      <c r="V370" s="19">
        <v>863700</v>
      </c>
      <c r="W370" s="13" t="s">
        <v>135</v>
      </c>
      <c r="X370" s="14" t="s">
        <v>1648</v>
      </c>
      <c r="Y370" s="13" t="s">
        <v>183</v>
      </c>
      <c r="Z370" s="14" t="s">
        <v>1649</v>
      </c>
      <c r="AA370" s="17">
        <v>12</v>
      </c>
      <c r="AB370" s="14" t="s">
        <v>1174</v>
      </c>
      <c r="AC370" s="17">
        <v>17274000</v>
      </c>
      <c r="AD370" s="14" t="s">
        <v>1324</v>
      </c>
      <c r="AE370" s="17">
        <v>15994444</v>
      </c>
      <c r="AF370" s="14" t="s">
        <v>2595</v>
      </c>
      <c r="AG370" s="20" t="s">
        <v>184</v>
      </c>
      <c r="AH370" s="10">
        <v>8914114</v>
      </c>
      <c r="AI370" s="24" t="str">
        <f>VLOOKUP(Sales[[#This Row],[Store]],'Store lay bao  cao'!A:B,2,0)</f>
        <v>Lấy BC</v>
      </c>
      <c r="AJ370" s="24" t="e">
        <f>VLOOKUP(Sales[[#This Row],[Associate]],'Associate Status'!B:C,2,0)</f>
        <v>#N/A</v>
      </c>
    </row>
    <row r="371" spans="1:36" x14ac:dyDescent="0.25">
      <c r="A371" s="7">
        <v>2024</v>
      </c>
      <c r="B371" s="8">
        <v>6</v>
      </c>
      <c r="C371" s="8">
        <v>24</v>
      </c>
      <c r="D371" s="8" t="s">
        <v>60</v>
      </c>
      <c r="E371" s="8" t="s">
        <v>34</v>
      </c>
      <c r="F371" s="8" t="s">
        <v>60</v>
      </c>
      <c r="G371" s="9">
        <v>18034298</v>
      </c>
      <c r="H371" s="10">
        <v>14002050</v>
      </c>
      <c r="I371" s="11">
        <v>45456</v>
      </c>
      <c r="J371" s="12">
        <v>202752</v>
      </c>
      <c r="K371" s="13" t="s">
        <v>630</v>
      </c>
      <c r="L371" s="14" t="s">
        <v>19</v>
      </c>
      <c r="M371" s="11" t="s">
        <v>15</v>
      </c>
      <c r="N371" s="14" t="s">
        <v>62</v>
      </c>
      <c r="O371" s="15">
        <v>4467</v>
      </c>
      <c r="P371" s="12">
        <v>1</v>
      </c>
      <c r="Q371" s="13" t="s">
        <v>101</v>
      </c>
      <c r="R371" s="16">
        <v>46399000</v>
      </c>
      <c r="S371" s="17">
        <v>42962037</v>
      </c>
      <c r="T371" s="12">
        <v>0</v>
      </c>
      <c r="U371" s="18">
        <v>0</v>
      </c>
      <c r="V371" s="19">
        <v>0</v>
      </c>
      <c r="W371" s="13" t="s">
        <v>104</v>
      </c>
      <c r="X371" s="14" t="s">
        <v>1650</v>
      </c>
      <c r="Y371" s="13" t="s">
        <v>230</v>
      </c>
      <c r="Z371" s="14" t="s">
        <v>1651</v>
      </c>
      <c r="AA371" s="17">
        <v>13</v>
      </c>
      <c r="AB371" s="14" t="s">
        <v>1652</v>
      </c>
      <c r="AC371" s="17">
        <v>46399000</v>
      </c>
      <c r="AD371" s="14" t="s">
        <v>108</v>
      </c>
      <c r="AE371" s="17">
        <v>42962037</v>
      </c>
      <c r="AF371" s="14" t="s">
        <v>106</v>
      </c>
      <c r="AG371" s="21" t="s">
        <v>231</v>
      </c>
      <c r="AH371" s="10">
        <v>24927739</v>
      </c>
      <c r="AI371" s="24" t="str">
        <f>VLOOKUP(Sales[[#This Row],[Store]],'Store lay bao  cao'!A:B,2,0)</f>
        <v>Lấy BC</v>
      </c>
      <c r="AJ371" s="24" t="str">
        <f>VLOOKUP(Sales[[#This Row],[Associate]],'Associate Status'!B:C,2,0)</f>
        <v>Active</v>
      </c>
    </row>
    <row r="372" spans="1:36" x14ac:dyDescent="0.25">
      <c r="A372" s="7">
        <v>2024</v>
      </c>
      <c r="B372" s="8">
        <v>6</v>
      </c>
      <c r="C372" s="8">
        <v>24</v>
      </c>
      <c r="D372" s="8" t="s">
        <v>63</v>
      </c>
      <c r="E372" s="8" t="s">
        <v>37</v>
      </c>
      <c r="F372" s="8" t="s">
        <v>63</v>
      </c>
      <c r="G372" s="9">
        <v>131798429</v>
      </c>
      <c r="H372" s="10">
        <v>130095000</v>
      </c>
      <c r="I372" s="11">
        <v>45458</v>
      </c>
      <c r="J372" s="12">
        <v>209306</v>
      </c>
      <c r="K372" s="13" t="s">
        <v>1653</v>
      </c>
      <c r="L372" s="14" t="s">
        <v>65</v>
      </c>
      <c r="M372" s="11" t="s">
        <v>17</v>
      </c>
      <c r="N372" s="14" t="s">
        <v>62</v>
      </c>
      <c r="O372" s="15">
        <v>8295</v>
      </c>
      <c r="P372" s="12">
        <v>1</v>
      </c>
      <c r="Q372" s="13" t="s">
        <v>101</v>
      </c>
      <c r="R372" s="16">
        <v>296640000</v>
      </c>
      <c r="S372" s="17">
        <v>274666667</v>
      </c>
      <c r="T372" s="12">
        <v>11.25</v>
      </c>
      <c r="U372" s="18">
        <v>34810185</v>
      </c>
      <c r="V372" s="19">
        <v>37595000</v>
      </c>
      <c r="W372" s="13" t="s">
        <v>427</v>
      </c>
      <c r="X372" s="14" t="s">
        <v>1654</v>
      </c>
      <c r="Y372" s="13" t="s">
        <v>922</v>
      </c>
      <c r="Z372" s="14" t="s">
        <v>1655</v>
      </c>
      <c r="AA372" s="17">
        <v>16</v>
      </c>
      <c r="AB372" s="14" t="s">
        <v>173</v>
      </c>
      <c r="AC372" s="17">
        <v>334235000</v>
      </c>
      <c r="AD372" s="14" t="s">
        <v>108</v>
      </c>
      <c r="AE372" s="17">
        <v>309476852</v>
      </c>
      <c r="AF372" s="14" t="s">
        <v>123</v>
      </c>
      <c r="AG372" s="20" t="s">
        <v>923</v>
      </c>
      <c r="AH372" s="10">
        <v>142868238</v>
      </c>
      <c r="AI372" s="24" t="str">
        <f>VLOOKUP(Sales[[#This Row],[Store]],'Store lay bao  cao'!A:B,2,0)</f>
        <v>Lấy BC</v>
      </c>
      <c r="AJ372" s="24" t="str">
        <f>VLOOKUP(Sales[[#This Row],[Associate]],'Associate Status'!B:C,2,0)</f>
        <v>Active</v>
      </c>
    </row>
    <row r="373" spans="1:36" x14ac:dyDescent="0.25">
      <c r="A373" s="7">
        <v>2024</v>
      </c>
      <c r="B373" s="8">
        <v>6</v>
      </c>
      <c r="C373" s="8">
        <v>24</v>
      </c>
      <c r="D373" s="8" t="s">
        <v>63</v>
      </c>
      <c r="E373" s="8" t="s">
        <v>43</v>
      </c>
      <c r="F373" s="8" t="s">
        <v>63</v>
      </c>
      <c r="G373" s="9">
        <v>32949607</v>
      </c>
      <c r="H373" s="10">
        <v>32523750</v>
      </c>
      <c r="I373" s="11">
        <v>45458</v>
      </c>
      <c r="J373" s="12">
        <v>209286</v>
      </c>
      <c r="K373" s="13" t="s">
        <v>1656</v>
      </c>
      <c r="L373" s="14" t="s">
        <v>65</v>
      </c>
      <c r="M373" s="11" t="s">
        <v>17</v>
      </c>
      <c r="N373" s="14" t="s">
        <v>62</v>
      </c>
      <c r="O373" s="15">
        <v>8293</v>
      </c>
      <c r="P373" s="12">
        <v>1</v>
      </c>
      <c r="Q373" s="13" t="s">
        <v>175</v>
      </c>
      <c r="R373" s="16">
        <v>87615000</v>
      </c>
      <c r="S373" s="17">
        <v>81125000</v>
      </c>
      <c r="T373" s="12">
        <v>0</v>
      </c>
      <c r="U373" s="18">
        <v>0</v>
      </c>
      <c r="V373" s="19">
        <v>0</v>
      </c>
      <c r="W373" s="13" t="s">
        <v>427</v>
      </c>
      <c r="X373" s="14" t="s">
        <v>1657</v>
      </c>
      <c r="Y373" s="13" t="s">
        <v>218</v>
      </c>
      <c r="Z373" s="22" t="s">
        <v>1658</v>
      </c>
      <c r="AA373" s="17">
        <v>15</v>
      </c>
      <c r="AB373" s="14" t="s">
        <v>173</v>
      </c>
      <c r="AC373" s="17">
        <v>87615000</v>
      </c>
      <c r="AD373" s="14">
        <v>50</v>
      </c>
      <c r="AE373" s="17">
        <v>81125000</v>
      </c>
      <c r="AF373" s="14" t="s">
        <v>113</v>
      </c>
      <c r="AG373" s="21" t="s">
        <v>219</v>
      </c>
      <c r="AH373" s="10">
        <v>48175393</v>
      </c>
      <c r="AI373" s="24" t="str">
        <f>VLOOKUP(Sales[[#This Row],[Store]],'Store lay bao  cao'!A:B,2,0)</f>
        <v>Lấy BC</v>
      </c>
      <c r="AJ373" s="24" t="str">
        <f>VLOOKUP(Sales[[#This Row],[Associate]],'Associate Status'!B:C,2,0)</f>
        <v>Active</v>
      </c>
    </row>
    <row r="374" spans="1:36" x14ac:dyDescent="0.25">
      <c r="A374" s="7">
        <v>2024</v>
      </c>
      <c r="B374" s="8">
        <v>6</v>
      </c>
      <c r="C374" s="8">
        <v>24</v>
      </c>
      <c r="D374" s="8" t="s">
        <v>63</v>
      </c>
      <c r="E374" s="8" t="s">
        <v>34</v>
      </c>
      <c r="F374" s="8" t="s">
        <v>63</v>
      </c>
      <c r="G374" s="9">
        <v>65899215</v>
      </c>
      <c r="H374" s="10">
        <v>65047500</v>
      </c>
      <c r="I374" s="11">
        <v>45458</v>
      </c>
      <c r="J374" s="12">
        <v>209293</v>
      </c>
      <c r="K374" s="13" t="s">
        <v>1656</v>
      </c>
      <c r="L374" s="14" t="s">
        <v>65</v>
      </c>
      <c r="M374" s="11" t="s">
        <v>17</v>
      </c>
      <c r="N374" s="14" t="s">
        <v>62</v>
      </c>
      <c r="O374" s="15">
        <v>8293</v>
      </c>
      <c r="P374" s="12">
        <v>1</v>
      </c>
      <c r="Q374" s="13" t="s">
        <v>175</v>
      </c>
      <c r="R374" s="16">
        <v>165495000</v>
      </c>
      <c r="S374" s="17">
        <v>153236111</v>
      </c>
      <c r="T374" s="12">
        <v>0</v>
      </c>
      <c r="U374" s="18">
        <v>0</v>
      </c>
      <c r="V374" s="19">
        <v>0</v>
      </c>
      <c r="W374" s="13" t="s">
        <v>427</v>
      </c>
      <c r="X374" s="14" t="s">
        <v>1629</v>
      </c>
      <c r="Y374" s="13" t="s">
        <v>218</v>
      </c>
      <c r="Z374" s="14" t="s">
        <v>1630</v>
      </c>
      <c r="AA374" s="17">
        <v>15</v>
      </c>
      <c r="AB374" s="14" t="s">
        <v>173</v>
      </c>
      <c r="AC374" s="17">
        <v>165495000</v>
      </c>
      <c r="AD374" s="14" t="s">
        <v>108</v>
      </c>
      <c r="AE374" s="17">
        <v>153236111</v>
      </c>
      <c r="AF374" s="14" t="s">
        <v>113</v>
      </c>
      <c r="AG374" s="20" t="s">
        <v>219</v>
      </c>
      <c r="AH374" s="10">
        <v>87336896</v>
      </c>
      <c r="AI374" s="24" t="str">
        <f>VLOOKUP(Sales[[#This Row],[Store]],'Store lay bao  cao'!A:B,2,0)</f>
        <v>Lấy BC</v>
      </c>
      <c r="AJ374" s="24" t="str">
        <f>VLOOKUP(Sales[[#This Row],[Associate]],'Associate Status'!B:C,2,0)</f>
        <v>Active</v>
      </c>
    </row>
    <row r="375" spans="1:36" x14ac:dyDescent="0.25">
      <c r="A375" s="7">
        <v>2024</v>
      </c>
      <c r="B375" s="8">
        <v>6</v>
      </c>
      <c r="C375" s="8">
        <v>24</v>
      </c>
      <c r="D375" s="8" t="s">
        <v>63</v>
      </c>
      <c r="E375" s="8" t="s">
        <v>43</v>
      </c>
      <c r="F375" s="8" t="s">
        <v>63</v>
      </c>
      <c r="G375" s="9">
        <v>-32949607</v>
      </c>
      <c r="H375" s="10">
        <v>-32523750</v>
      </c>
      <c r="I375" s="11">
        <v>45458</v>
      </c>
      <c r="J375" s="12">
        <v>209286</v>
      </c>
      <c r="K375" s="13" t="s">
        <v>1659</v>
      </c>
      <c r="L375" s="14" t="s">
        <v>65</v>
      </c>
      <c r="M375" s="11" t="s">
        <v>17</v>
      </c>
      <c r="N375" s="14" t="s">
        <v>62</v>
      </c>
      <c r="O375" s="15">
        <v>8298</v>
      </c>
      <c r="P375" s="12">
        <v>-1</v>
      </c>
      <c r="Q375" s="13" t="s">
        <v>156</v>
      </c>
      <c r="R375" s="16">
        <v>-87615000</v>
      </c>
      <c r="S375" s="17">
        <v>-81125000</v>
      </c>
      <c r="T375" s="12">
        <v>0</v>
      </c>
      <c r="U375" s="18">
        <v>0</v>
      </c>
      <c r="V375" s="19">
        <v>0</v>
      </c>
      <c r="W375" s="13" t="s">
        <v>427</v>
      </c>
      <c r="X375" s="14" t="s">
        <v>1657</v>
      </c>
      <c r="Y375" s="13" t="s">
        <v>218</v>
      </c>
      <c r="Z375" s="14" t="s">
        <v>1658</v>
      </c>
      <c r="AA375" s="17">
        <v>17</v>
      </c>
      <c r="AB375" s="14" t="s">
        <v>173</v>
      </c>
      <c r="AC375" s="17">
        <v>-87615000</v>
      </c>
      <c r="AD375" s="14">
        <v>50</v>
      </c>
      <c r="AE375" s="17">
        <v>-81125000</v>
      </c>
      <c r="AF375" s="14" t="s">
        <v>113</v>
      </c>
      <c r="AG375" s="21" t="s">
        <v>219</v>
      </c>
      <c r="AH375" s="10">
        <v>-48175393</v>
      </c>
      <c r="AI375" s="24" t="str">
        <f>VLOOKUP(Sales[[#This Row],[Store]],'Store lay bao  cao'!A:B,2,0)</f>
        <v>Lấy BC</v>
      </c>
      <c r="AJ375" s="24" t="str">
        <f>VLOOKUP(Sales[[#This Row],[Associate]],'Associate Status'!B:C,2,0)</f>
        <v>Active</v>
      </c>
    </row>
    <row r="376" spans="1:36" x14ac:dyDescent="0.25">
      <c r="A376" s="7">
        <v>2024</v>
      </c>
      <c r="B376" s="8">
        <v>6</v>
      </c>
      <c r="C376" s="8">
        <v>24</v>
      </c>
      <c r="D376" s="8" t="s">
        <v>63</v>
      </c>
      <c r="E376" s="8" t="s">
        <v>34</v>
      </c>
      <c r="F376" s="8" t="s">
        <v>63</v>
      </c>
      <c r="G376" s="9">
        <v>-65899215</v>
      </c>
      <c r="H376" s="10">
        <v>-65047500</v>
      </c>
      <c r="I376" s="11">
        <v>45458</v>
      </c>
      <c r="J376" s="12">
        <v>209293</v>
      </c>
      <c r="K376" s="13" t="s">
        <v>1659</v>
      </c>
      <c r="L376" s="14" t="s">
        <v>65</v>
      </c>
      <c r="M376" s="11" t="s">
        <v>17</v>
      </c>
      <c r="N376" s="14" t="s">
        <v>62</v>
      </c>
      <c r="O376" s="15">
        <v>8298</v>
      </c>
      <c r="P376" s="12">
        <v>-1</v>
      </c>
      <c r="Q376" s="13" t="s">
        <v>156</v>
      </c>
      <c r="R376" s="16">
        <v>-165495000</v>
      </c>
      <c r="S376" s="17">
        <v>-153236111</v>
      </c>
      <c r="T376" s="12">
        <v>0</v>
      </c>
      <c r="U376" s="18">
        <v>0</v>
      </c>
      <c r="V376" s="19">
        <v>0</v>
      </c>
      <c r="W376" s="13" t="s">
        <v>427</v>
      </c>
      <c r="X376" s="14" t="s">
        <v>1629</v>
      </c>
      <c r="Y376" s="13" t="s">
        <v>218</v>
      </c>
      <c r="Z376" s="14" t="s">
        <v>1630</v>
      </c>
      <c r="AA376" s="17">
        <v>17</v>
      </c>
      <c r="AB376" s="14" t="s">
        <v>173</v>
      </c>
      <c r="AC376" s="17">
        <v>-165495000</v>
      </c>
      <c r="AD376" s="14" t="s">
        <v>108</v>
      </c>
      <c r="AE376" s="17">
        <v>-153236111</v>
      </c>
      <c r="AF376" s="14" t="s">
        <v>113</v>
      </c>
      <c r="AG376" s="20" t="s">
        <v>219</v>
      </c>
      <c r="AH376" s="10">
        <v>-87336896</v>
      </c>
      <c r="AI376" s="24" t="str">
        <f>VLOOKUP(Sales[[#This Row],[Store]],'Store lay bao  cao'!A:B,2,0)</f>
        <v>Lấy BC</v>
      </c>
      <c r="AJ376" s="24" t="str">
        <f>VLOOKUP(Sales[[#This Row],[Associate]],'Associate Status'!B:C,2,0)</f>
        <v>Active</v>
      </c>
    </row>
    <row r="377" spans="1:36" x14ac:dyDescent="0.25">
      <c r="A377" s="7">
        <v>2024</v>
      </c>
      <c r="B377" s="8">
        <v>6</v>
      </c>
      <c r="C377" s="8">
        <v>25</v>
      </c>
      <c r="D377" s="8" t="s">
        <v>63</v>
      </c>
      <c r="E377" s="8" t="s">
        <v>34</v>
      </c>
      <c r="F377" s="8" t="s">
        <v>63</v>
      </c>
      <c r="G377" s="9">
        <v>65899215</v>
      </c>
      <c r="H377" s="10">
        <v>65047500</v>
      </c>
      <c r="I377" s="11">
        <v>45460</v>
      </c>
      <c r="J377" s="12">
        <v>209294</v>
      </c>
      <c r="K377" s="13" t="s">
        <v>1660</v>
      </c>
      <c r="L377" s="14" t="s">
        <v>65</v>
      </c>
      <c r="M377" s="11" t="s">
        <v>17</v>
      </c>
      <c r="N377" s="14" t="s">
        <v>62</v>
      </c>
      <c r="O377" s="15">
        <v>8311</v>
      </c>
      <c r="P377" s="12">
        <v>1</v>
      </c>
      <c r="Q377" s="13" t="s">
        <v>175</v>
      </c>
      <c r="R377" s="16">
        <v>165495000</v>
      </c>
      <c r="S377" s="17">
        <v>153236111</v>
      </c>
      <c r="T377" s="12">
        <v>0</v>
      </c>
      <c r="U377" s="18">
        <v>0</v>
      </c>
      <c r="V377" s="19">
        <v>0</v>
      </c>
      <c r="W377" s="13" t="s">
        <v>427</v>
      </c>
      <c r="X377" s="14" t="s">
        <v>1661</v>
      </c>
      <c r="Y377" s="13" t="s">
        <v>218</v>
      </c>
      <c r="Z377" s="14" t="s">
        <v>1662</v>
      </c>
      <c r="AA377" s="17">
        <v>15</v>
      </c>
      <c r="AB377" s="14" t="s">
        <v>173</v>
      </c>
      <c r="AC377" s="17">
        <v>165495000</v>
      </c>
      <c r="AD377" s="14" t="s">
        <v>108</v>
      </c>
      <c r="AE377" s="17">
        <v>153236111</v>
      </c>
      <c r="AF377" s="14" t="s">
        <v>113</v>
      </c>
      <c r="AG377" s="21" t="s">
        <v>219</v>
      </c>
      <c r="AH377" s="10">
        <v>87336896</v>
      </c>
      <c r="AI377" s="24" t="str">
        <f>VLOOKUP(Sales[[#This Row],[Store]],'Store lay bao  cao'!A:B,2,0)</f>
        <v>Lấy BC</v>
      </c>
      <c r="AJ377" s="24" t="str">
        <f>VLOOKUP(Sales[[#This Row],[Associate]],'Associate Status'!B:C,2,0)</f>
        <v>Active</v>
      </c>
    </row>
    <row r="378" spans="1:36" x14ac:dyDescent="0.25">
      <c r="A378" s="7">
        <v>2024</v>
      </c>
      <c r="B378" s="8">
        <v>6</v>
      </c>
      <c r="C378" s="8">
        <v>25</v>
      </c>
      <c r="D378" s="8" t="s">
        <v>60</v>
      </c>
      <c r="E378" s="8" t="s">
        <v>34</v>
      </c>
      <c r="F378" s="8" t="s">
        <v>60</v>
      </c>
      <c r="G378" s="9">
        <v>59243382</v>
      </c>
      <c r="H378" s="10">
        <v>57344375</v>
      </c>
      <c r="I378" s="11">
        <v>45463</v>
      </c>
      <c r="J378" s="12">
        <v>205084</v>
      </c>
      <c r="K378" s="13" t="s">
        <v>639</v>
      </c>
      <c r="L378" s="14" t="s">
        <v>64</v>
      </c>
      <c r="M378" s="11" t="s">
        <v>15</v>
      </c>
      <c r="N378" s="14" t="s">
        <v>62</v>
      </c>
      <c r="O378" s="15">
        <v>4502</v>
      </c>
      <c r="P378" s="12">
        <v>1</v>
      </c>
      <c r="Q378" s="13" t="s">
        <v>101</v>
      </c>
      <c r="R378" s="16">
        <v>143820000</v>
      </c>
      <c r="S378" s="17">
        <v>133166667</v>
      </c>
      <c r="T378" s="12">
        <v>0</v>
      </c>
      <c r="U378" s="18">
        <v>0</v>
      </c>
      <c r="V378" s="19">
        <v>0</v>
      </c>
      <c r="W378" s="13" t="s">
        <v>104</v>
      </c>
      <c r="X378" s="14" t="s">
        <v>1614</v>
      </c>
      <c r="Y378" s="13" t="s">
        <v>183</v>
      </c>
      <c r="Z378" s="14" t="s">
        <v>1615</v>
      </c>
      <c r="AA378" s="17">
        <v>12</v>
      </c>
      <c r="AB378" s="14" t="s">
        <v>1126</v>
      </c>
      <c r="AC378" s="17">
        <v>143820000</v>
      </c>
      <c r="AD378" s="14" t="s">
        <v>108</v>
      </c>
      <c r="AE378" s="17">
        <v>133166667</v>
      </c>
      <c r="AF378" s="14" t="s">
        <v>2594</v>
      </c>
      <c r="AG378" s="20" t="s">
        <v>184</v>
      </c>
      <c r="AH378" s="10">
        <v>73923285</v>
      </c>
      <c r="AI378" s="24" t="str">
        <f>VLOOKUP(Sales[[#This Row],[Store]],'Store lay bao  cao'!A:B,2,0)</f>
        <v>Lấy BC</v>
      </c>
      <c r="AJ378" s="24" t="e">
        <f>VLOOKUP(Sales[[#This Row],[Associate]],'Associate Status'!B:C,2,0)</f>
        <v>#N/A</v>
      </c>
    </row>
    <row r="379" spans="1:36" x14ac:dyDescent="0.25">
      <c r="A379" s="7">
        <v>2024</v>
      </c>
      <c r="B379" s="8">
        <v>6</v>
      </c>
      <c r="C379" s="8">
        <v>25</v>
      </c>
      <c r="D379" s="8" t="s">
        <v>60</v>
      </c>
      <c r="E379" s="8" t="s">
        <v>34</v>
      </c>
      <c r="F379" s="8" t="s">
        <v>60</v>
      </c>
      <c r="G379" s="9">
        <v>-102028015</v>
      </c>
      <c r="H379" s="10">
        <v>-98752500</v>
      </c>
      <c r="I379" s="11">
        <v>45463</v>
      </c>
      <c r="J379" s="12">
        <v>205102</v>
      </c>
      <c r="K379" s="13" t="s">
        <v>639</v>
      </c>
      <c r="L379" s="14" t="s">
        <v>64</v>
      </c>
      <c r="M379" s="11" t="s">
        <v>15</v>
      </c>
      <c r="N379" s="14" t="s">
        <v>62</v>
      </c>
      <c r="O379" s="15">
        <v>4502</v>
      </c>
      <c r="P379" s="12">
        <v>-1</v>
      </c>
      <c r="Q379" s="13" t="s">
        <v>101</v>
      </c>
      <c r="R379" s="16">
        <v>-235288400</v>
      </c>
      <c r="S379" s="17">
        <v>-217859630</v>
      </c>
      <c r="T379" s="12">
        <v>5</v>
      </c>
      <c r="U379" s="18">
        <v>-11466296</v>
      </c>
      <c r="V379" s="19">
        <v>-12383600</v>
      </c>
      <c r="W379" s="13" t="s">
        <v>104</v>
      </c>
      <c r="X379" s="14" t="s">
        <v>1663</v>
      </c>
      <c r="Y379" s="13" t="s">
        <v>183</v>
      </c>
      <c r="Z379" s="14" t="s">
        <v>1664</v>
      </c>
      <c r="AA379" s="17">
        <v>12</v>
      </c>
      <c r="AB379" s="14" t="s">
        <v>1578</v>
      </c>
      <c r="AC379" s="17">
        <v>-247672000</v>
      </c>
      <c r="AD379" s="14" t="s">
        <v>108</v>
      </c>
      <c r="AE379" s="17">
        <v>-229325926</v>
      </c>
      <c r="AF379" s="14" t="s">
        <v>2594</v>
      </c>
      <c r="AG379" s="21" t="s">
        <v>184</v>
      </c>
      <c r="AH379" s="10">
        <v>-115831615</v>
      </c>
      <c r="AI379" s="24" t="str">
        <f>VLOOKUP(Sales[[#This Row],[Store]],'Store lay bao  cao'!A:B,2,0)</f>
        <v>Lấy BC</v>
      </c>
      <c r="AJ379" s="24" t="e">
        <f>VLOOKUP(Sales[[#This Row],[Associate]],'Associate Status'!B:C,2,0)</f>
        <v>#N/A</v>
      </c>
    </row>
    <row r="380" spans="1:36" x14ac:dyDescent="0.25">
      <c r="A380" s="7">
        <v>2024</v>
      </c>
      <c r="B380" s="8">
        <v>6</v>
      </c>
      <c r="C380" s="8">
        <v>25</v>
      </c>
      <c r="D380" s="8" t="s">
        <v>60</v>
      </c>
      <c r="E380" s="8" t="s">
        <v>34</v>
      </c>
      <c r="F380" s="8" t="s">
        <v>60</v>
      </c>
      <c r="G380" s="9">
        <v>-59243382</v>
      </c>
      <c r="H380" s="10">
        <v>-57344375</v>
      </c>
      <c r="I380" s="11">
        <v>45463</v>
      </c>
      <c r="J380" s="12">
        <v>205084</v>
      </c>
      <c r="K380" s="13" t="s">
        <v>638</v>
      </c>
      <c r="L380" s="14" t="s">
        <v>64</v>
      </c>
      <c r="M380" s="11" t="s">
        <v>15</v>
      </c>
      <c r="N380" s="14" t="s">
        <v>62</v>
      </c>
      <c r="O380" s="15">
        <v>4501</v>
      </c>
      <c r="P380" s="12">
        <v>-1</v>
      </c>
      <c r="Q380" s="13" t="s">
        <v>101</v>
      </c>
      <c r="R380" s="16">
        <v>-143820000</v>
      </c>
      <c r="S380" s="17">
        <v>-133166667</v>
      </c>
      <c r="T380" s="12">
        <v>0</v>
      </c>
      <c r="U380" s="18">
        <v>0</v>
      </c>
      <c r="V380" s="19">
        <v>0</v>
      </c>
      <c r="W380" s="13" t="s">
        <v>104</v>
      </c>
      <c r="X380" s="14" t="s">
        <v>1614</v>
      </c>
      <c r="Y380" s="13" t="s">
        <v>183</v>
      </c>
      <c r="Z380" s="14" t="s">
        <v>1615</v>
      </c>
      <c r="AA380" s="17">
        <v>12</v>
      </c>
      <c r="AB380" s="14" t="s">
        <v>1126</v>
      </c>
      <c r="AC380" s="17">
        <v>-143820000</v>
      </c>
      <c r="AD380" s="14" t="s">
        <v>108</v>
      </c>
      <c r="AE380" s="17">
        <v>-133166667</v>
      </c>
      <c r="AF380" s="14" t="s">
        <v>2594</v>
      </c>
      <c r="AG380" s="20" t="s">
        <v>184</v>
      </c>
      <c r="AH380" s="10">
        <v>-73923285</v>
      </c>
      <c r="AI380" s="24" t="str">
        <f>VLOOKUP(Sales[[#This Row],[Store]],'Store lay bao  cao'!A:B,2,0)</f>
        <v>Lấy BC</v>
      </c>
      <c r="AJ380" s="24" t="e">
        <f>VLOOKUP(Sales[[#This Row],[Associate]],'Associate Status'!B:C,2,0)</f>
        <v>#N/A</v>
      </c>
    </row>
    <row r="381" spans="1:36" x14ac:dyDescent="0.25">
      <c r="A381" s="7">
        <v>2024</v>
      </c>
      <c r="B381" s="8">
        <v>6</v>
      </c>
      <c r="C381" s="8">
        <v>25</v>
      </c>
      <c r="D381" s="8" t="s">
        <v>60</v>
      </c>
      <c r="E381" s="8" t="s">
        <v>34</v>
      </c>
      <c r="F381" s="8" t="s">
        <v>60</v>
      </c>
      <c r="G381" s="9">
        <v>102028015</v>
      </c>
      <c r="H381" s="10">
        <v>98752500</v>
      </c>
      <c r="I381" s="11">
        <v>45463</v>
      </c>
      <c r="J381" s="12">
        <v>205102</v>
      </c>
      <c r="K381" s="13" t="s">
        <v>638</v>
      </c>
      <c r="L381" s="14" t="s">
        <v>64</v>
      </c>
      <c r="M381" s="11" t="s">
        <v>15</v>
      </c>
      <c r="N381" s="14" t="s">
        <v>62</v>
      </c>
      <c r="O381" s="15">
        <v>4501</v>
      </c>
      <c r="P381" s="12">
        <v>1</v>
      </c>
      <c r="Q381" s="13" t="s">
        <v>101</v>
      </c>
      <c r="R381" s="16">
        <v>235288400</v>
      </c>
      <c r="S381" s="17">
        <v>217859630</v>
      </c>
      <c r="T381" s="12">
        <v>5</v>
      </c>
      <c r="U381" s="18">
        <v>11466296</v>
      </c>
      <c r="V381" s="19">
        <v>12383600</v>
      </c>
      <c r="W381" s="13" t="s">
        <v>104</v>
      </c>
      <c r="X381" s="14" t="s">
        <v>1663</v>
      </c>
      <c r="Y381" s="13" t="s">
        <v>183</v>
      </c>
      <c r="Z381" s="14" t="s">
        <v>1664</v>
      </c>
      <c r="AA381" s="17">
        <v>12</v>
      </c>
      <c r="AB381" s="14" t="s">
        <v>1578</v>
      </c>
      <c r="AC381" s="17">
        <v>247672000</v>
      </c>
      <c r="AD381" s="14" t="s">
        <v>108</v>
      </c>
      <c r="AE381" s="17">
        <v>229325926</v>
      </c>
      <c r="AF381" s="14" t="s">
        <v>2594</v>
      </c>
      <c r="AG381" s="21" t="s">
        <v>184</v>
      </c>
      <c r="AH381" s="10">
        <v>115831615</v>
      </c>
      <c r="AI381" s="24" t="str">
        <f>VLOOKUP(Sales[[#This Row],[Store]],'Store lay bao  cao'!A:B,2,0)</f>
        <v>Lấy BC</v>
      </c>
      <c r="AJ381" s="24" t="e">
        <f>VLOOKUP(Sales[[#This Row],[Associate]],'Associate Status'!B:C,2,0)</f>
        <v>#N/A</v>
      </c>
    </row>
    <row r="382" spans="1:36" x14ac:dyDescent="0.25">
      <c r="A382" s="7">
        <v>2024</v>
      </c>
      <c r="B382" s="8">
        <v>6</v>
      </c>
      <c r="C382" s="8">
        <v>25</v>
      </c>
      <c r="D382" s="8" t="s">
        <v>60</v>
      </c>
      <c r="E382" s="8" t="s">
        <v>34</v>
      </c>
      <c r="F382" s="8" t="s">
        <v>60</v>
      </c>
      <c r="G382" s="9">
        <v>-59243382</v>
      </c>
      <c r="H382" s="10">
        <v>-57344375</v>
      </c>
      <c r="I382" s="11">
        <v>45463</v>
      </c>
      <c r="J382" s="12">
        <v>205084</v>
      </c>
      <c r="K382" s="13" t="s">
        <v>637</v>
      </c>
      <c r="L382" s="14" t="s">
        <v>64</v>
      </c>
      <c r="M382" s="11" t="s">
        <v>15</v>
      </c>
      <c r="N382" s="14" t="s">
        <v>62</v>
      </c>
      <c r="O382" s="15">
        <v>4503</v>
      </c>
      <c r="P382" s="12">
        <v>-1</v>
      </c>
      <c r="Q382" s="13" t="s">
        <v>101</v>
      </c>
      <c r="R382" s="16">
        <v>-143820000</v>
      </c>
      <c r="S382" s="17">
        <v>-133166667</v>
      </c>
      <c r="T382" s="12">
        <v>0</v>
      </c>
      <c r="U382" s="18">
        <v>0</v>
      </c>
      <c r="V382" s="19">
        <v>0</v>
      </c>
      <c r="W382" s="13" t="s">
        <v>104</v>
      </c>
      <c r="X382" s="14" t="s">
        <v>1614</v>
      </c>
      <c r="Y382" s="13" t="s">
        <v>183</v>
      </c>
      <c r="Z382" s="14" t="s">
        <v>1615</v>
      </c>
      <c r="AA382" s="17">
        <v>12</v>
      </c>
      <c r="AB382" s="14" t="s">
        <v>1126</v>
      </c>
      <c r="AC382" s="17">
        <v>-143820000</v>
      </c>
      <c r="AD382" s="14" t="s">
        <v>108</v>
      </c>
      <c r="AE382" s="17">
        <v>-133166667</v>
      </c>
      <c r="AF382" s="14" t="s">
        <v>2595</v>
      </c>
      <c r="AG382" s="20" t="s">
        <v>184</v>
      </c>
      <c r="AH382" s="10">
        <v>-73923285</v>
      </c>
      <c r="AI382" s="24" t="str">
        <f>VLOOKUP(Sales[[#This Row],[Store]],'Store lay bao  cao'!A:B,2,0)</f>
        <v>Lấy BC</v>
      </c>
      <c r="AJ382" s="24" t="e">
        <f>VLOOKUP(Sales[[#This Row],[Associate]],'Associate Status'!B:C,2,0)</f>
        <v>#N/A</v>
      </c>
    </row>
    <row r="383" spans="1:36" x14ac:dyDescent="0.25">
      <c r="A383" s="7">
        <v>2024</v>
      </c>
      <c r="B383" s="8">
        <v>6</v>
      </c>
      <c r="C383" s="8">
        <v>25</v>
      </c>
      <c r="D383" s="8" t="s">
        <v>60</v>
      </c>
      <c r="E383" s="8" t="s">
        <v>34</v>
      </c>
      <c r="F383" s="8" t="s">
        <v>60</v>
      </c>
      <c r="G383" s="9">
        <v>102028015</v>
      </c>
      <c r="H383" s="10">
        <v>98752500</v>
      </c>
      <c r="I383" s="11">
        <v>45463</v>
      </c>
      <c r="J383" s="12">
        <v>205102</v>
      </c>
      <c r="K383" s="13" t="s">
        <v>637</v>
      </c>
      <c r="L383" s="14" t="s">
        <v>64</v>
      </c>
      <c r="M383" s="11" t="s">
        <v>15</v>
      </c>
      <c r="N383" s="14" t="s">
        <v>62</v>
      </c>
      <c r="O383" s="15">
        <v>4503</v>
      </c>
      <c r="P383" s="12">
        <v>1</v>
      </c>
      <c r="Q383" s="13" t="s">
        <v>101</v>
      </c>
      <c r="R383" s="16">
        <v>235288400</v>
      </c>
      <c r="S383" s="17">
        <v>217859630</v>
      </c>
      <c r="T383" s="12">
        <v>5</v>
      </c>
      <c r="U383" s="18">
        <v>11466296</v>
      </c>
      <c r="V383" s="19">
        <v>12383600</v>
      </c>
      <c r="W383" s="13" t="s">
        <v>104</v>
      </c>
      <c r="X383" s="14" t="s">
        <v>1663</v>
      </c>
      <c r="Y383" s="13" t="s">
        <v>183</v>
      </c>
      <c r="Z383" s="14" t="s">
        <v>1664</v>
      </c>
      <c r="AA383" s="17">
        <v>12</v>
      </c>
      <c r="AB383" s="14" t="s">
        <v>1578</v>
      </c>
      <c r="AC383" s="17">
        <v>247672000</v>
      </c>
      <c r="AD383" s="14" t="s">
        <v>108</v>
      </c>
      <c r="AE383" s="17">
        <v>229325926</v>
      </c>
      <c r="AF383" s="14" t="s">
        <v>2594</v>
      </c>
      <c r="AG383" s="21" t="s">
        <v>184</v>
      </c>
      <c r="AH383" s="10">
        <v>115831615</v>
      </c>
      <c r="AI383" s="24" t="str">
        <f>VLOOKUP(Sales[[#This Row],[Store]],'Store lay bao  cao'!A:B,2,0)</f>
        <v>Lấy BC</v>
      </c>
      <c r="AJ383" s="24" t="e">
        <f>VLOOKUP(Sales[[#This Row],[Associate]],'Associate Status'!B:C,2,0)</f>
        <v>#N/A</v>
      </c>
    </row>
    <row r="384" spans="1:36" x14ac:dyDescent="0.25">
      <c r="A384" s="7">
        <v>2024</v>
      </c>
      <c r="B384" s="8">
        <v>6</v>
      </c>
      <c r="C384" s="8">
        <v>25</v>
      </c>
      <c r="D384" s="8" t="s">
        <v>60</v>
      </c>
      <c r="E384" s="8" t="s">
        <v>34</v>
      </c>
      <c r="F384" s="8" t="s">
        <v>60</v>
      </c>
      <c r="G384" s="9">
        <v>54204629</v>
      </c>
      <c r="H384" s="10">
        <v>52641875</v>
      </c>
      <c r="I384" s="11">
        <v>45466</v>
      </c>
      <c r="J384" s="12">
        <v>205094</v>
      </c>
      <c r="K384" s="13" t="s">
        <v>645</v>
      </c>
      <c r="L384" s="14" t="s">
        <v>64</v>
      </c>
      <c r="M384" s="11" t="s">
        <v>15</v>
      </c>
      <c r="N384" s="14" t="s">
        <v>62</v>
      </c>
      <c r="O384" s="15">
        <v>4524</v>
      </c>
      <c r="P384" s="12">
        <v>1</v>
      </c>
      <c r="Q384" s="13" t="s">
        <v>101</v>
      </c>
      <c r="R384" s="16">
        <v>125424700</v>
      </c>
      <c r="S384" s="17">
        <v>116133981</v>
      </c>
      <c r="T384" s="12">
        <v>5</v>
      </c>
      <c r="U384" s="18">
        <v>6112315</v>
      </c>
      <c r="V384" s="19">
        <v>6601300</v>
      </c>
      <c r="W384" s="13" t="s">
        <v>104</v>
      </c>
      <c r="X384" s="14" t="s">
        <v>1666</v>
      </c>
      <c r="Y384" s="13" t="s">
        <v>274</v>
      </c>
      <c r="Z384" s="14" t="s">
        <v>1667</v>
      </c>
      <c r="AA384" s="17">
        <v>18</v>
      </c>
      <c r="AB384" s="14" t="s">
        <v>1578</v>
      </c>
      <c r="AC384" s="17">
        <v>132026000</v>
      </c>
      <c r="AD384" s="14" t="s">
        <v>108</v>
      </c>
      <c r="AE384" s="17">
        <v>122246296</v>
      </c>
      <c r="AF384" s="14" t="s">
        <v>106</v>
      </c>
      <c r="AG384" s="20" t="s">
        <v>275</v>
      </c>
      <c r="AH384" s="10">
        <v>61929352</v>
      </c>
      <c r="AI384" s="24" t="str">
        <f>VLOOKUP(Sales[[#This Row],[Store]],'Store lay bao  cao'!A:B,2,0)</f>
        <v>Lấy BC</v>
      </c>
      <c r="AJ384" s="24" t="str">
        <f>VLOOKUP(Sales[[#This Row],[Associate]],'Associate Status'!B:C,2,0)</f>
        <v>Active</v>
      </c>
    </row>
    <row r="385" spans="1:36" x14ac:dyDescent="0.25">
      <c r="A385" s="7">
        <v>2024</v>
      </c>
      <c r="B385" s="8">
        <v>6</v>
      </c>
      <c r="C385" s="8">
        <v>26</v>
      </c>
      <c r="D385" s="8" t="s">
        <v>52</v>
      </c>
      <c r="E385" s="8" t="s">
        <v>43</v>
      </c>
      <c r="F385" s="8" t="s">
        <v>52</v>
      </c>
      <c r="G385" s="9">
        <v>10242840</v>
      </c>
      <c r="H385" s="10">
        <v>8668800</v>
      </c>
      <c r="I385" s="11">
        <v>45469</v>
      </c>
      <c r="J385" s="12">
        <v>186466</v>
      </c>
      <c r="K385" s="13" t="s">
        <v>641</v>
      </c>
      <c r="L385" s="14" t="s">
        <v>19</v>
      </c>
      <c r="M385" s="11" t="s">
        <v>15</v>
      </c>
      <c r="N385" s="14" t="s">
        <v>11</v>
      </c>
      <c r="O385" s="15">
        <v>4537</v>
      </c>
      <c r="P385" s="12">
        <v>1</v>
      </c>
      <c r="Q385" s="13" t="s">
        <v>175</v>
      </c>
      <c r="R385" s="16">
        <v>25638340</v>
      </c>
      <c r="S385" s="17">
        <v>23739204</v>
      </c>
      <c r="T385" s="12">
        <v>9</v>
      </c>
      <c r="U385" s="18">
        <v>2347833</v>
      </c>
      <c r="V385" s="19">
        <v>2535660</v>
      </c>
      <c r="W385" s="13" t="s">
        <v>135</v>
      </c>
      <c r="X385" s="14" t="s">
        <v>1668</v>
      </c>
      <c r="Y385" s="13" t="s">
        <v>826</v>
      </c>
      <c r="Z385" s="14" t="s">
        <v>1669</v>
      </c>
      <c r="AA385" s="17">
        <v>14</v>
      </c>
      <c r="AB385" s="14" t="s">
        <v>1642</v>
      </c>
      <c r="AC385" s="17">
        <v>28174000</v>
      </c>
      <c r="AD385" s="14" t="s">
        <v>1262</v>
      </c>
      <c r="AE385" s="17">
        <v>26087037</v>
      </c>
      <c r="AF385" s="14" t="s">
        <v>352</v>
      </c>
      <c r="AG385" s="21" t="s">
        <v>1670</v>
      </c>
      <c r="AH385" s="10">
        <v>13496364</v>
      </c>
      <c r="AI385" s="24" t="str">
        <f>VLOOKUP(Sales[[#This Row],[Store]],'Store lay bao  cao'!A:B,2,0)</f>
        <v>Lấy BC</v>
      </c>
      <c r="AJ385" s="24" t="str">
        <f>VLOOKUP(Sales[[#This Row],[Associate]],'Associate Status'!B:C,2,0)</f>
        <v>Retired</v>
      </c>
    </row>
    <row r="386" spans="1:36" x14ac:dyDescent="0.25">
      <c r="A386" s="7">
        <v>2024</v>
      </c>
      <c r="B386" s="8">
        <v>6</v>
      </c>
      <c r="C386" s="8">
        <v>26</v>
      </c>
      <c r="D386" s="8" t="s">
        <v>60</v>
      </c>
      <c r="E386" s="8" t="s">
        <v>37</v>
      </c>
      <c r="F386" s="8" t="s">
        <v>60</v>
      </c>
      <c r="G386" s="9">
        <v>6982468</v>
      </c>
      <c r="H386" s="10">
        <v>6498000</v>
      </c>
      <c r="I386" s="11">
        <v>45469</v>
      </c>
      <c r="J386" s="12">
        <v>208274</v>
      </c>
      <c r="K386" s="13" t="s">
        <v>641</v>
      </c>
      <c r="L386" s="14" t="s">
        <v>50</v>
      </c>
      <c r="M386" s="11" t="s">
        <v>15</v>
      </c>
      <c r="N386" s="14" t="s">
        <v>11</v>
      </c>
      <c r="O386" s="15">
        <v>4537</v>
      </c>
      <c r="P386" s="12">
        <v>1</v>
      </c>
      <c r="Q386" s="13" t="s">
        <v>175</v>
      </c>
      <c r="R386" s="16">
        <v>18922540</v>
      </c>
      <c r="S386" s="17">
        <v>17520870</v>
      </c>
      <c r="T386" s="12">
        <v>9</v>
      </c>
      <c r="U386" s="18">
        <v>1732833</v>
      </c>
      <c r="V386" s="19">
        <v>1871460</v>
      </c>
      <c r="W386" s="13" t="s">
        <v>135</v>
      </c>
      <c r="X386" s="14" t="s">
        <v>1671</v>
      </c>
      <c r="Y386" s="13" t="s">
        <v>826</v>
      </c>
      <c r="Z386" s="14" t="s">
        <v>1672</v>
      </c>
      <c r="AA386" s="17">
        <v>14</v>
      </c>
      <c r="AB386" s="14" t="s">
        <v>137</v>
      </c>
      <c r="AC386" s="17">
        <v>20794000</v>
      </c>
      <c r="AD386" s="14" t="s">
        <v>108</v>
      </c>
      <c r="AE386" s="17">
        <v>19253704</v>
      </c>
      <c r="AF386" s="14" t="s">
        <v>352</v>
      </c>
      <c r="AG386" s="20" t="s">
        <v>1670</v>
      </c>
      <c r="AH386" s="10">
        <v>10538402</v>
      </c>
      <c r="AI386" s="24" t="str">
        <f>VLOOKUP(Sales[[#This Row],[Store]],'Store lay bao  cao'!A:B,2,0)</f>
        <v>Lấy BC</v>
      </c>
      <c r="AJ386" s="24" t="str">
        <f>VLOOKUP(Sales[[#This Row],[Associate]],'Associate Status'!B:C,2,0)</f>
        <v>Retired</v>
      </c>
    </row>
    <row r="387" spans="1:36" x14ac:dyDescent="0.25">
      <c r="A387" s="7">
        <v>2024</v>
      </c>
      <c r="B387" s="8">
        <v>6</v>
      </c>
      <c r="C387" s="8">
        <v>26</v>
      </c>
      <c r="D387" s="8" t="s">
        <v>52</v>
      </c>
      <c r="E387" s="8" t="s">
        <v>43</v>
      </c>
      <c r="F387" s="8" t="s">
        <v>52</v>
      </c>
      <c r="G387" s="9">
        <v>17261243</v>
      </c>
      <c r="H387" s="10">
        <v>14602800</v>
      </c>
      <c r="I387" s="11">
        <v>45469</v>
      </c>
      <c r="J387" s="12">
        <v>186489</v>
      </c>
      <c r="K387" s="13" t="s">
        <v>641</v>
      </c>
      <c r="L387" s="14" t="s">
        <v>19</v>
      </c>
      <c r="M387" s="11" t="s">
        <v>15</v>
      </c>
      <c r="N387" s="14" t="s">
        <v>11</v>
      </c>
      <c r="O387" s="15">
        <v>4537</v>
      </c>
      <c r="P387" s="12">
        <v>1</v>
      </c>
      <c r="Q387" s="13" t="s">
        <v>175</v>
      </c>
      <c r="R387" s="16">
        <v>43188600</v>
      </c>
      <c r="S387" s="17">
        <v>39989444</v>
      </c>
      <c r="T387" s="12">
        <v>9</v>
      </c>
      <c r="U387" s="18">
        <v>3955000</v>
      </c>
      <c r="V387" s="19">
        <v>4271400</v>
      </c>
      <c r="W387" s="13" t="s">
        <v>135</v>
      </c>
      <c r="X387" s="14" t="s">
        <v>1673</v>
      </c>
      <c r="Y387" s="13" t="s">
        <v>826</v>
      </c>
      <c r="Z387" s="14" t="s">
        <v>1674</v>
      </c>
      <c r="AA387" s="17">
        <v>14</v>
      </c>
      <c r="AB387" s="14" t="s">
        <v>1675</v>
      </c>
      <c r="AC387" s="17">
        <v>47460000</v>
      </c>
      <c r="AD387" s="14" t="s">
        <v>1676</v>
      </c>
      <c r="AE387" s="17">
        <v>43944444</v>
      </c>
      <c r="AF387" s="14" t="s">
        <v>352</v>
      </c>
      <c r="AG387" s="21" t="s">
        <v>1670</v>
      </c>
      <c r="AH387" s="10">
        <v>22728201</v>
      </c>
      <c r="AI387" s="24" t="str">
        <f>VLOOKUP(Sales[[#This Row],[Store]],'Store lay bao  cao'!A:B,2,0)</f>
        <v>Lấy BC</v>
      </c>
      <c r="AJ387" s="24" t="str">
        <f>VLOOKUP(Sales[[#This Row],[Associate]],'Associate Status'!B:C,2,0)</f>
        <v>Retired</v>
      </c>
    </row>
    <row r="388" spans="1:36" ht="64.5" x14ac:dyDescent="0.25">
      <c r="A388" s="7">
        <v>2024</v>
      </c>
      <c r="B388" s="8">
        <v>6</v>
      </c>
      <c r="C388" s="8">
        <v>26</v>
      </c>
      <c r="D388" s="8" t="s">
        <v>52</v>
      </c>
      <c r="E388" s="8" t="s">
        <v>34</v>
      </c>
      <c r="F388" s="8" t="s">
        <v>52</v>
      </c>
      <c r="G388" s="9">
        <v>108790221</v>
      </c>
      <c r="H388" s="10">
        <v>101426250</v>
      </c>
      <c r="I388" s="11">
        <v>45469</v>
      </c>
      <c r="J388" s="12">
        <v>182560</v>
      </c>
      <c r="K388" s="13" t="s">
        <v>641</v>
      </c>
      <c r="L388" s="14" t="s">
        <v>44</v>
      </c>
      <c r="M388" s="11" t="s">
        <v>15</v>
      </c>
      <c r="N388" s="14" t="s">
        <v>11</v>
      </c>
      <c r="O388" s="15">
        <v>4537</v>
      </c>
      <c r="P388" s="12">
        <v>1</v>
      </c>
      <c r="Q388" s="13" t="s">
        <v>175</v>
      </c>
      <c r="R388" s="16">
        <v>246519000</v>
      </c>
      <c r="S388" s="17">
        <v>228258333</v>
      </c>
      <c r="T388" s="12">
        <v>9</v>
      </c>
      <c r="U388" s="18">
        <v>22575000</v>
      </c>
      <c r="V388" s="19">
        <v>24381000</v>
      </c>
      <c r="W388" s="13" t="s">
        <v>135</v>
      </c>
      <c r="X388" s="23" t="s">
        <v>1677</v>
      </c>
      <c r="Y388" s="13" t="s">
        <v>826</v>
      </c>
      <c r="Z388" s="14" t="s">
        <v>1678</v>
      </c>
      <c r="AA388" s="17">
        <v>14</v>
      </c>
      <c r="AB388" s="23" t="s">
        <v>1679</v>
      </c>
      <c r="AC388" s="17">
        <v>270900000</v>
      </c>
      <c r="AD388" s="14" t="s">
        <v>108</v>
      </c>
      <c r="AE388" s="17">
        <v>250833333</v>
      </c>
      <c r="AF388" s="14" t="s">
        <v>136</v>
      </c>
      <c r="AG388" s="20" t="s">
        <v>1670</v>
      </c>
      <c r="AH388" s="10">
        <v>119468112</v>
      </c>
      <c r="AI388" s="24" t="str">
        <f>VLOOKUP(Sales[[#This Row],[Store]],'Store lay bao  cao'!A:B,2,0)</f>
        <v>Lấy BC</v>
      </c>
      <c r="AJ388" s="24" t="str">
        <f>VLOOKUP(Sales[[#This Row],[Associate]],'Associate Status'!B:C,2,0)</f>
        <v>Active</v>
      </c>
    </row>
    <row r="389" spans="1:36" x14ac:dyDescent="0.25">
      <c r="A389" s="7">
        <v>2024</v>
      </c>
      <c r="B389" s="8">
        <v>6</v>
      </c>
      <c r="C389" s="8">
        <v>26</v>
      </c>
      <c r="D389" s="8" t="s">
        <v>20</v>
      </c>
      <c r="E389" s="8" t="s">
        <v>12</v>
      </c>
      <c r="F389" s="8" t="s">
        <v>20</v>
      </c>
      <c r="G389" s="9">
        <v>11048400</v>
      </c>
      <c r="H389" s="10">
        <v>11048400</v>
      </c>
      <c r="I389" s="11">
        <v>45469</v>
      </c>
      <c r="J389" s="12">
        <v>37112</v>
      </c>
      <c r="K389" s="13" t="s">
        <v>641</v>
      </c>
      <c r="L389" s="14" t="s">
        <v>19</v>
      </c>
      <c r="M389" s="11" t="s">
        <v>15</v>
      </c>
      <c r="N389" s="14" t="s">
        <v>11</v>
      </c>
      <c r="O389" s="15">
        <v>4537</v>
      </c>
      <c r="P389" s="12">
        <v>1</v>
      </c>
      <c r="Q389" s="13" t="s">
        <v>175</v>
      </c>
      <c r="R389" s="16">
        <v>37603020</v>
      </c>
      <c r="S389" s="17">
        <v>34817611</v>
      </c>
      <c r="T389" s="12">
        <v>9</v>
      </c>
      <c r="U389" s="18">
        <v>3443500</v>
      </c>
      <c r="V389" s="19">
        <v>3718980</v>
      </c>
      <c r="W389" s="13" t="s">
        <v>135</v>
      </c>
      <c r="X389" s="14" t="s">
        <v>1680</v>
      </c>
      <c r="Y389" s="13" t="s">
        <v>826</v>
      </c>
      <c r="Z389" s="14" t="s">
        <v>1681</v>
      </c>
      <c r="AA389" s="17">
        <v>14</v>
      </c>
      <c r="AB389" s="14" t="s">
        <v>1682</v>
      </c>
      <c r="AC389" s="17">
        <v>41322000</v>
      </c>
      <c r="AD389" s="14">
        <v>11</v>
      </c>
      <c r="AE389" s="17">
        <v>38261111</v>
      </c>
      <c r="AF389" s="14" t="s">
        <v>352</v>
      </c>
      <c r="AG389" s="21" t="s">
        <v>1670</v>
      </c>
      <c r="AH389" s="10">
        <v>23769211</v>
      </c>
      <c r="AI389" s="24" t="str">
        <f>VLOOKUP(Sales[[#This Row],[Store]],'Store lay bao  cao'!A:B,2,0)</f>
        <v>Lấy BC</v>
      </c>
      <c r="AJ389" s="24" t="str">
        <f>VLOOKUP(Sales[[#This Row],[Associate]],'Associate Status'!B:C,2,0)</f>
        <v>Retired</v>
      </c>
    </row>
    <row r="390" spans="1:36" x14ac:dyDescent="0.25">
      <c r="A390" s="7">
        <v>2024</v>
      </c>
      <c r="B390" s="8">
        <v>6</v>
      </c>
      <c r="C390" s="8">
        <v>26</v>
      </c>
      <c r="D390" s="8" t="s">
        <v>60</v>
      </c>
      <c r="E390" s="8" t="s">
        <v>43</v>
      </c>
      <c r="F390" s="8" t="s">
        <v>60</v>
      </c>
      <c r="G390" s="9">
        <v>5900511</v>
      </c>
      <c r="H390" s="10">
        <v>4408950</v>
      </c>
      <c r="I390" s="11">
        <v>45469</v>
      </c>
      <c r="J390" s="12">
        <v>202759</v>
      </c>
      <c r="K390" s="13" t="s">
        <v>641</v>
      </c>
      <c r="L390" s="14" t="s">
        <v>19</v>
      </c>
      <c r="M390" s="11" t="s">
        <v>15</v>
      </c>
      <c r="N390" s="14" t="s">
        <v>62</v>
      </c>
      <c r="O390" s="15">
        <v>4537</v>
      </c>
      <c r="P390" s="12">
        <v>1</v>
      </c>
      <c r="Q390" s="13" t="s">
        <v>175</v>
      </c>
      <c r="R390" s="16">
        <v>13296010</v>
      </c>
      <c r="S390" s="17">
        <v>12311120</v>
      </c>
      <c r="T390" s="12">
        <v>9</v>
      </c>
      <c r="U390" s="18">
        <v>1217583</v>
      </c>
      <c r="V390" s="19">
        <v>1314990</v>
      </c>
      <c r="W390" s="13" t="s">
        <v>135</v>
      </c>
      <c r="X390" s="14" t="s">
        <v>1683</v>
      </c>
      <c r="Y390" s="13" t="s">
        <v>826</v>
      </c>
      <c r="Z390" s="14" t="s">
        <v>1684</v>
      </c>
      <c r="AA390" s="17">
        <v>14</v>
      </c>
      <c r="AB390" s="14" t="s">
        <v>260</v>
      </c>
      <c r="AC390" s="17">
        <v>14611000</v>
      </c>
      <c r="AD390" s="14">
        <v>52</v>
      </c>
      <c r="AE390" s="17">
        <v>13528704</v>
      </c>
      <c r="AF390" s="14" t="s">
        <v>352</v>
      </c>
      <c r="AG390" s="20" t="s">
        <v>1670</v>
      </c>
      <c r="AH390" s="10">
        <v>6410609</v>
      </c>
      <c r="AI390" s="24" t="str">
        <f>VLOOKUP(Sales[[#This Row],[Store]],'Store lay bao  cao'!A:B,2,0)</f>
        <v>Lấy BC</v>
      </c>
      <c r="AJ390" s="24" t="str">
        <f>VLOOKUP(Sales[[#This Row],[Associate]],'Associate Status'!B:C,2,0)</f>
        <v>Retired</v>
      </c>
    </row>
    <row r="391" spans="1:36" x14ac:dyDescent="0.25">
      <c r="A391" s="7">
        <v>2024</v>
      </c>
      <c r="B391" s="8">
        <v>6</v>
      </c>
      <c r="C391" s="8">
        <v>26</v>
      </c>
      <c r="D391" s="8" t="s">
        <v>63</v>
      </c>
      <c r="E391" s="8" t="s">
        <v>43</v>
      </c>
      <c r="F391" s="8" t="s">
        <v>63</v>
      </c>
      <c r="G391" s="9">
        <v>49760632</v>
      </c>
      <c r="H391" s="10">
        <v>49117500</v>
      </c>
      <c r="I391" s="11">
        <v>45469</v>
      </c>
      <c r="J391" s="12">
        <v>209304</v>
      </c>
      <c r="K391" s="13" t="s">
        <v>643</v>
      </c>
      <c r="L391" s="14" t="s">
        <v>65</v>
      </c>
      <c r="M391" s="11" t="s">
        <v>15</v>
      </c>
      <c r="N391" s="14" t="s">
        <v>62</v>
      </c>
      <c r="O391" s="15">
        <v>4533</v>
      </c>
      <c r="P391" s="12">
        <v>1</v>
      </c>
      <c r="Q391" s="13" t="s">
        <v>175</v>
      </c>
      <c r="R391" s="16">
        <v>121070950</v>
      </c>
      <c r="S391" s="17">
        <v>112102731</v>
      </c>
      <c r="T391" s="12">
        <v>9</v>
      </c>
      <c r="U391" s="18">
        <v>11087083</v>
      </c>
      <c r="V391" s="19">
        <v>11974050</v>
      </c>
      <c r="W391" s="13" t="s">
        <v>135</v>
      </c>
      <c r="X391" s="14" t="s">
        <v>1621</v>
      </c>
      <c r="Y391" s="13" t="s">
        <v>183</v>
      </c>
      <c r="Z391" s="14" t="s">
        <v>1622</v>
      </c>
      <c r="AA391" s="17">
        <v>14</v>
      </c>
      <c r="AB391" s="14" t="s">
        <v>173</v>
      </c>
      <c r="AC391" s="17">
        <v>133045000</v>
      </c>
      <c r="AD391" s="14">
        <v>54</v>
      </c>
      <c r="AE391" s="17">
        <v>123189815</v>
      </c>
      <c r="AF391" s="14" t="s">
        <v>136</v>
      </c>
      <c r="AG391" s="21" t="s">
        <v>184</v>
      </c>
      <c r="AH391" s="10">
        <v>62342099</v>
      </c>
      <c r="AI391" s="24" t="str">
        <f>VLOOKUP(Sales[[#This Row],[Store]],'Store lay bao  cao'!A:B,2,0)</f>
        <v>Lấy BC</v>
      </c>
      <c r="AJ391" s="24" t="str">
        <f>VLOOKUP(Sales[[#This Row],[Associate]],'Associate Status'!B:C,2,0)</f>
        <v>Active</v>
      </c>
    </row>
    <row r="392" spans="1:36" x14ac:dyDescent="0.25">
      <c r="A392" s="7">
        <v>2024</v>
      </c>
      <c r="B392" s="8">
        <v>6</v>
      </c>
      <c r="C392" s="8">
        <v>26</v>
      </c>
      <c r="D392" s="8" t="s">
        <v>63</v>
      </c>
      <c r="E392" s="8" t="s">
        <v>53</v>
      </c>
      <c r="F392" s="8" t="s">
        <v>63</v>
      </c>
      <c r="G392" s="9">
        <v>100866145</v>
      </c>
      <c r="H392" s="10">
        <v>99562500</v>
      </c>
      <c r="I392" s="11">
        <v>45469</v>
      </c>
      <c r="J392" s="12">
        <v>209305</v>
      </c>
      <c r="K392" s="13" t="s">
        <v>643</v>
      </c>
      <c r="L392" s="14" t="s">
        <v>65</v>
      </c>
      <c r="M392" s="11" t="s">
        <v>15</v>
      </c>
      <c r="N392" s="14" t="s">
        <v>62</v>
      </c>
      <c r="O392" s="15">
        <v>4533</v>
      </c>
      <c r="P392" s="12">
        <v>1</v>
      </c>
      <c r="Q392" s="13" t="s">
        <v>175</v>
      </c>
      <c r="R392" s="16">
        <v>230330100</v>
      </c>
      <c r="S392" s="17">
        <v>213268611</v>
      </c>
      <c r="T392" s="12">
        <v>9</v>
      </c>
      <c r="U392" s="18">
        <v>21092500</v>
      </c>
      <c r="V392" s="19">
        <v>22779900</v>
      </c>
      <c r="W392" s="13" t="s">
        <v>135</v>
      </c>
      <c r="X392" s="14" t="s">
        <v>1623</v>
      </c>
      <c r="Y392" s="13" t="s">
        <v>183</v>
      </c>
      <c r="Z392" s="14" t="s">
        <v>1624</v>
      </c>
      <c r="AA392" s="17">
        <v>14</v>
      </c>
      <c r="AB392" s="14" t="s">
        <v>173</v>
      </c>
      <c r="AC392" s="17">
        <v>253110000</v>
      </c>
      <c r="AD392" s="14" t="s">
        <v>108</v>
      </c>
      <c r="AE392" s="17">
        <v>234361111</v>
      </c>
      <c r="AF392" s="14" t="s">
        <v>136</v>
      </c>
      <c r="AG392" s="20" t="s">
        <v>184</v>
      </c>
      <c r="AH392" s="10">
        <v>112402466</v>
      </c>
      <c r="AI392" s="24" t="str">
        <f>VLOOKUP(Sales[[#This Row],[Store]],'Store lay bao  cao'!A:B,2,0)</f>
        <v>Lấy BC</v>
      </c>
      <c r="AJ392" s="24" t="str">
        <f>VLOOKUP(Sales[[#This Row],[Associate]],'Associate Status'!B:C,2,0)</f>
        <v>Active</v>
      </c>
    </row>
    <row r="393" spans="1:36" x14ac:dyDescent="0.25">
      <c r="A393" s="7">
        <v>2024</v>
      </c>
      <c r="B393" s="8">
        <v>6</v>
      </c>
      <c r="C393" s="8">
        <v>26</v>
      </c>
      <c r="D393" s="8" t="s">
        <v>63</v>
      </c>
      <c r="E393" s="8" t="s">
        <v>34</v>
      </c>
      <c r="F393" s="8" t="s">
        <v>63</v>
      </c>
      <c r="G393" s="9">
        <v>87417325</v>
      </c>
      <c r="H393" s="10">
        <v>86287500</v>
      </c>
      <c r="I393" s="11">
        <v>45469</v>
      </c>
      <c r="J393" s="12">
        <v>209323</v>
      </c>
      <c r="K393" s="13" t="s">
        <v>643</v>
      </c>
      <c r="L393" s="14" t="s">
        <v>65</v>
      </c>
      <c r="M393" s="11" t="s">
        <v>15</v>
      </c>
      <c r="N393" s="14" t="s">
        <v>62</v>
      </c>
      <c r="O393" s="15">
        <v>4533</v>
      </c>
      <c r="P393" s="12">
        <v>1</v>
      </c>
      <c r="Q393" s="13" t="s">
        <v>175</v>
      </c>
      <c r="R393" s="16">
        <v>200800600</v>
      </c>
      <c r="S393" s="17">
        <v>185926481</v>
      </c>
      <c r="T393" s="12">
        <v>9</v>
      </c>
      <c r="U393" s="18">
        <v>18388333</v>
      </c>
      <c r="V393" s="19">
        <v>19859400</v>
      </c>
      <c r="W393" s="13" t="s">
        <v>135</v>
      </c>
      <c r="X393" s="14" t="s">
        <v>1627</v>
      </c>
      <c r="Y393" s="13" t="s">
        <v>183</v>
      </c>
      <c r="Z393" s="14" t="s">
        <v>1628</v>
      </c>
      <c r="AA393" s="17">
        <v>14</v>
      </c>
      <c r="AB393" s="14" t="s">
        <v>173</v>
      </c>
      <c r="AC393" s="17">
        <v>220660000</v>
      </c>
      <c r="AD393" s="14" t="s">
        <v>108</v>
      </c>
      <c r="AE393" s="17">
        <v>204314815</v>
      </c>
      <c r="AF393" s="14" t="s">
        <v>136</v>
      </c>
      <c r="AG393" s="21" t="s">
        <v>184</v>
      </c>
      <c r="AH393" s="10">
        <v>98509156</v>
      </c>
      <c r="AI393" s="24" t="str">
        <f>VLOOKUP(Sales[[#This Row],[Store]],'Store lay bao  cao'!A:B,2,0)</f>
        <v>Lấy BC</v>
      </c>
      <c r="AJ393" s="24" t="str">
        <f>VLOOKUP(Sales[[#This Row],[Associate]],'Associate Status'!B:C,2,0)</f>
        <v>Active</v>
      </c>
    </row>
    <row r="394" spans="1:36" x14ac:dyDescent="0.25">
      <c r="A394" s="7">
        <v>2024</v>
      </c>
      <c r="B394" s="8">
        <v>6</v>
      </c>
      <c r="C394" s="8">
        <v>26</v>
      </c>
      <c r="D394" s="8" t="s">
        <v>63</v>
      </c>
      <c r="E394" s="8" t="s">
        <v>34</v>
      </c>
      <c r="F394" s="8" t="s">
        <v>63</v>
      </c>
      <c r="G394" s="9">
        <v>65899215</v>
      </c>
      <c r="H394" s="10">
        <v>65047500</v>
      </c>
      <c r="I394" s="11">
        <v>45469</v>
      </c>
      <c r="J394" s="12">
        <v>209293</v>
      </c>
      <c r="K394" s="13" t="s">
        <v>643</v>
      </c>
      <c r="L394" s="14" t="s">
        <v>65</v>
      </c>
      <c r="M394" s="11" t="s">
        <v>15</v>
      </c>
      <c r="N394" s="14" t="s">
        <v>62</v>
      </c>
      <c r="O394" s="15">
        <v>4533</v>
      </c>
      <c r="P394" s="12">
        <v>1</v>
      </c>
      <c r="Q394" s="13" t="s">
        <v>175</v>
      </c>
      <c r="R394" s="16">
        <v>150600450</v>
      </c>
      <c r="S394" s="17">
        <v>139444861</v>
      </c>
      <c r="T394" s="12">
        <v>9</v>
      </c>
      <c r="U394" s="18">
        <v>13791250</v>
      </c>
      <c r="V394" s="19">
        <v>14894550</v>
      </c>
      <c r="W394" s="13" t="s">
        <v>135</v>
      </c>
      <c r="X394" s="14" t="s">
        <v>1629</v>
      </c>
      <c r="Y394" s="13" t="s">
        <v>183</v>
      </c>
      <c r="Z394" s="14" t="s">
        <v>1630</v>
      </c>
      <c r="AA394" s="17">
        <v>14</v>
      </c>
      <c r="AB394" s="14" t="s">
        <v>173</v>
      </c>
      <c r="AC394" s="17">
        <v>165495000</v>
      </c>
      <c r="AD394" s="14" t="s">
        <v>108</v>
      </c>
      <c r="AE394" s="17">
        <v>153236111</v>
      </c>
      <c r="AF394" s="14" t="s">
        <v>2595</v>
      </c>
      <c r="AG394" s="20" t="s">
        <v>184</v>
      </c>
      <c r="AH394" s="10">
        <v>73545646</v>
      </c>
      <c r="AI394" s="24" t="str">
        <f>VLOOKUP(Sales[[#This Row],[Store]],'Store lay bao  cao'!A:B,2,0)</f>
        <v>Lấy BC</v>
      </c>
      <c r="AJ394" s="24" t="e">
        <f>VLOOKUP(Sales[[#This Row],[Associate]],'Associate Status'!B:C,2,0)</f>
        <v>#N/A</v>
      </c>
    </row>
    <row r="395" spans="1:36" x14ac:dyDescent="0.25">
      <c r="A395" s="7">
        <v>2024</v>
      </c>
      <c r="B395" s="8">
        <v>6</v>
      </c>
      <c r="C395" s="8">
        <v>26</v>
      </c>
      <c r="D395" s="8" t="s">
        <v>63</v>
      </c>
      <c r="E395" s="8" t="s">
        <v>43</v>
      </c>
      <c r="F395" s="8" t="s">
        <v>63</v>
      </c>
      <c r="G395" s="9">
        <v>64554332</v>
      </c>
      <c r="H395" s="10">
        <v>63720000</v>
      </c>
      <c r="I395" s="11">
        <v>45469</v>
      </c>
      <c r="J395" s="12">
        <v>209321</v>
      </c>
      <c r="K395" s="13" t="s">
        <v>643</v>
      </c>
      <c r="L395" s="14" t="s">
        <v>65</v>
      </c>
      <c r="M395" s="11" t="s">
        <v>15</v>
      </c>
      <c r="N395" s="14" t="s">
        <v>62</v>
      </c>
      <c r="O395" s="15">
        <v>4533</v>
      </c>
      <c r="P395" s="12">
        <v>1</v>
      </c>
      <c r="Q395" s="13" t="s">
        <v>175</v>
      </c>
      <c r="R395" s="16">
        <v>150600450</v>
      </c>
      <c r="S395" s="17">
        <v>139444861</v>
      </c>
      <c r="T395" s="12">
        <v>9</v>
      </c>
      <c r="U395" s="18">
        <v>13791250</v>
      </c>
      <c r="V395" s="19">
        <v>14894550</v>
      </c>
      <c r="W395" s="13" t="s">
        <v>135</v>
      </c>
      <c r="X395" s="14" t="s">
        <v>1631</v>
      </c>
      <c r="Y395" s="13" t="s">
        <v>183</v>
      </c>
      <c r="Z395" s="14" t="s">
        <v>1632</v>
      </c>
      <c r="AA395" s="17">
        <v>14</v>
      </c>
      <c r="AB395" s="14" t="s">
        <v>173</v>
      </c>
      <c r="AC395" s="17">
        <v>165495000</v>
      </c>
      <c r="AD395" s="14">
        <v>52</v>
      </c>
      <c r="AE395" s="17">
        <v>153236111</v>
      </c>
      <c r="AF395" s="14" t="s">
        <v>2595</v>
      </c>
      <c r="AG395" s="21" t="s">
        <v>184</v>
      </c>
      <c r="AH395" s="10">
        <v>74890529</v>
      </c>
      <c r="AI395" s="24" t="str">
        <f>VLOOKUP(Sales[[#This Row],[Store]],'Store lay bao  cao'!A:B,2,0)</f>
        <v>Lấy BC</v>
      </c>
      <c r="AJ395" s="24" t="e">
        <f>VLOOKUP(Sales[[#This Row],[Associate]],'Associate Status'!B:C,2,0)</f>
        <v>#N/A</v>
      </c>
    </row>
    <row r="396" spans="1:36" x14ac:dyDescent="0.25">
      <c r="A396" s="7">
        <v>2024</v>
      </c>
      <c r="B396" s="8">
        <v>6</v>
      </c>
      <c r="C396" s="8">
        <v>26</v>
      </c>
      <c r="D396" s="8" t="s">
        <v>63</v>
      </c>
      <c r="E396" s="8" t="s">
        <v>34</v>
      </c>
      <c r="F396" s="8" t="s">
        <v>63</v>
      </c>
      <c r="G396" s="9">
        <v>96831498</v>
      </c>
      <c r="H396" s="10">
        <v>95580000</v>
      </c>
      <c r="I396" s="11">
        <v>45469</v>
      </c>
      <c r="J396" s="12">
        <v>209312</v>
      </c>
      <c r="K396" s="13" t="s">
        <v>643</v>
      </c>
      <c r="L396" s="14" t="s">
        <v>65</v>
      </c>
      <c r="M396" s="11" t="s">
        <v>15</v>
      </c>
      <c r="N396" s="14" t="s">
        <v>62</v>
      </c>
      <c r="O396" s="15">
        <v>4533</v>
      </c>
      <c r="P396" s="12">
        <v>1</v>
      </c>
      <c r="Q396" s="13" t="s">
        <v>175</v>
      </c>
      <c r="R396" s="16">
        <v>221471250</v>
      </c>
      <c r="S396" s="17">
        <v>205065972</v>
      </c>
      <c r="T396" s="12">
        <v>9</v>
      </c>
      <c r="U396" s="18">
        <v>20281250</v>
      </c>
      <c r="V396" s="19">
        <v>21903750</v>
      </c>
      <c r="W396" s="13" t="s">
        <v>135</v>
      </c>
      <c r="X396" s="14" t="s">
        <v>1633</v>
      </c>
      <c r="Y396" s="13" t="s">
        <v>183</v>
      </c>
      <c r="Z396" s="14" t="s">
        <v>1634</v>
      </c>
      <c r="AA396" s="17">
        <v>14</v>
      </c>
      <c r="AB396" s="14" t="s">
        <v>173</v>
      </c>
      <c r="AC396" s="17">
        <v>243375000</v>
      </c>
      <c r="AD396" s="14" t="s">
        <v>108</v>
      </c>
      <c r="AE396" s="17">
        <v>225347222</v>
      </c>
      <c r="AF396" s="14" t="s">
        <v>2595</v>
      </c>
      <c r="AG396" s="20" t="s">
        <v>184</v>
      </c>
      <c r="AH396" s="10">
        <v>108234474</v>
      </c>
      <c r="AI396" s="24" t="str">
        <f>VLOOKUP(Sales[[#This Row],[Store]],'Store lay bao  cao'!A:B,2,0)</f>
        <v>Lấy BC</v>
      </c>
      <c r="AJ396" s="24" t="e">
        <f>VLOOKUP(Sales[[#This Row],[Associate]],'Associate Status'!B:C,2,0)</f>
        <v>#N/A</v>
      </c>
    </row>
    <row r="397" spans="1:36" x14ac:dyDescent="0.25">
      <c r="A397" s="7">
        <v>2024</v>
      </c>
      <c r="B397" s="8">
        <v>6</v>
      </c>
      <c r="C397" s="8">
        <v>26</v>
      </c>
      <c r="D397" s="8" t="s">
        <v>63</v>
      </c>
      <c r="E397" s="8" t="s">
        <v>43</v>
      </c>
      <c r="F397" s="8" t="s">
        <v>63</v>
      </c>
      <c r="G397" s="9">
        <v>-49760632</v>
      </c>
      <c r="H397" s="10">
        <v>-49117500</v>
      </c>
      <c r="I397" s="11">
        <v>45469</v>
      </c>
      <c r="J397" s="12">
        <v>209304</v>
      </c>
      <c r="K397" s="13" t="s">
        <v>642</v>
      </c>
      <c r="L397" s="14" t="s">
        <v>65</v>
      </c>
      <c r="M397" s="11" t="s">
        <v>15</v>
      </c>
      <c r="N397" s="14" t="s">
        <v>62</v>
      </c>
      <c r="O397" s="15">
        <v>4532</v>
      </c>
      <c r="P397" s="12">
        <v>-1</v>
      </c>
      <c r="Q397" s="13" t="s">
        <v>156</v>
      </c>
      <c r="R397" s="16">
        <v>-133045000</v>
      </c>
      <c r="S397" s="17">
        <v>-123189815</v>
      </c>
      <c r="T397" s="12">
        <v>0</v>
      </c>
      <c r="U397" s="18">
        <v>0</v>
      </c>
      <c r="V397" s="19">
        <v>0</v>
      </c>
      <c r="W397" s="13" t="s">
        <v>135</v>
      </c>
      <c r="X397" s="14" t="s">
        <v>1621</v>
      </c>
      <c r="Y397" s="13" t="s">
        <v>183</v>
      </c>
      <c r="Z397" s="14" t="s">
        <v>1622</v>
      </c>
      <c r="AA397" s="17">
        <v>14</v>
      </c>
      <c r="AB397" s="14" t="s">
        <v>173</v>
      </c>
      <c r="AC397" s="17">
        <v>-133045000</v>
      </c>
      <c r="AD397" s="14">
        <v>54</v>
      </c>
      <c r="AE397" s="17">
        <v>-123189815</v>
      </c>
      <c r="AF397" s="14" t="s">
        <v>136</v>
      </c>
      <c r="AG397" s="21" t="s">
        <v>184</v>
      </c>
      <c r="AH397" s="10">
        <v>-73429183</v>
      </c>
      <c r="AI397" s="24" t="str">
        <f>VLOOKUP(Sales[[#This Row],[Store]],'Store lay bao  cao'!A:B,2,0)</f>
        <v>Lấy BC</v>
      </c>
      <c r="AJ397" s="24" t="str">
        <f>VLOOKUP(Sales[[#This Row],[Associate]],'Associate Status'!B:C,2,0)</f>
        <v>Active</v>
      </c>
    </row>
    <row r="398" spans="1:36" x14ac:dyDescent="0.25">
      <c r="A398" s="7">
        <v>2024</v>
      </c>
      <c r="B398" s="8">
        <v>6</v>
      </c>
      <c r="C398" s="8">
        <v>26</v>
      </c>
      <c r="D398" s="8" t="s">
        <v>63</v>
      </c>
      <c r="E398" s="8" t="s">
        <v>53</v>
      </c>
      <c r="F398" s="8" t="s">
        <v>63</v>
      </c>
      <c r="G398" s="9">
        <v>-100866145</v>
      </c>
      <c r="H398" s="10">
        <v>-99562500</v>
      </c>
      <c r="I398" s="11">
        <v>45469</v>
      </c>
      <c r="J398" s="12">
        <v>209305</v>
      </c>
      <c r="K398" s="13" t="s">
        <v>642</v>
      </c>
      <c r="L398" s="14" t="s">
        <v>65</v>
      </c>
      <c r="M398" s="11" t="s">
        <v>15</v>
      </c>
      <c r="N398" s="14" t="s">
        <v>62</v>
      </c>
      <c r="O398" s="15">
        <v>4532</v>
      </c>
      <c r="P398" s="12">
        <v>-1</v>
      </c>
      <c r="Q398" s="13" t="s">
        <v>156</v>
      </c>
      <c r="R398" s="16">
        <v>-253110000</v>
      </c>
      <c r="S398" s="17">
        <v>-234361111</v>
      </c>
      <c r="T398" s="12">
        <v>0</v>
      </c>
      <c r="U398" s="18">
        <v>0</v>
      </c>
      <c r="V398" s="19">
        <v>0</v>
      </c>
      <c r="W398" s="13" t="s">
        <v>135</v>
      </c>
      <c r="X398" s="14" t="s">
        <v>1623</v>
      </c>
      <c r="Y398" s="13" t="s">
        <v>183</v>
      </c>
      <c r="Z398" s="14" t="s">
        <v>1624</v>
      </c>
      <c r="AA398" s="17">
        <v>14</v>
      </c>
      <c r="AB398" s="14" t="s">
        <v>173</v>
      </c>
      <c r="AC398" s="17">
        <v>-253110000</v>
      </c>
      <c r="AD398" s="14" t="s">
        <v>108</v>
      </c>
      <c r="AE398" s="17">
        <v>-234361111</v>
      </c>
      <c r="AF398" s="14" t="s">
        <v>136</v>
      </c>
      <c r="AG398" s="20" t="s">
        <v>184</v>
      </c>
      <c r="AH398" s="10">
        <v>-133494966</v>
      </c>
      <c r="AI398" s="24" t="str">
        <f>VLOOKUP(Sales[[#This Row],[Store]],'Store lay bao  cao'!A:B,2,0)</f>
        <v>Lấy BC</v>
      </c>
      <c r="AJ398" s="24" t="str">
        <f>VLOOKUP(Sales[[#This Row],[Associate]],'Associate Status'!B:C,2,0)</f>
        <v>Active</v>
      </c>
    </row>
    <row r="399" spans="1:36" x14ac:dyDescent="0.25">
      <c r="A399" s="7">
        <v>2024</v>
      </c>
      <c r="B399" s="8">
        <v>6</v>
      </c>
      <c r="C399" s="8">
        <v>26</v>
      </c>
      <c r="D399" s="8" t="s">
        <v>63</v>
      </c>
      <c r="E399" s="8" t="s">
        <v>34</v>
      </c>
      <c r="F399" s="8" t="s">
        <v>63</v>
      </c>
      <c r="G399" s="9">
        <v>-108935436</v>
      </c>
      <c r="H399" s="10">
        <v>-107527500</v>
      </c>
      <c r="I399" s="11">
        <v>45469</v>
      </c>
      <c r="J399" s="12">
        <v>209283</v>
      </c>
      <c r="K399" s="13" t="s">
        <v>642</v>
      </c>
      <c r="L399" s="14" t="s">
        <v>65</v>
      </c>
      <c r="M399" s="11" t="s">
        <v>15</v>
      </c>
      <c r="N399" s="14" t="s">
        <v>62</v>
      </c>
      <c r="O399" s="15">
        <v>4532</v>
      </c>
      <c r="P399" s="12">
        <v>-1</v>
      </c>
      <c r="Q399" s="13" t="s">
        <v>156</v>
      </c>
      <c r="R399" s="16">
        <v>-272580000</v>
      </c>
      <c r="S399" s="17">
        <v>-252388889</v>
      </c>
      <c r="T399" s="12">
        <v>0</v>
      </c>
      <c r="U399" s="18">
        <v>0</v>
      </c>
      <c r="V399" s="19">
        <v>0</v>
      </c>
      <c r="W399" s="13" t="s">
        <v>135</v>
      </c>
      <c r="X399" s="14" t="s">
        <v>1625</v>
      </c>
      <c r="Y399" s="13" t="s">
        <v>183</v>
      </c>
      <c r="Z399" s="14" t="s">
        <v>1626</v>
      </c>
      <c r="AA399" s="17">
        <v>14</v>
      </c>
      <c r="AB399" s="14" t="s">
        <v>173</v>
      </c>
      <c r="AC399" s="17">
        <v>-272580000</v>
      </c>
      <c r="AD399" s="14" t="s">
        <v>108</v>
      </c>
      <c r="AE399" s="17">
        <v>-252388889</v>
      </c>
      <c r="AF399" s="14" t="s">
        <v>136</v>
      </c>
      <c r="AG399" s="21" t="s">
        <v>184</v>
      </c>
      <c r="AH399" s="10">
        <v>-143453453</v>
      </c>
      <c r="AI399" s="24" t="str">
        <f>VLOOKUP(Sales[[#This Row],[Store]],'Store lay bao  cao'!A:B,2,0)</f>
        <v>Lấy BC</v>
      </c>
      <c r="AJ399" s="24" t="str">
        <f>VLOOKUP(Sales[[#This Row],[Associate]],'Associate Status'!B:C,2,0)</f>
        <v>Active</v>
      </c>
    </row>
    <row r="400" spans="1:36" x14ac:dyDescent="0.25">
      <c r="A400" s="7">
        <v>2024</v>
      </c>
      <c r="B400" s="8">
        <v>6</v>
      </c>
      <c r="C400" s="8">
        <v>26</v>
      </c>
      <c r="D400" s="8" t="s">
        <v>63</v>
      </c>
      <c r="E400" s="8" t="s">
        <v>34</v>
      </c>
      <c r="F400" s="8" t="s">
        <v>63</v>
      </c>
      <c r="G400" s="9">
        <v>-87417325</v>
      </c>
      <c r="H400" s="10">
        <v>-86287500</v>
      </c>
      <c r="I400" s="11">
        <v>45469</v>
      </c>
      <c r="J400" s="12">
        <v>209323</v>
      </c>
      <c r="K400" s="13" t="s">
        <v>642</v>
      </c>
      <c r="L400" s="14" t="s">
        <v>65</v>
      </c>
      <c r="M400" s="11" t="s">
        <v>15</v>
      </c>
      <c r="N400" s="14" t="s">
        <v>62</v>
      </c>
      <c r="O400" s="15">
        <v>4532</v>
      </c>
      <c r="P400" s="12">
        <v>-1</v>
      </c>
      <c r="Q400" s="13" t="s">
        <v>156</v>
      </c>
      <c r="R400" s="16">
        <v>-220660000</v>
      </c>
      <c r="S400" s="17">
        <v>-204314815</v>
      </c>
      <c r="T400" s="12">
        <v>0</v>
      </c>
      <c r="U400" s="18">
        <v>0</v>
      </c>
      <c r="V400" s="19">
        <v>0</v>
      </c>
      <c r="W400" s="13" t="s">
        <v>135</v>
      </c>
      <c r="X400" s="14" t="s">
        <v>1627</v>
      </c>
      <c r="Y400" s="13" t="s">
        <v>183</v>
      </c>
      <c r="Z400" s="14" t="s">
        <v>1628</v>
      </c>
      <c r="AA400" s="17">
        <v>14</v>
      </c>
      <c r="AB400" s="14" t="s">
        <v>173</v>
      </c>
      <c r="AC400" s="17">
        <v>-220660000</v>
      </c>
      <c r="AD400" s="14" t="s">
        <v>108</v>
      </c>
      <c r="AE400" s="17">
        <v>-204314815</v>
      </c>
      <c r="AF400" s="14" t="s">
        <v>2595</v>
      </c>
      <c r="AG400" s="20" t="s">
        <v>184</v>
      </c>
      <c r="AH400" s="10">
        <v>-116897490</v>
      </c>
      <c r="AI400" s="24" t="str">
        <f>VLOOKUP(Sales[[#This Row],[Store]],'Store lay bao  cao'!A:B,2,0)</f>
        <v>Lấy BC</v>
      </c>
      <c r="AJ400" s="24" t="e">
        <f>VLOOKUP(Sales[[#This Row],[Associate]],'Associate Status'!B:C,2,0)</f>
        <v>#N/A</v>
      </c>
    </row>
    <row r="401" spans="1:36" x14ac:dyDescent="0.25">
      <c r="A401" s="7">
        <v>2024</v>
      </c>
      <c r="B401" s="8">
        <v>6</v>
      </c>
      <c r="C401" s="8">
        <v>26</v>
      </c>
      <c r="D401" s="8" t="s">
        <v>63</v>
      </c>
      <c r="E401" s="8" t="s">
        <v>34</v>
      </c>
      <c r="F401" s="8" t="s">
        <v>63</v>
      </c>
      <c r="G401" s="9">
        <v>-65899215</v>
      </c>
      <c r="H401" s="10">
        <v>-65047500</v>
      </c>
      <c r="I401" s="11">
        <v>45469</v>
      </c>
      <c r="J401" s="12">
        <v>209293</v>
      </c>
      <c r="K401" s="13" t="s">
        <v>642</v>
      </c>
      <c r="L401" s="14" t="s">
        <v>65</v>
      </c>
      <c r="M401" s="11" t="s">
        <v>15</v>
      </c>
      <c r="N401" s="14" t="s">
        <v>62</v>
      </c>
      <c r="O401" s="15">
        <v>4532</v>
      </c>
      <c r="P401" s="12">
        <v>-1</v>
      </c>
      <c r="Q401" s="13" t="s">
        <v>156</v>
      </c>
      <c r="R401" s="16">
        <v>-165495000</v>
      </c>
      <c r="S401" s="17">
        <v>-153236111</v>
      </c>
      <c r="T401" s="12">
        <v>0</v>
      </c>
      <c r="U401" s="18">
        <v>0</v>
      </c>
      <c r="V401" s="19">
        <v>0</v>
      </c>
      <c r="W401" s="13" t="s">
        <v>135</v>
      </c>
      <c r="X401" s="14" t="s">
        <v>1629</v>
      </c>
      <c r="Y401" s="13" t="s">
        <v>183</v>
      </c>
      <c r="Z401" s="14" t="s">
        <v>1630</v>
      </c>
      <c r="AA401" s="17">
        <v>14</v>
      </c>
      <c r="AB401" s="14" t="s">
        <v>173</v>
      </c>
      <c r="AC401" s="17">
        <v>-165495000</v>
      </c>
      <c r="AD401" s="14" t="s">
        <v>108</v>
      </c>
      <c r="AE401" s="17">
        <v>-153236111</v>
      </c>
      <c r="AF401" s="14" t="s">
        <v>2595</v>
      </c>
      <c r="AG401" s="21" t="s">
        <v>184</v>
      </c>
      <c r="AH401" s="10">
        <v>-87336896</v>
      </c>
      <c r="AI401" s="24" t="str">
        <f>VLOOKUP(Sales[[#This Row],[Store]],'Store lay bao  cao'!A:B,2,0)</f>
        <v>Lấy BC</v>
      </c>
      <c r="AJ401" s="24" t="e">
        <f>VLOOKUP(Sales[[#This Row],[Associate]],'Associate Status'!B:C,2,0)</f>
        <v>#N/A</v>
      </c>
    </row>
    <row r="402" spans="1:36" x14ac:dyDescent="0.25">
      <c r="A402" s="7">
        <v>2024</v>
      </c>
      <c r="B402" s="8">
        <v>6</v>
      </c>
      <c r="C402" s="8">
        <v>26</v>
      </c>
      <c r="D402" s="8" t="s">
        <v>63</v>
      </c>
      <c r="E402" s="8" t="s">
        <v>43</v>
      </c>
      <c r="F402" s="8" t="s">
        <v>63</v>
      </c>
      <c r="G402" s="9">
        <v>-64554332</v>
      </c>
      <c r="H402" s="10">
        <v>-63720000</v>
      </c>
      <c r="I402" s="11">
        <v>45469</v>
      </c>
      <c r="J402" s="12">
        <v>209321</v>
      </c>
      <c r="K402" s="13" t="s">
        <v>642</v>
      </c>
      <c r="L402" s="14" t="s">
        <v>65</v>
      </c>
      <c r="M402" s="11" t="s">
        <v>15</v>
      </c>
      <c r="N402" s="14" t="s">
        <v>62</v>
      </c>
      <c r="O402" s="15">
        <v>4532</v>
      </c>
      <c r="P402" s="12">
        <v>-1</v>
      </c>
      <c r="Q402" s="13" t="s">
        <v>156</v>
      </c>
      <c r="R402" s="16">
        <v>-165495000</v>
      </c>
      <c r="S402" s="17">
        <v>-153236111</v>
      </c>
      <c r="T402" s="12">
        <v>0</v>
      </c>
      <c r="U402" s="18">
        <v>0</v>
      </c>
      <c r="V402" s="19">
        <v>0</v>
      </c>
      <c r="W402" s="13" t="s">
        <v>135</v>
      </c>
      <c r="X402" s="14" t="s">
        <v>1631</v>
      </c>
      <c r="Y402" s="13" t="s">
        <v>183</v>
      </c>
      <c r="Z402" s="14" t="s">
        <v>1632</v>
      </c>
      <c r="AA402" s="17">
        <v>14</v>
      </c>
      <c r="AB402" s="14" t="s">
        <v>173</v>
      </c>
      <c r="AC402" s="17">
        <v>-165495000</v>
      </c>
      <c r="AD402" s="14">
        <v>52</v>
      </c>
      <c r="AE402" s="17">
        <v>-153236111</v>
      </c>
      <c r="AF402" s="14" t="s">
        <v>2595</v>
      </c>
      <c r="AG402" s="20" t="s">
        <v>184</v>
      </c>
      <c r="AH402" s="10">
        <v>-88681779</v>
      </c>
      <c r="AI402" s="24" t="str">
        <f>VLOOKUP(Sales[[#This Row],[Store]],'Store lay bao  cao'!A:B,2,0)</f>
        <v>Lấy BC</v>
      </c>
      <c r="AJ402" s="24" t="e">
        <f>VLOOKUP(Sales[[#This Row],[Associate]],'Associate Status'!B:C,2,0)</f>
        <v>#N/A</v>
      </c>
    </row>
    <row r="403" spans="1:36" x14ac:dyDescent="0.25">
      <c r="A403" s="7">
        <v>2024</v>
      </c>
      <c r="B403" s="8">
        <v>6</v>
      </c>
      <c r="C403" s="8">
        <v>26</v>
      </c>
      <c r="D403" s="8" t="s">
        <v>63</v>
      </c>
      <c r="E403" s="8" t="s">
        <v>34</v>
      </c>
      <c r="F403" s="8" t="s">
        <v>63</v>
      </c>
      <c r="G403" s="9">
        <v>-96831498</v>
      </c>
      <c r="H403" s="10">
        <v>-95580000</v>
      </c>
      <c r="I403" s="11">
        <v>45469</v>
      </c>
      <c r="J403" s="12">
        <v>209312</v>
      </c>
      <c r="K403" s="13" t="s">
        <v>642</v>
      </c>
      <c r="L403" s="14" t="s">
        <v>65</v>
      </c>
      <c r="M403" s="11" t="s">
        <v>15</v>
      </c>
      <c r="N403" s="14" t="s">
        <v>62</v>
      </c>
      <c r="O403" s="15">
        <v>4532</v>
      </c>
      <c r="P403" s="12">
        <v>-1</v>
      </c>
      <c r="Q403" s="13" t="s">
        <v>156</v>
      </c>
      <c r="R403" s="16">
        <v>-243375000</v>
      </c>
      <c r="S403" s="17">
        <v>-225347222</v>
      </c>
      <c r="T403" s="12">
        <v>0</v>
      </c>
      <c r="U403" s="18">
        <v>0</v>
      </c>
      <c r="V403" s="19">
        <v>0</v>
      </c>
      <c r="W403" s="13" t="s">
        <v>135</v>
      </c>
      <c r="X403" s="14" t="s">
        <v>1633</v>
      </c>
      <c r="Y403" s="13" t="s">
        <v>183</v>
      </c>
      <c r="Z403" s="14" t="s">
        <v>1634</v>
      </c>
      <c r="AA403" s="17">
        <v>14</v>
      </c>
      <c r="AB403" s="14" t="s">
        <v>173</v>
      </c>
      <c r="AC403" s="17">
        <v>-243375000</v>
      </c>
      <c r="AD403" s="14" t="s">
        <v>108</v>
      </c>
      <c r="AE403" s="17">
        <v>-225347222</v>
      </c>
      <c r="AF403" s="14" t="s">
        <v>2595</v>
      </c>
      <c r="AG403" s="21" t="s">
        <v>184</v>
      </c>
      <c r="AH403" s="10">
        <v>-128515724</v>
      </c>
      <c r="AI403" s="24" t="str">
        <f>VLOOKUP(Sales[[#This Row],[Store]],'Store lay bao  cao'!A:B,2,0)</f>
        <v>Lấy BC</v>
      </c>
      <c r="AJ403" s="24" t="e">
        <f>VLOOKUP(Sales[[#This Row],[Associate]],'Associate Status'!B:C,2,0)</f>
        <v>#N/A</v>
      </c>
    </row>
    <row r="404" spans="1:36" x14ac:dyDescent="0.25">
      <c r="A404" s="7">
        <v>2024</v>
      </c>
      <c r="B404" s="8">
        <v>6</v>
      </c>
      <c r="C404" s="8">
        <v>26</v>
      </c>
      <c r="D404" s="8" t="s">
        <v>52</v>
      </c>
      <c r="E404" s="8" t="s">
        <v>37</v>
      </c>
      <c r="F404" s="8" t="s">
        <v>52</v>
      </c>
      <c r="G404" s="9">
        <v>30187759</v>
      </c>
      <c r="H404" s="10">
        <v>25542000</v>
      </c>
      <c r="I404" s="11">
        <v>45469</v>
      </c>
      <c r="J404" s="12">
        <v>186484</v>
      </c>
      <c r="K404" s="13" t="s">
        <v>640</v>
      </c>
      <c r="L404" s="14" t="s">
        <v>19</v>
      </c>
      <c r="M404" s="11" t="s">
        <v>15</v>
      </c>
      <c r="N404" s="14" t="s">
        <v>11</v>
      </c>
      <c r="O404" s="15">
        <v>4535</v>
      </c>
      <c r="P404" s="12">
        <v>1</v>
      </c>
      <c r="Q404" s="13" t="s">
        <v>175</v>
      </c>
      <c r="R404" s="16">
        <v>72552488</v>
      </c>
      <c r="S404" s="17">
        <v>67178230</v>
      </c>
      <c r="T404" s="12">
        <v>12.6</v>
      </c>
      <c r="U404" s="18">
        <v>9684733</v>
      </c>
      <c r="V404" s="19">
        <v>10459512</v>
      </c>
      <c r="W404" s="13" t="s">
        <v>135</v>
      </c>
      <c r="X404" s="14" t="s">
        <v>1638</v>
      </c>
      <c r="Y404" s="13" t="s">
        <v>183</v>
      </c>
      <c r="Z404" s="14" t="s">
        <v>1639</v>
      </c>
      <c r="AA404" s="17">
        <v>14</v>
      </c>
      <c r="AB404" s="14" t="s">
        <v>1253</v>
      </c>
      <c r="AC404" s="17">
        <v>83012000</v>
      </c>
      <c r="AD404" s="14" t="s">
        <v>108</v>
      </c>
      <c r="AE404" s="17">
        <v>76862963</v>
      </c>
      <c r="AF404" s="14" t="s">
        <v>2595</v>
      </c>
      <c r="AG404" s="20" t="s">
        <v>184</v>
      </c>
      <c r="AH404" s="10">
        <v>36990471</v>
      </c>
      <c r="AI404" s="24" t="str">
        <f>VLOOKUP(Sales[[#This Row],[Store]],'Store lay bao  cao'!A:B,2,0)</f>
        <v>Lấy BC</v>
      </c>
      <c r="AJ404" s="24" t="e">
        <f>VLOOKUP(Sales[[#This Row],[Associate]],'Associate Status'!B:C,2,0)</f>
        <v>#N/A</v>
      </c>
    </row>
    <row r="405" spans="1:36" x14ac:dyDescent="0.25">
      <c r="A405" s="7">
        <v>2024</v>
      </c>
      <c r="B405" s="8">
        <v>6</v>
      </c>
      <c r="C405" s="8">
        <v>26</v>
      </c>
      <c r="D405" s="8" t="s">
        <v>52</v>
      </c>
      <c r="E405" s="8" t="s">
        <v>34</v>
      </c>
      <c r="F405" s="8" t="s">
        <v>52</v>
      </c>
      <c r="G405" s="9">
        <v>14022423</v>
      </c>
      <c r="H405" s="10">
        <v>11868000</v>
      </c>
      <c r="I405" s="11">
        <v>45469</v>
      </c>
      <c r="J405" s="12">
        <v>186452</v>
      </c>
      <c r="K405" s="13" t="s">
        <v>640</v>
      </c>
      <c r="L405" s="14" t="s">
        <v>19</v>
      </c>
      <c r="M405" s="11" t="s">
        <v>15</v>
      </c>
      <c r="N405" s="14" t="s">
        <v>11</v>
      </c>
      <c r="O405" s="15">
        <v>4535</v>
      </c>
      <c r="P405" s="12">
        <v>1</v>
      </c>
      <c r="Q405" s="13" t="s">
        <v>175</v>
      </c>
      <c r="R405" s="16">
        <v>33711054</v>
      </c>
      <c r="S405" s="17">
        <v>31213939</v>
      </c>
      <c r="T405" s="12">
        <v>12.6</v>
      </c>
      <c r="U405" s="18">
        <v>4499950</v>
      </c>
      <c r="V405" s="19">
        <v>4859946</v>
      </c>
      <c r="W405" s="13" t="s">
        <v>135</v>
      </c>
      <c r="X405" s="14" t="s">
        <v>1640</v>
      </c>
      <c r="Y405" s="13" t="s">
        <v>183</v>
      </c>
      <c r="Z405" s="14" t="s">
        <v>1641</v>
      </c>
      <c r="AA405" s="17">
        <v>14</v>
      </c>
      <c r="AB405" s="14" t="s">
        <v>1642</v>
      </c>
      <c r="AC405" s="17">
        <v>38571000</v>
      </c>
      <c r="AD405" s="14" t="s">
        <v>108</v>
      </c>
      <c r="AE405" s="17">
        <v>35713889</v>
      </c>
      <c r="AF405" s="14" t="s">
        <v>2595</v>
      </c>
      <c r="AG405" s="21" t="s">
        <v>184</v>
      </c>
      <c r="AH405" s="10">
        <v>17191516</v>
      </c>
      <c r="AI405" s="24" t="str">
        <f>VLOOKUP(Sales[[#This Row],[Store]],'Store lay bao  cao'!A:B,2,0)</f>
        <v>Lấy BC</v>
      </c>
      <c r="AJ405" s="24" t="e">
        <f>VLOOKUP(Sales[[#This Row],[Associate]],'Associate Status'!B:C,2,0)</f>
        <v>#N/A</v>
      </c>
    </row>
    <row r="406" spans="1:36" x14ac:dyDescent="0.25">
      <c r="A406" s="7">
        <v>2024</v>
      </c>
      <c r="B406" s="8">
        <v>6</v>
      </c>
      <c r="C406" s="8">
        <v>26</v>
      </c>
      <c r="D406" s="8" t="s">
        <v>52</v>
      </c>
      <c r="E406" s="8" t="s">
        <v>43</v>
      </c>
      <c r="F406" s="8" t="s">
        <v>52</v>
      </c>
      <c r="G406" s="9">
        <v>15722373</v>
      </c>
      <c r="H406" s="10">
        <v>13312800</v>
      </c>
      <c r="I406" s="11">
        <v>45469</v>
      </c>
      <c r="J406" s="12">
        <v>186469</v>
      </c>
      <c r="K406" s="13" t="s">
        <v>640</v>
      </c>
      <c r="L406" s="14" t="s">
        <v>19</v>
      </c>
      <c r="M406" s="11" t="s">
        <v>15</v>
      </c>
      <c r="N406" s="14" t="s">
        <v>11</v>
      </c>
      <c r="O406" s="15">
        <v>4535</v>
      </c>
      <c r="P406" s="12">
        <v>1</v>
      </c>
      <c r="Q406" s="13" t="s">
        <v>175</v>
      </c>
      <c r="R406" s="16">
        <v>37815358</v>
      </c>
      <c r="S406" s="17">
        <v>35014220</v>
      </c>
      <c r="T406" s="12">
        <v>12.6</v>
      </c>
      <c r="U406" s="18">
        <v>5047817</v>
      </c>
      <c r="V406" s="19">
        <v>5451642</v>
      </c>
      <c r="W406" s="13" t="s">
        <v>135</v>
      </c>
      <c r="X406" s="14" t="s">
        <v>1643</v>
      </c>
      <c r="Y406" s="13" t="s">
        <v>183</v>
      </c>
      <c r="Z406" s="14" t="s">
        <v>1644</v>
      </c>
      <c r="AA406" s="17">
        <v>14</v>
      </c>
      <c r="AB406" s="14" t="s">
        <v>1645</v>
      </c>
      <c r="AC406" s="17">
        <v>43267000</v>
      </c>
      <c r="AD406" s="14" t="s">
        <v>1307</v>
      </c>
      <c r="AE406" s="17">
        <v>40062037</v>
      </c>
      <c r="AF406" s="14" t="s">
        <v>2595</v>
      </c>
      <c r="AG406" s="20" t="s">
        <v>184</v>
      </c>
      <c r="AH406" s="10">
        <v>19291847</v>
      </c>
      <c r="AI406" s="24" t="str">
        <f>VLOOKUP(Sales[[#This Row],[Store]],'Store lay bao  cao'!A:B,2,0)</f>
        <v>Lấy BC</v>
      </c>
      <c r="AJ406" s="24" t="e">
        <f>VLOOKUP(Sales[[#This Row],[Associate]],'Associate Status'!B:C,2,0)</f>
        <v>#N/A</v>
      </c>
    </row>
    <row r="407" spans="1:36" x14ac:dyDescent="0.25">
      <c r="A407" s="7">
        <v>2024</v>
      </c>
      <c r="B407" s="8">
        <v>6</v>
      </c>
      <c r="C407" s="8">
        <v>26</v>
      </c>
      <c r="D407" s="8" t="s">
        <v>29</v>
      </c>
      <c r="E407" s="8" t="s">
        <v>12</v>
      </c>
      <c r="F407" s="8" t="s">
        <v>29</v>
      </c>
      <c r="G407" s="9">
        <v>9771300</v>
      </c>
      <c r="H407" s="10">
        <v>9771300</v>
      </c>
      <c r="I407" s="11">
        <v>45469</v>
      </c>
      <c r="J407" s="12">
        <v>90572</v>
      </c>
      <c r="K407" s="13" t="s">
        <v>640</v>
      </c>
      <c r="L407" s="14" t="s">
        <v>19</v>
      </c>
      <c r="M407" s="11" t="s">
        <v>15</v>
      </c>
      <c r="N407" s="14" t="s">
        <v>11</v>
      </c>
      <c r="O407" s="15">
        <v>4535</v>
      </c>
      <c r="P407" s="12">
        <v>1</v>
      </c>
      <c r="Q407" s="13" t="s">
        <v>175</v>
      </c>
      <c r="R407" s="16">
        <v>28467054</v>
      </c>
      <c r="S407" s="17">
        <v>26358383</v>
      </c>
      <c r="T407" s="12">
        <v>12.6</v>
      </c>
      <c r="U407" s="18">
        <v>3799950</v>
      </c>
      <c r="V407" s="19">
        <v>4103946</v>
      </c>
      <c r="W407" s="13" t="s">
        <v>135</v>
      </c>
      <c r="X407" s="14" t="s">
        <v>856</v>
      </c>
      <c r="Y407" s="13" t="s">
        <v>183</v>
      </c>
      <c r="Z407" s="14" t="s">
        <v>857</v>
      </c>
      <c r="AA407" s="17">
        <v>14</v>
      </c>
      <c r="AB407" s="14" t="s">
        <v>858</v>
      </c>
      <c r="AC407" s="17">
        <v>32571000</v>
      </c>
      <c r="AD407" s="14">
        <v>12</v>
      </c>
      <c r="AE407" s="17">
        <v>30158333</v>
      </c>
      <c r="AF407" s="14" t="s">
        <v>2595</v>
      </c>
      <c r="AG407" s="21" t="s">
        <v>184</v>
      </c>
      <c r="AH407" s="10">
        <v>16587083</v>
      </c>
      <c r="AI407" s="24" t="str">
        <f>VLOOKUP(Sales[[#This Row],[Store]],'Store lay bao  cao'!A:B,2,0)</f>
        <v>Lấy BC</v>
      </c>
      <c r="AJ407" s="24" t="e">
        <f>VLOOKUP(Sales[[#This Row],[Associate]],'Associate Status'!B:C,2,0)</f>
        <v>#N/A</v>
      </c>
    </row>
    <row r="408" spans="1:36" x14ac:dyDescent="0.25">
      <c r="A408" s="7">
        <v>2024</v>
      </c>
      <c r="B408" s="8">
        <v>6</v>
      </c>
      <c r="C408" s="8">
        <v>26</v>
      </c>
      <c r="D408" s="8" t="s">
        <v>60</v>
      </c>
      <c r="E408" s="8" t="s">
        <v>43</v>
      </c>
      <c r="F408" s="8" t="s">
        <v>60</v>
      </c>
      <c r="G408" s="9">
        <v>3501402</v>
      </c>
      <c r="H408" s="10">
        <v>2616300</v>
      </c>
      <c r="I408" s="11">
        <v>45469</v>
      </c>
      <c r="J408" s="12">
        <v>202765</v>
      </c>
      <c r="K408" s="13" t="s">
        <v>640</v>
      </c>
      <c r="L408" s="14" t="s">
        <v>19</v>
      </c>
      <c r="M408" s="11" t="s">
        <v>15</v>
      </c>
      <c r="N408" s="14" t="s">
        <v>62</v>
      </c>
      <c r="O408" s="15">
        <v>4535</v>
      </c>
      <c r="P408" s="12">
        <v>1</v>
      </c>
      <c r="Q408" s="13" t="s">
        <v>175</v>
      </c>
      <c r="R408" s="16">
        <v>7577580</v>
      </c>
      <c r="S408" s="17">
        <v>7016278</v>
      </c>
      <c r="T408" s="12">
        <v>12.6</v>
      </c>
      <c r="U408" s="18">
        <v>1011500</v>
      </c>
      <c r="V408" s="19">
        <v>1092420</v>
      </c>
      <c r="W408" s="13" t="s">
        <v>135</v>
      </c>
      <c r="X408" s="14" t="s">
        <v>1646</v>
      </c>
      <c r="Y408" s="13" t="s">
        <v>183</v>
      </c>
      <c r="Z408" s="14" t="s">
        <v>1647</v>
      </c>
      <c r="AA408" s="17">
        <v>14</v>
      </c>
      <c r="AB408" s="14" t="s">
        <v>1331</v>
      </c>
      <c r="AC408" s="17">
        <v>8670000</v>
      </c>
      <c r="AD408" s="14">
        <v>53</v>
      </c>
      <c r="AE408" s="17">
        <v>8027778</v>
      </c>
      <c r="AF408" s="14" t="s">
        <v>2595</v>
      </c>
      <c r="AG408" s="20" t="s">
        <v>184</v>
      </c>
      <c r="AH408" s="10">
        <v>3514876</v>
      </c>
      <c r="AI408" s="24" t="str">
        <f>VLOOKUP(Sales[[#This Row],[Store]],'Store lay bao  cao'!A:B,2,0)</f>
        <v>Lấy BC</v>
      </c>
      <c r="AJ408" s="24" t="e">
        <f>VLOOKUP(Sales[[#This Row],[Associate]],'Associate Status'!B:C,2,0)</f>
        <v>#N/A</v>
      </c>
    </row>
    <row r="409" spans="1:36" x14ac:dyDescent="0.25">
      <c r="A409" s="7">
        <v>2024</v>
      </c>
      <c r="B409" s="8">
        <v>6</v>
      </c>
      <c r="C409" s="8">
        <v>26</v>
      </c>
      <c r="D409" s="8" t="s">
        <v>52</v>
      </c>
      <c r="E409" s="8" t="s">
        <v>43</v>
      </c>
      <c r="F409" s="8" t="s">
        <v>52</v>
      </c>
      <c r="G409" s="9">
        <v>6280608</v>
      </c>
      <c r="H409" s="10">
        <v>5314800</v>
      </c>
      <c r="I409" s="11">
        <v>45469</v>
      </c>
      <c r="J409" s="12">
        <v>186472</v>
      </c>
      <c r="K409" s="13" t="s">
        <v>640</v>
      </c>
      <c r="L409" s="14" t="s">
        <v>19</v>
      </c>
      <c r="M409" s="11" t="s">
        <v>15</v>
      </c>
      <c r="N409" s="14" t="s">
        <v>11</v>
      </c>
      <c r="O409" s="15">
        <v>4535</v>
      </c>
      <c r="P409" s="12">
        <v>1</v>
      </c>
      <c r="Q409" s="13" t="s">
        <v>175</v>
      </c>
      <c r="R409" s="16">
        <v>15097476</v>
      </c>
      <c r="S409" s="17">
        <v>13979144</v>
      </c>
      <c r="T409" s="12">
        <v>12.6</v>
      </c>
      <c r="U409" s="18">
        <v>2015300</v>
      </c>
      <c r="V409" s="19">
        <v>2176524</v>
      </c>
      <c r="W409" s="13" t="s">
        <v>135</v>
      </c>
      <c r="X409" s="14" t="s">
        <v>1648</v>
      </c>
      <c r="Y409" s="13" t="s">
        <v>183</v>
      </c>
      <c r="Z409" s="14" t="s">
        <v>1649</v>
      </c>
      <c r="AA409" s="17">
        <v>14</v>
      </c>
      <c r="AB409" s="14" t="s">
        <v>1174</v>
      </c>
      <c r="AC409" s="17">
        <v>17274000</v>
      </c>
      <c r="AD409" s="14" t="s">
        <v>1324</v>
      </c>
      <c r="AE409" s="17">
        <v>15994444</v>
      </c>
      <c r="AF409" s="14" t="s">
        <v>2595</v>
      </c>
      <c r="AG409" s="21" t="s">
        <v>184</v>
      </c>
      <c r="AH409" s="10">
        <v>7698536</v>
      </c>
      <c r="AI409" s="24" t="str">
        <f>VLOOKUP(Sales[[#This Row],[Store]],'Store lay bao  cao'!A:B,2,0)</f>
        <v>Lấy BC</v>
      </c>
      <c r="AJ409" s="24" t="e">
        <f>VLOOKUP(Sales[[#This Row],[Associate]],'Associate Status'!B:C,2,0)</f>
        <v>#N/A</v>
      </c>
    </row>
    <row r="410" spans="1:36" x14ac:dyDescent="0.25">
      <c r="A410" s="7">
        <v>2024</v>
      </c>
      <c r="B410" s="8">
        <v>6</v>
      </c>
      <c r="C410" s="8">
        <v>26</v>
      </c>
      <c r="D410" s="8" t="s">
        <v>52</v>
      </c>
      <c r="E410" s="8" t="s">
        <v>37</v>
      </c>
      <c r="F410" s="8" t="s">
        <v>52</v>
      </c>
      <c r="G410" s="9">
        <v>-30187759</v>
      </c>
      <c r="H410" s="10">
        <v>-25542000</v>
      </c>
      <c r="I410" s="11">
        <v>45469</v>
      </c>
      <c r="J410" s="12">
        <v>186484</v>
      </c>
      <c r="K410" s="13" t="s">
        <v>644</v>
      </c>
      <c r="L410" s="14" t="s">
        <v>19</v>
      </c>
      <c r="M410" s="11" t="s">
        <v>15</v>
      </c>
      <c r="N410" s="14" t="s">
        <v>11</v>
      </c>
      <c r="O410" s="15">
        <v>4534</v>
      </c>
      <c r="P410" s="12">
        <v>-1</v>
      </c>
      <c r="Q410" s="13" t="s">
        <v>156</v>
      </c>
      <c r="R410" s="16">
        <v>-78861400</v>
      </c>
      <c r="S410" s="17">
        <v>-73019815</v>
      </c>
      <c r="T410" s="12">
        <v>5</v>
      </c>
      <c r="U410" s="18">
        <v>-3843148</v>
      </c>
      <c r="V410" s="19">
        <v>-4150600</v>
      </c>
      <c r="W410" s="13" t="s">
        <v>135</v>
      </c>
      <c r="X410" s="14" t="s">
        <v>1638</v>
      </c>
      <c r="Y410" s="13" t="s">
        <v>183</v>
      </c>
      <c r="Z410" s="14" t="s">
        <v>1639</v>
      </c>
      <c r="AA410" s="17">
        <v>14</v>
      </c>
      <c r="AB410" s="14" t="s">
        <v>1253</v>
      </c>
      <c r="AC410" s="17">
        <v>-83012000</v>
      </c>
      <c r="AD410" s="14" t="s">
        <v>108</v>
      </c>
      <c r="AE410" s="17">
        <v>-76862963</v>
      </c>
      <c r="AF410" s="14" t="s">
        <v>2595</v>
      </c>
      <c r="AG410" s="20" t="s">
        <v>184</v>
      </c>
      <c r="AH410" s="10">
        <v>-42832056</v>
      </c>
      <c r="AI410" s="24" t="str">
        <f>VLOOKUP(Sales[[#This Row],[Store]],'Store lay bao  cao'!A:B,2,0)</f>
        <v>Lấy BC</v>
      </c>
      <c r="AJ410" s="24" t="e">
        <f>VLOOKUP(Sales[[#This Row],[Associate]],'Associate Status'!B:C,2,0)</f>
        <v>#N/A</v>
      </c>
    </row>
    <row r="411" spans="1:36" x14ac:dyDescent="0.25">
      <c r="A411" s="7">
        <v>2024</v>
      </c>
      <c r="B411" s="8">
        <v>6</v>
      </c>
      <c r="C411" s="8">
        <v>26</v>
      </c>
      <c r="D411" s="8" t="s">
        <v>52</v>
      </c>
      <c r="E411" s="8" t="s">
        <v>34</v>
      </c>
      <c r="F411" s="8" t="s">
        <v>52</v>
      </c>
      <c r="G411" s="9">
        <v>-14022423</v>
      </c>
      <c r="H411" s="10">
        <v>-11868000</v>
      </c>
      <c r="I411" s="11">
        <v>45469</v>
      </c>
      <c r="J411" s="12">
        <v>186452</v>
      </c>
      <c r="K411" s="13" t="s">
        <v>644</v>
      </c>
      <c r="L411" s="14" t="s">
        <v>19</v>
      </c>
      <c r="M411" s="11" t="s">
        <v>15</v>
      </c>
      <c r="N411" s="14" t="s">
        <v>11</v>
      </c>
      <c r="O411" s="15">
        <v>4534</v>
      </c>
      <c r="P411" s="12">
        <v>-1</v>
      </c>
      <c r="Q411" s="13" t="s">
        <v>156</v>
      </c>
      <c r="R411" s="16">
        <v>-36642450</v>
      </c>
      <c r="S411" s="17">
        <v>-33928194</v>
      </c>
      <c r="T411" s="12">
        <v>5</v>
      </c>
      <c r="U411" s="18">
        <v>-1785694</v>
      </c>
      <c r="V411" s="19">
        <v>-1928550</v>
      </c>
      <c r="W411" s="13" t="s">
        <v>135</v>
      </c>
      <c r="X411" s="14" t="s">
        <v>1640</v>
      </c>
      <c r="Y411" s="13" t="s">
        <v>183</v>
      </c>
      <c r="Z411" s="14" t="s">
        <v>1641</v>
      </c>
      <c r="AA411" s="17">
        <v>14</v>
      </c>
      <c r="AB411" s="14" t="s">
        <v>1642</v>
      </c>
      <c r="AC411" s="17">
        <v>-38571000</v>
      </c>
      <c r="AD411" s="14" t="s">
        <v>108</v>
      </c>
      <c r="AE411" s="17">
        <v>-35713889</v>
      </c>
      <c r="AF411" s="14" t="s">
        <v>2595</v>
      </c>
      <c r="AG411" s="21" t="s">
        <v>184</v>
      </c>
      <c r="AH411" s="10">
        <v>-19905771</v>
      </c>
      <c r="AI411" s="24" t="str">
        <f>VLOOKUP(Sales[[#This Row],[Store]],'Store lay bao  cao'!A:B,2,0)</f>
        <v>Lấy BC</v>
      </c>
      <c r="AJ411" s="24" t="e">
        <f>VLOOKUP(Sales[[#This Row],[Associate]],'Associate Status'!B:C,2,0)</f>
        <v>#N/A</v>
      </c>
    </row>
    <row r="412" spans="1:36" x14ac:dyDescent="0.25">
      <c r="A412" s="7">
        <v>2024</v>
      </c>
      <c r="B412" s="8">
        <v>6</v>
      </c>
      <c r="C412" s="8">
        <v>26</v>
      </c>
      <c r="D412" s="8" t="s">
        <v>52</v>
      </c>
      <c r="E412" s="8" t="s">
        <v>43</v>
      </c>
      <c r="F412" s="8" t="s">
        <v>52</v>
      </c>
      <c r="G412" s="9">
        <v>-15722373</v>
      </c>
      <c r="H412" s="10">
        <v>-13312800</v>
      </c>
      <c r="I412" s="11">
        <v>45469</v>
      </c>
      <c r="J412" s="12">
        <v>186469</v>
      </c>
      <c r="K412" s="13" t="s">
        <v>644</v>
      </c>
      <c r="L412" s="14" t="s">
        <v>19</v>
      </c>
      <c r="M412" s="11" t="s">
        <v>15</v>
      </c>
      <c r="N412" s="14" t="s">
        <v>11</v>
      </c>
      <c r="O412" s="15">
        <v>4534</v>
      </c>
      <c r="P412" s="12">
        <v>-1</v>
      </c>
      <c r="Q412" s="13" t="s">
        <v>156</v>
      </c>
      <c r="R412" s="16">
        <v>-41103650</v>
      </c>
      <c r="S412" s="17">
        <v>-38058935</v>
      </c>
      <c r="T412" s="12">
        <v>5</v>
      </c>
      <c r="U412" s="18">
        <v>-2003102</v>
      </c>
      <c r="V412" s="19">
        <v>-2163350</v>
      </c>
      <c r="W412" s="13" t="s">
        <v>135</v>
      </c>
      <c r="X412" s="14" t="s">
        <v>1643</v>
      </c>
      <c r="Y412" s="13" t="s">
        <v>183</v>
      </c>
      <c r="Z412" s="14" t="s">
        <v>1644</v>
      </c>
      <c r="AA412" s="17">
        <v>14</v>
      </c>
      <c r="AB412" s="14" t="s">
        <v>1645</v>
      </c>
      <c r="AC412" s="17">
        <v>-43267000</v>
      </c>
      <c r="AD412" s="14" t="s">
        <v>1307</v>
      </c>
      <c r="AE412" s="17">
        <v>-40062037</v>
      </c>
      <c r="AF412" s="14" t="s">
        <v>2595</v>
      </c>
      <c r="AG412" s="20" t="s">
        <v>184</v>
      </c>
      <c r="AH412" s="10">
        <v>-22336562</v>
      </c>
      <c r="AI412" s="24" t="str">
        <f>VLOOKUP(Sales[[#This Row],[Store]],'Store lay bao  cao'!A:B,2,0)</f>
        <v>Lấy BC</v>
      </c>
      <c r="AJ412" s="24" t="e">
        <f>VLOOKUP(Sales[[#This Row],[Associate]],'Associate Status'!B:C,2,0)</f>
        <v>#N/A</v>
      </c>
    </row>
    <row r="413" spans="1:36" x14ac:dyDescent="0.25">
      <c r="A413" s="7">
        <v>2024</v>
      </c>
      <c r="B413" s="8">
        <v>6</v>
      </c>
      <c r="C413" s="8">
        <v>26</v>
      </c>
      <c r="D413" s="8" t="s">
        <v>29</v>
      </c>
      <c r="E413" s="8" t="s">
        <v>12</v>
      </c>
      <c r="F413" s="8" t="s">
        <v>29</v>
      </c>
      <c r="G413" s="9">
        <v>-9771300</v>
      </c>
      <c r="H413" s="10">
        <v>-9771300</v>
      </c>
      <c r="I413" s="11">
        <v>45469</v>
      </c>
      <c r="J413" s="12">
        <v>90572</v>
      </c>
      <c r="K413" s="13" t="s">
        <v>644</v>
      </c>
      <c r="L413" s="14" t="s">
        <v>19</v>
      </c>
      <c r="M413" s="11" t="s">
        <v>15</v>
      </c>
      <c r="N413" s="14" t="s">
        <v>11</v>
      </c>
      <c r="O413" s="15">
        <v>4534</v>
      </c>
      <c r="P413" s="12">
        <v>-1</v>
      </c>
      <c r="Q413" s="13" t="s">
        <v>156</v>
      </c>
      <c r="R413" s="16">
        <v>-30942450</v>
      </c>
      <c r="S413" s="17">
        <v>-28650417</v>
      </c>
      <c r="T413" s="12">
        <v>5</v>
      </c>
      <c r="U413" s="18">
        <v>-1507917</v>
      </c>
      <c r="V413" s="19">
        <v>-1628550</v>
      </c>
      <c r="W413" s="13" t="s">
        <v>135</v>
      </c>
      <c r="X413" s="14" t="s">
        <v>856</v>
      </c>
      <c r="Y413" s="13" t="s">
        <v>183</v>
      </c>
      <c r="Z413" s="14" t="s">
        <v>857</v>
      </c>
      <c r="AA413" s="17">
        <v>14</v>
      </c>
      <c r="AB413" s="14" t="s">
        <v>858</v>
      </c>
      <c r="AC413" s="17">
        <v>-32571000</v>
      </c>
      <c r="AD413" s="14">
        <v>12</v>
      </c>
      <c r="AE413" s="17">
        <v>-30158333</v>
      </c>
      <c r="AF413" s="14" t="s">
        <v>2595</v>
      </c>
      <c r="AG413" s="21" t="s">
        <v>184</v>
      </c>
      <c r="AH413" s="10">
        <v>-18879117</v>
      </c>
      <c r="AI413" s="24" t="str">
        <f>VLOOKUP(Sales[[#This Row],[Store]],'Store lay bao  cao'!A:B,2,0)</f>
        <v>Lấy BC</v>
      </c>
      <c r="AJ413" s="24" t="e">
        <f>VLOOKUP(Sales[[#This Row],[Associate]],'Associate Status'!B:C,2,0)</f>
        <v>#N/A</v>
      </c>
    </row>
    <row r="414" spans="1:36" x14ac:dyDescent="0.25">
      <c r="A414" s="7">
        <v>2024</v>
      </c>
      <c r="B414" s="8">
        <v>6</v>
      </c>
      <c r="C414" s="8">
        <v>26</v>
      </c>
      <c r="D414" s="8" t="s">
        <v>60</v>
      </c>
      <c r="E414" s="8" t="s">
        <v>43</v>
      </c>
      <c r="F414" s="8" t="s">
        <v>60</v>
      </c>
      <c r="G414" s="9">
        <v>-3501402</v>
      </c>
      <c r="H414" s="10">
        <v>-2616300</v>
      </c>
      <c r="I414" s="11">
        <v>45469</v>
      </c>
      <c r="J414" s="12">
        <v>202765</v>
      </c>
      <c r="K414" s="13" t="s">
        <v>644</v>
      </c>
      <c r="L414" s="14" t="s">
        <v>19</v>
      </c>
      <c r="M414" s="11" t="s">
        <v>15</v>
      </c>
      <c r="N414" s="14" t="s">
        <v>62</v>
      </c>
      <c r="O414" s="15">
        <v>4534</v>
      </c>
      <c r="P414" s="12">
        <v>-1</v>
      </c>
      <c r="Q414" s="13" t="s">
        <v>156</v>
      </c>
      <c r="R414" s="16">
        <v>-8236500</v>
      </c>
      <c r="S414" s="17">
        <v>-7626389</v>
      </c>
      <c r="T414" s="12">
        <v>5</v>
      </c>
      <c r="U414" s="18">
        <v>-401389</v>
      </c>
      <c r="V414" s="19">
        <v>-433500</v>
      </c>
      <c r="W414" s="13" t="s">
        <v>135</v>
      </c>
      <c r="X414" s="14" t="s">
        <v>1646</v>
      </c>
      <c r="Y414" s="13" t="s">
        <v>183</v>
      </c>
      <c r="Z414" s="14" t="s">
        <v>1647</v>
      </c>
      <c r="AA414" s="17">
        <v>14</v>
      </c>
      <c r="AB414" s="14" t="s">
        <v>1331</v>
      </c>
      <c r="AC414" s="17">
        <v>-8670000</v>
      </c>
      <c r="AD414" s="14">
        <v>53</v>
      </c>
      <c r="AE414" s="17">
        <v>-8027778</v>
      </c>
      <c r="AF414" s="14" t="s">
        <v>2595</v>
      </c>
      <c r="AG414" s="20" t="s">
        <v>184</v>
      </c>
      <c r="AH414" s="10">
        <v>-4124987</v>
      </c>
      <c r="AI414" s="24" t="str">
        <f>VLOOKUP(Sales[[#This Row],[Store]],'Store lay bao  cao'!A:B,2,0)</f>
        <v>Lấy BC</v>
      </c>
      <c r="AJ414" s="24" t="e">
        <f>VLOOKUP(Sales[[#This Row],[Associate]],'Associate Status'!B:C,2,0)</f>
        <v>#N/A</v>
      </c>
    </row>
    <row r="415" spans="1:36" x14ac:dyDescent="0.25">
      <c r="A415" s="7">
        <v>2024</v>
      </c>
      <c r="B415" s="8">
        <v>6</v>
      </c>
      <c r="C415" s="8">
        <v>26</v>
      </c>
      <c r="D415" s="8" t="s">
        <v>52</v>
      </c>
      <c r="E415" s="8" t="s">
        <v>43</v>
      </c>
      <c r="F415" s="8" t="s">
        <v>52</v>
      </c>
      <c r="G415" s="9">
        <v>-6280608</v>
      </c>
      <c r="H415" s="10">
        <v>-5314800</v>
      </c>
      <c r="I415" s="11">
        <v>45469</v>
      </c>
      <c r="J415" s="12">
        <v>186472</v>
      </c>
      <c r="K415" s="13" t="s">
        <v>644</v>
      </c>
      <c r="L415" s="14" t="s">
        <v>19</v>
      </c>
      <c r="M415" s="11" t="s">
        <v>15</v>
      </c>
      <c r="N415" s="14" t="s">
        <v>11</v>
      </c>
      <c r="O415" s="15">
        <v>4534</v>
      </c>
      <c r="P415" s="12">
        <v>-1</v>
      </c>
      <c r="Q415" s="13" t="s">
        <v>156</v>
      </c>
      <c r="R415" s="16">
        <v>-16410300</v>
      </c>
      <c r="S415" s="17">
        <v>-15194722</v>
      </c>
      <c r="T415" s="12">
        <v>5</v>
      </c>
      <c r="U415" s="18">
        <v>-799722</v>
      </c>
      <c r="V415" s="19">
        <v>-863700</v>
      </c>
      <c r="W415" s="13" t="s">
        <v>135</v>
      </c>
      <c r="X415" s="14" t="s">
        <v>1648</v>
      </c>
      <c r="Y415" s="13" t="s">
        <v>183</v>
      </c>
      <c r="Z415" s="14" t="s">
        <v>1649</v>
      </c>
      <c r="AA415" s="17">
        <v>14</v>
      </c>
      <c r="AB415" s="14" t="s">
        <v>1174</v>
      </c>
      <c r="AC415" s="17">
        <v>-17274000</v>
      </c>
      <c r="AD415" s="14" t="s">
        <v>1324</v>
      </c>
      <c r="AE415" s="17">
        <v>-15994444</v>
      </c>
      <c r="AF415" s="14" t="s">
        <v>2595</v>
      </c>
      <c r="AG415" s="21" t="s">
        <v>184</v>
      </c>
      <c r="AH415" s="10">
        <v>-8914114</v>
      </c>
      <c r="AI415" s="24" t="str">
        <f>VLOOKUP(Sales[[#This Row],[Store]],'Store lay bao  cao'!A:B,2,0)</f>
        <v>Lấy BC</v>
      </c>
      <c r="AJ415" s="24" t="e">
        <f>VLOOKUP(Sales[[#This Row],[Associate]],'Associate Status'!B:C,2,0)</f>
        <v>#N/A</v>
      </c>
    </row>
    <row r="416" spans="1:36" x14ac:dyDescent="0.25">
      <c r="A416" s="7">
        <v>2024</v>
      </c>
      <c r="B416" s="8">
        <v>6</v>
      </c>
      <c r="C416" s="8">
        <v>26</v>
      </c>
      <c r="D416" s="8" t="s">
        <v>63</v>
      </c>
      <c r="E416" s="8" t="s">
        <v>37</v>
      </c>
      <c r="F416" s="8" t="s">
        <v>63</v>
      </c>
      <c r="G416" s="9">
        <v>149954336</v>
      </c>
      <c r="H416" s="10">
        <v>148016250</v>
      </c>
      <c r="I416" s="11">
        <v>45469</v>
      </c>
      <c r="J416" s="12">
        <v>209324</v>
      </c>
      <c r="K416" s="13" t="s">
        <v>647</v>
      </c>
      <c r="L416" s="14" t="s">
        <v>65</v>
      </c>
      <c r="M416" s="11" t="s">
        <v>15</v>
      </c>
      <c r="N416" s="14" t="s">
        <v>62</v>
      </c>
      <c r="O416" s="15">
        <v>4551</v>
      </c>
      <c r="P416" s="12">
        <v>1</v>
      </c>
      <c r="Q416" s="13" t="s">
        <v>175</v>
      </c>
      <c r="R416" s="16">
        <v>383883500</v>
      </c>
      <c r="S416" s="17">
        <v>355447685</v>
      </c>
      <c r="T416" s="12">
        <v>9</v>
      </c>
      <c r="U416" s="18">
        <v>35154167</v>
      </c>
      <c r="V416" s="19">
        <v>37966500</v>
      </c>
      <c r="W416" s="13" t="s">
        <v>135</v>
      </c>
      <c r="X416" s="14" t="s">
        <v>1685</v>
      </c>
      <c r="Y416" s="13" t="s">
        <v>1423</v>
      </c>
      <c r="Z416" s="14" t="s">
        <v>1686</v>
      </c>
      <c r="AA416" s="17">
        <v>15</v>
      </c>
      <c r="AB416" s="14" t="s">
        <v>173</v>
      </c>
      <c r="AC416" s="17">
        <v>421850000</v>
      </c>
      <c r="AD416" s="14" t="s">
        <v>108</v>
      </c>
      <c r="AE416" s="17">
        <v>390601852</v>
      </c>
      <c r="AF416" s="14" t="s">
        <v>117</v>
      </c>
      <c r="AG416" s="20" t="s">
        <v>1424</v>
      </c>
      <c r="AH416" s="10">
        <v>205493349</v>
      </c>
      <c r="AI416" s="24" t="str">
        <f>VLOOKUP(Sales[[#This Row],[Store]],'Store lay bao  cao'!A:B,2,0)</f>
        <v>Lấy BC</v>
      </c>
      <c r="AJ416" s="24" t="str">
        <f>VLOOKUP(Sales[[#This Row],[Associate]],'Associate Status'!B:C,2,0)</f>
        <v>Retired</v>
      </c>
    </row>
    <row r="417" spans="1:36" x14ac:dyDescent="0.25">
      <c r="A417" s="7">
        <v>2024</v>
      </c>
      <c r="B417" s="8">
        <v>6</v>
      </c>
      <c r="C417" s="8">
        <v>26</v>
      </c>
      <c r="D417" s="8" t="s">
        <v>63</v>
      </c>
      <c r="E417" s="8" t="s">
        <v>43</v>
      </c>
      <c r="F417" s="8" t="s">
        <v>63</v>
      </c>
      <c r="G417" s="9">
        <v>129108666</v>
      </c>
      <c r="H417" s="10">
        <v>127440000</v>
      </c>
      <c r="I417" s="11">
        <v>45469</v>
      </c>
      <c r="J417" s="12">
        <v>209311</v>
      </c>
      <c r="K417" s="13" t="s">
        <v>1687</v>
      </c>
      <c r="L417" s="14" t="s">
        <v>65</v>
      </c>
      <c r="M417" s="11" t="s">
        <v>15</v>
      </c>
      <c r="N417" s="14" t="s">
        <v>62</v>
      </c>
      <c r="O417" s="15">
        <v>4555</v>
      </c>
      <c r="P417" s="12">
        <v>1</v>
      </c>
      <c r="Q417" s="13" t="s">
        <v>175</v>
      </c>
      <c r="R417" s="16">
        <v>298247950</v>
      </c>
      <c r="S417" s="17">
        <v>276155509</v>
      </c>
      <c r="T417" s="12">
        <v>9</v>
      </c>
      <c r="U417" s="18">
        <v>27312083</v>
      </c>
      <c r="V417" s="19">
        <v>29497050</v>
      </c>
      <c r="W417" s="13" t="s">
        <v>135</v>
      </c>
      <c r="X417" s="14" t="s">
        <v>1688</v>
      </c>
      <c r="Y417" s="13" t="s">
        <v>1423</v>
      </c>
      <c r="Z417" s="14" t="s">
        <v>1689</v>
      </c>
      <c r="AA417" s="17">
        <v>17</v>
      </c>
      <c r="AB417" s="14" t="s">
        <v>173</v>
      </c>
      <c r="AC417" s="17">
        <v>327745000</v>
      </c>
      <c r="AD417" s="14">
        <v>53</v>
      </c>
      <c r="AE417" s="17">
        <v>303467593</v>
      </c>
      <c r="AF417" s="14" t="s">
        <v>117</v>
      </c>
      <c r="AG417" s="21" t="s">
        <v>1424</v>
      </c>
      <c r="AH417" s="10">
        <v>147046843</v>
      </c>
      <c r="AI417" s="24" t="str">
        <f>VLOOKUP(Sales[[#This Row],[Store]],'Store lay bao  cao'!A:B,2,0)</f>
        <v>Lấy BC</v>
      </c>
      <c r="AJ417" s="24" t="str">
        <f>VLOOKUP(Sales[[#This Row],[Associate]],'Associate Status'!B:C,2,0)</f>
        <v>Retired</v>
      </c>
    </row>
    <row r="418" spans="1:36" x14ac:dyDescent="0.25">
      <c r="A418" s="7">
        <v>2024</v>
      </c>
      <c r="B418" s="8">
        <v>6</v>
      </c>
      <c r="C418" s="8">
        <v>26</v>
      </c>
      <c r="D418" s="8" t="s">
        <v>63</v>
      </c>
      <c r="E418" s="8" t="s">
        <v>37</v>
      </c>
      <c r="F418" s="8" t="s">
        <v>63</v>
      </c>
      <c r="G418" s="9">
        <v>131798429</v>
      </c>
      <c r="H418" s="10">
        <v>130095000</v>
      </c>
      <c r="I418" s="11">
        <v>45469</v>
      </c>
      <c r="J418" s="12">
        <v>209307</v>
      </c>
      <c r="K418" s="13" t="s">
        <v>646</v>
      </c>
      <c r="L418" s="14" t="s">
        <v>65</v>
      </c>
      <c r="M418" s="11" t="s">
        <v>15</v>
      </c>
      <c r="N418" s="14" t="s">
        <v>62</v>
      </c>
      <c r="O418" s="15">
        <v>4549</v>
      </c>
      <c r="P418" s="12">
        <v>1</v>
      </c>
      <c r="Q418" s="13" t="s">
        <v>175</v>
      </c>
      <c r="R418" s="16">
        <v>304153850</v>
      </c>
      <c r="S418" s="17">
        <v>281623935</v>
      </c>
      <c r="T418" s="12">
        <v>9</v>
      </c>
      <c r="U418" s="18">
        <v>27852917</v>
      </c>
      <c r="V418" s="19">
        <v>30081150</v>
      </c>
      <c r="W418" s="13" t="s">
        <v>135</v>
      </c>
      <c r="X418" s="14" t="s">
        <v>1690</v>
      </c>
      <c r="Y418" s="13" t="s">
        <v>1423</v>
      </c>
      <c r="Z418" s="14" t="s">
        <v>1691</v>
      </c>
      <c r="AA418" s="17">
        <v>15</v>
      </c>
      <c r="AB418" s="14" t="s">
        <v>173</v>
      </c>
      <c r="AC418" s="17">
        <v>334235000</v>
      </c>
      <c r="AD418" s="14" t="s">
        <v>108</v>
      </c>
      <c r="AE418" s="17">
        <v>309476852</v>
      </c>
      <c r="AF418" s="14" t="s">
        <v>117</v>
      </c>
      <c r="AG418" s="20" t="s">
        <v>1424</v>
      </c>
      <c r="AH418" s="10">
        <v>149825506</v>
      </c>
      <c r="AI418" s="24" t="str">
        <f>VLOOKUP(Sales[[#This Row],[Store]],'Store lay bao  cao'!A:B,2,0)</f>
        <v>Lấy BC</v>
      </c>
      <c r="AJ418" s="24" t="str">
        <f>VLOOKUP(Sales[[#This Row],[Associate]],'Associate Status'!B:C,2,0)</f>
        <v>Retired</v>
      </c>
    </row>
    <row r="419" spans="1:36" x14ac:dyDescent="0.25">
      <c r="A419" s="7">
        <v>2024</v>
      </c>
      <c r="B419" s="8">
        <v>6</v>
      </c>
      <c r="C419" s="8">
        <v>26</v>
      </c>
      <c r="D419" s="8" t="s">
        <v>63</v>
      </c>
      <c r="E419" s="8" t="s">
        <v>34</v>
      </c>
      <c r="F419" s="8" t="s">
        <v>63</v>
      </c>
      <c r="G419" s="9">
        <v>96831498</v>
      </c>
      <c r="H419" s="10">
        <v>95580000</v>
      </c>
      <c r="I419" s="11">
        <v>45473</v>
      </c>
      <c r="J419" s="12">
        <v>209313</v>
      </c>
      <c r="K419" s="13" t="s">
        <v>1692</v>
      </c>
      <c r="L419" s="14" t="s">
        <v>65</v>
      </c>
      <c r="M419" s="11" t="s">
        <v>17</v>
      </c>
      <c r="N419" s="14" t="s">
        <v>62</v>
      </c>
      <c r="O419" s="15">
        <v>8350</v>
      </c>
      <c r="P419" s="12">
        <v>1</v>
      </c>
      <c r="Q419" s="13" t="s">
        <v>175</v>
      </c>
      <c r="R419" s="16">
        <v>231206250</v>
      </c>
      <c r="S419" s="17">
        <v>214079861</v>
      </c>
      <c r="T419" s="12">
        <v>5</v>
      </c>
      <c r="U419" s="18">
        <v>11267361</v>
      </c>
      <c r="V419" s="19">
        <v>12168750</v>
      </c>
      <c r="W419" s="13" t="s">
        <v>427</v>
      </c>
      <c r="X419" s="14" t="s">
        <v>1633</v>
      </c>
      <c r="Y419" s="13" t="s">
        <v>218</v>
      </c>
      <c r="Z419" s="14" t="s">
        <v>1693</v>
      </c>
      <c r="AA419" s="17">
        <v>11</v>
      </c>
      <c r="AB419" s="14" t="s">
        <v>173</v>
      </c>
      <c r="AC419" s="17">
        <v>243375000</v>
      </c>
      <c r="AD419" s="14" t="s">
        <v>108</v>
      </c>
      <c r="AE419" s="17">
        <v>225347222</v>
      </c>
      <c r="AF419" s="14" t="s">
        <v>129</v>
      </c>
      <c r="AG419" s="21" t="s">
        <v>219</v>
      </c>
      <c r="AH419" s="10">
        <v>117248363</v>
      </c>
      <c r="AI419" s="24" t="str">
        <f>VLOOKUP(Sales[[#This Row],[Store]],'Store lay bao  cao'!A:B,2,0)</f>
        <v>Lấy BC</v>
      </c>
      <c r="AJ419" s="24" t="str">
        <f>VLOOKUP(Sales[[#This Row],[Associate]],'Associate Status'!B:C,2,0)</f>
        <v>Active</v>
      </c>
    </row>
    <row r="420" spans="1:36" x14ac:dyDescent="0.25">
      <c r="A420" s="7">
        <v>2024</v>
      </c>
      <c r="B420" s="8">
        <v>7</v>
      </c>
      <c r="C420" s="8">
        <v>27</v>
      </c>
      <c r="D420" s="8" t="s">
        <v>52</v>
      </c>
      <c r="E420" s="8" t="s">
        <v>34</v>
      </c>
      <c r="F420" s="8" t="s">
        <v>52</v>
      </c>
      <c r="G420" s="9">
        <v>20675523</v>
      </c>
      <c r="H420" s="10">
        <v>17492400</v>
      </c>
      <c r="I420" s="11">
        <v>45474</v>
      </c>
      <c r="J420" s="12">
        <v>186451</v>
      </c>
      <c r="K420" s="13" t="s">
        <v>649</v>
      </c>
      <c r="L420" s="14" t="s">
        <v>19</v>
      </c>
      <c r="M420" s="11" t="s">
        <v>15</v>
      </c>
      <c r="N420" s="14" t="s">
        <v>11</v>
      </c>
      <c r="O420" s="15">
        <v>4574</v>
      </c>
      <c r="P420" s="12">
        <v>1</v>
      </c>
      <c r="Q420" s="13" t="s">
        <v>102</v>
      </c>
      <c r="R420" s="16">
        <v>56851000</v>
      </c>
      <c r="S420" s="17">
        <v>52639815</v>
      </c>
      <c r="T420" s="12">
        <v>0</v>
      </c>
      <c r="U420" s="18">
        <v>0</v>
      </c>
      <c r="V420" s="19">
        <v>0</v>
      </c>
      <c r="W420" s="13" t="s">
        <v>104</v>
      </c>
      <c r="X420" s="14" t="s">
        <v>1694</v>
      </c>
      <c r="Y420" s="13" t="s">
        <v>265</v>
      </c>
      <c r="Z420" s="14" t="s">
        <v>1695</v>
      </c>
      <c r="AA420" s="17">
        <v>16</v>
      </c>
      <c r="AB420" s="14" t="s">
        <v>1696</v>
      </c>
      <c r="AC420" s="17">
        <v>56851000</v>
      </c>
      <c r="AD420" s="14" t="s">
        <v>108</v>
      </c>
      <c r="AE420" s="17">
        <v>52639815</v>
      </c>
      <c r="AF420" s="14" t="s">
        <v>136</v>
      </c>
      <c r="AG420" s="20" t="s">
        <v>266</v>
      </c>
      <c r="AH420" s="10">
        <v>31964292</v>
      </c>
      <c r="AI420" s="24" t="str">
        <f>VLOOKUP(Sales[[#This Row],[Store]],'Store lay bao  cao'!A:B,2,0)</f>
        <v>Lấy BC</v>
      </c>
      <c r="AJ420" s="24" t="str">
        <f>VLOOKUP(Sales[[#This Row],[Associate]],'Associate Status'!B:C,2,0)</f>
        <v>Active</v>
      </c>
    </row>
    <row r="421" spans="1:36" x14ac:dyDescent="0.25">
      <c r="A421" s="7">
        <v>2024</v>
      </c>
      <c r="B421" s="8">
        <v>7</v>
      </c>
      <c r="C421" s="8">
        <v>28</v>
      </c>
      <c r="D421" s="8" t="s">
        <v>63</v>
      </c>
      <c r="E421" s="8" t="s">
        <v>37</v>
      </c>
      <c r="F421" s="8" t="s">
        <v>63</v>
      </c>
      <c r="G421" s="9">
        <v>1494675</v>
      </c>
      <c r="H421" s="10">
        <v>1376173.8</v>
      </c>
      <c r="I421" s="11">
        <v>45481</v>
      </c>
      <c r="J421" s="12">
        <v>205011</v>
      </c>
      <c r="K421" s="13" t="s">
        <v>1697</v>
      </c>
      <c r="L421" s="14" t="s">
        <v>47</v>
      </c>
      <c r="M421" s="11" t="s">
        <v>21</v>
      </c>
      <c r="N421" s="14" t="s">
        <v>62</v>
      </c>
      <c r="O421" s="15">
        <v>7176</v>
      </c>
      <c r="P421" s="12">
        <v>1</v>
      </c>
      <c r="Q421" s="13" t="s">
        <v>102</v>
      </c>
      <c r="R421" s="16">
        <v>8258000</v>
      </c>
      <c r="S421" s="17">
        <v>7646296</v>
      </c>
      <c r="T421" s="12">
        <v>0</v>
      </c>
      <c r="U421" s="18">
        <v>0</v>
      </c>
      <c r="V421" s="19">
        <v>0</v>
      </c>
      <c r="W421" s="13" t="s">
        <v>160</v>
      </c>
      <c r="X421" s="14" t="s">
        <v>1486</v>
      </c>
      <c r="Y421" s="13" t="s">
        <v>130</v>
      </c>
      <c r="Z421" s="14">
        <v>14</v>
      </c>
      <c r="AA421" s="17">
        <v>17</v>
      </c>
      <c r="AB421" s="14" t="s">
        <v>341</v>
      </c>
      <c r="AC421" s="17">
        <v>8258000</v>
      </c>
      <c r="AD421" s="14" t="s">
        <v>924</v>
      </c>
      <c r="AE421" s="17">
        <v>7646296</v>
      </c>
      <c r="AF421" s="14" t="s">
        <v>324</v>
      </c>
      <c r="AG421" s="21" t="s">
        <v>131</v>
      </c>
      <c r="AH421" s="10">
        <v>6151621</v>
      </c>
      <c r="AI421" s="24" t="str">
        <f>VLOOKUP(Sales[[#This Row],[Store]],'Store lay bao  cao'!A:B,2,0)</f>
        <v>Lấy BC</v>
      </c>
      <c r="AJ421" s="24" t="str">
        <f>VLOOKUP(Sales[[#This Row],[Associate]],'Associate Status'!B:C,2,0)</f>
        <v>Retired</v>
      </c>
    </row>
    <row r="422" spans="1:36" x14ac:dyDescent="0.25">
      <c r="A422" s="7">
        <v>2024</v>
      </c>
      <c r="B422" s="8">
        <v>7</v>
      </c>
      <c r="C422" s="8">
        <v>28</v>
      </c>
      <c r="D422" s="8" t="s">
        <v>60</v>
      </c>
      <c r="E422" s="8" t="s">
        <v>37</v>
      </c>
      <c r="F422" s="8" t="s">
        <v>60</v>
      </c>
      <c r="G422" s="9">
        <v>3064181</v>
      </c>
      <c r="H422" s="10">
        <v>2850000</v>
      </c>
      <c r="I422" s="11">
        <v>45482</v>
      </c>
      <c r="J422" s="12">
        <v>208309</v>
      </c>
      <c r="K422" s="13" t="s">
        <v>1698</v>
      </c>
      <c r="L422" s="14" t="s">
        <v>50</v>
      </c>
      <c r="M422" s="11" t="s">
        <v>17</v>
      </c>
      <c r="N422" s="14" t="s">
        <v>11</v>
      </c>
      <c r="O422" s="15">
        <v>8380</v>
      </c>
      <c r="P422" s="12">
        <v>1</v>
      </c>
      <c r="Q422" s="13" t="s">
        <v>143</v>
      </c>
      <c r="R422" s="16">
        <v>9120000</v>
      </c>
      <c r="S422" s="17">
        <v>8444444</v>
      </c>
      <c r="T422" s="12">
        <v>0</v>
      </c>
      <c r="U422" s="18">
        <v>0</v>
      </c>
      <c r="V422" s="19">
        <v>0</v>
      </c>
      <c r="W422" s="13" t="s">
        <v>140</v>
      </c>
      <c r="X422" s="14" t="s">
        <v>1699</v>
      </c>
      <c r="Y422" s="13" t="s">
        <v>155</v>
      </c>
      <c r="Z422" s="14" t="s">
        <v>1700</v>
      </c>
      <c r="AA422" s="17">
        <v>10</v>
      </c>
      <c r="AB422" s="14" t="s">
        <v>137</v>
      </c>
      <c r="AC422" s="17">
        <v>9120000</v>
      </c>
      <c r="AD422" s="14" t="s">
        <v>108</v>
      </c>
      <c r="AE422" s="17">
        <v>8444444</v>
      </c>
      <c r="AF422" s="14" t="s">
        <v>125</v>
      </c>
      <c r="AG422" s="20" t="s">
        <v>434</v>
      </c>
      <c r="AH422" s="10">
        <v>5380263</v>
      </c>
      <c r="AI422" s="24" t="str">
        <f>VLOOKUP(Sales[[#This Row],[Store]],'Store lay bao  cao'!A:B,2,0)</f>
        <v>Lấy BC</v>
      </c>
      <c r="AJ422" s="24" t="str">
        <f>VLOOKUP(Sales[[#This Row],[Associate]],'Associate Status'!B:C,2,0)</f>
        <v>Active</v>
      </c>
    </row>
    <row r="423" spans="1:36" x14ac:dyDescent="0.25">
      <c r="A423" s="7">
        <v>2024</v>
      </c>
      <c r="B423" s="8">
        <v>7</v>
      </c>
      <c r="C423" s="8">
        <v>28</v>
      </c>
      <c r="D423" s="8" t="s">
        <v>60</v>
      </c>
      <c r="E423" s="8" t="s">
        <v>37</v>
      </c>
      <c r="F423" s="8" t="s">
        <v>60</v>
      </c>
      <c r="G423" s="9">
        <v>3064181</v>
      </c>
      <c r="H423" s="10">
        <v>2850000</v>
      </c>
      <c r="I423" s="11">
        <v>45482</v>
      </c>
      <c r="J423" s="12">
        <v>208312</v>
      </c>
      <c r="K423" s="13" t="s">
        <v>1698</v>
      </c>
      <c r="L423" s="14" t="s">
        <v>50</v>
      </c>
      <c r="M423" s="11" t="s">
        <v>17</v>
      </c>
      <c r="N423" s="14" t="s">
        <v>11</v>
      </c>
      <c r="O423" s="15">
        <v>8380</v>
      </c>
      <c r="P423" s="12">
        <v>1</v>
      </c>
      <c r="Q423" s="13" t="s">
        <v>143</v>
      </c>
      <c r="R423" s="16">
        <v>9120000</v>
      </c>
      <c r="S423" s="17">
        <v>8444444</v>
      </c>
      <c r="T423" s="12">
        <v>0</v>
      </c>
      <c r="U423" s="18">
        <v>0</v>
      </c>
      <c r="V423" s="19">
        <v>0</v>
      </c>
      <c r="W423" s="13" t="s">
        <v>140</v>
      </c>
      <c r="X423" s="14" t="s">
        <v>1701</v>
      </c>
      <c r="Y423" s="13" t="s">
        <v>155</v>
      </c>
      <c r="Z423" s="14" t="s">
        <v>1702</v>
      </c>
      <c r="AA423" s="17">
        <v>10</v>
      </c>
      <c r="AB423" s="14" t="s">
        <v>886</v>
      </c>
      <c r="AC423" s="17">
        <v>9120000</v>
      </c>
      <c r="AD423" s="14" t="s">
        <v>108</v>
      </c>
      <c r="AE423" s="17">
        <v>8444444</v>
      </c>
      <c r="AF423" s="14" t="s">
        <v>125</v>
      </c>
      <c r="AG423" s="21" t="s">
        <v>434</v>
      </c>
      <c r="AH423" s="10">
        <v>5380263</v>
      </c>
      <c r="AI423" s="24" t="str">
        <f>VLOOKUP(Sales[[#This Row],[Store]],'Store lay bao  cao'!A:B,2,0)</f>
        <v>Lấy BC</v>
      </c>
      <c r="AJ423" s="24" t="str">
        <f>VLOOKUP(Sales[[#This Row],[Associate]],'Associate Status'!B:C,2,0)</f>
        <v>Active</v>
      </c>
    </row>
    <row r="424" spans="1:36" x14ac:dyDescent="0.25">
      <c r="A424" s="7">
        <v>2024</v>
      </c>
      <c r="B424" s="8">
        <v>7</v>
      </c>
      <c r="C424" s="8">
        <v>28</v>
      </c>
      <c r="D424" s="8" t="s">
        <v>57</v>
      </c>
      <c r="E424" s="8" t="s">
        <v>43</v>
      </c>
      <c r="F424" s="8" t="s">
        <v>57</v>
      </c>
      <c r="G424" s="9">
        <v>45407407</v>
      </c>
      <c r="H424" s="10">
        <v>40469880</v>
      </c>
      <c r="I424" s="11">
        <v>45482</v>
      </c>
      <c r="J424" s="12">
        <v>193096</v>
      </c>
      <c r="K424" s="13" t="s">
        <v>1698</v>
      </c>
      <c r="L424" s="14" t="s">
        <v>59</v>
      </c>
      <c r="M424" s="11" t="s">
        <v>17</v>
      </c>
      <c r="N424" s="14" t="s">
        <v>11</v>
      </c>
      <c r="O424" s="15">
        <v>8380</v>
      </c>
      <c r="P424" s="12">
        <v>1</v>
      </c>
      <c r="Q424" s="13" t="s">
        <v>143</v>
      </c>
      <c r="R424" s="16">
        <v>101175000</v>
      </c>
      <c r="S424" s="17">
        <v>93680556</v>
      </c>
      <c r="T424" s="12">
        <v>0</v>
      </c>
      <c r="U424" s="18">
        <v>0</v>
      </c>
      <c r="V424" s="19">
        <v>0</v>
      </c>
      <c r="W424" s="13" t="s">
        <v>140</v>
      </c>
      <c r="X424" s="14" t="s">
        <v>1315</v>
      </c>
      <c r="Y424" s="13" t="s">
        <v>155</v>
      </c>
      <c r="Z424" s="14" t="s">
        <v>1316</v>
      </c>
      <c r="AA424" s="17">
        <v>10</v>
      </c>
      <c r="AB424" s="14" t="s">
        <v>1317</v>
      </c>
      <c r="AC424" s="17">
        <v>101175000</v>
      </c>
      <c r="AD424" s="14">
        <v>6</v>
      </c>
      <c r="AE424" s="17">
        <v>93680556</v>
      </c>
      <c r="AF424" s="14" t="s">
        <v>125</v>
      </c>
      <c r="AG424" s="20" t="s">
        <v>434</v>
      </c>
      <c r="AH424" s="10">
        <v>48273149</v>
      </c>
      <c r="AI424" s="24" t="str">
        <f>VLOOKUP(Sales[[#This Row],[Store]],'Store lay bao  cao'!A:B,2,0)</f>
        <v>Lấy BC</v>
      </c>
      <c r="AJ424" s="24" t="str">
        <f>VLOOKUP(Sales[[#This Row],[Associate]],'Associate Status'!B:C,2,0)</f>
        <v>Active</v>
      </c>
    </row>
    <row r="425" spans="1:36" x14ac:dyDescent="0.25">
      <c r="A425" s="7">
        <v>2024</v>
      </c>
      <c r="B425" s="8">
        <v>7</v>
      </c>
      <c r="C425" s="8">
        <v>28</v>
      </c>
      <c r="D425" s="8" t="s">
        <v>63</v>
      </c>
      <c r="E425" s="8" t="s">
        <v>37</v>
      </c>
      <c r="F425" s="8" t="s">
        <v>63</v>
      </c>
      <c r="G425" s="9">
        <v>-1494675</v>
      </c>
      <c r="H425" s="10">
        <v>-1376173.8</v>
      </c>
      <c r="I425" s="11">
        <v>45482</v>
      </c>
      <c r="J425" s="12">
        <v>205011</v>
      </c>
      <c r="K425" s="13" t="s">
        <v>1703</v>
      </c>
      <c r="L425" s="14" t="s">
        <v>47</v>
      </c>
      <c r="M425" s="11" t="s">
        <v>21</v>
      </c>
      <c r="N425" s="14" t="s">
        <v>62</v>
      </c>
      <c r="O425" s="15">
        <v>7185</v>
      </c>
      <c r="P425" s="12">
        <v>-1</v>
      </c>
      <c r="Q425" s="13" t="s">
        <v>102</v>
      </c>
      <c r="R425" s="16">
        <v>-8258000</v>
      </c>
      <c r="S425" s="17">
        <v>-7646296</v>
      </c>
      <c r="T425" s="12">
        <v>0</v>
      </c>
      <c r="U425" s="18">
        <v>0</v>
      </c>
      <c r="V425" s="19">
        <v>0</v>
      </c>
      <c r="W425" s="13" t="s">
        <v>160</v>
      </c>
      <c r="X425" s="14" t="s">
        <v>1486</v>
      </c>
      <c r="Y425" s="13" t="s">
        <v>130</v>
      </c>
      <c r="Z425" s="14">
        <v>14</v>
      </c>
      <c r="AA425" s="17">
        <v>16</v>
      </c>
      <c r="AB425" s="14" t="s">
        <v>341</v>
      </c>
      <c r="AC425" s="17">
        <v>-8258000</v>
      </c>
      <c r="AD425" s="14" t="s">
        <v>924</v>
      </c>
      <c r="AE425" s="17">
        <v>-7646296</v>
      </c>
      <c r="AF425" s="14" t="s">
        <v>898</v>
      </c>
      <c r="AG425" s="21" t="s">
        <v>131</v>
      </c>
      <c r="AH425" s="10">
        <v>-6151621</v>
      </c>
      <c r="AI425" s="24" t="str">
        <f>VLOOKUP(Sales[[#This Row],[Store]],'Store lay bao  cao'!A:B,2,0)</f>
        <v>Lấy BC</v>
      </c>
      <c r="AJ425" s="24" t="str">
        <f>VLOOKUP(Sales[[#This Row],[Associate]],'Associate Status'!B:C,2,0)</f>
        <v>Retired</v>
      </c>
    </row>
    <row r="426" spans="1:36" x14ac:dyDescent="0.25">
      <c r="A426" s="7">
        <v>2024</v>
      </c>
      <c r="B426" s="8">
        <v>7</v>
      </c>
      <c r="C426" s="8">
        <v>28</v>
      </c>
      <c r="D426" s="8" t="s">
        <v>63</v>
      </c>
      <c r="E426" s="8" t="s">
        <v>37</v>
      </c>
      <c r="F426" s="8" t="s">
        <v>63</v>
      </c>
      <c r="G426" s="9">
        <v>1836333</v>
      </c>
      <c r="H426" s="10">
        <v>1732959.5999999999</v>
      </c>
      <c r="I426" s="11">
        <v>45482</v>
      </c>
      <c r="J426" s="12">
        <v>204998</v>
      </c>
      <c r="K426" s="13" t="s">
        <v>1703</v>
      </c>
      <c r="L426" s="14" t="s">
        <v>47</v>
      </c>
      <c r="M426" s="11" t="s">
        <v>21</v>
      </c>
      <c r="N426" s="14" t="s">
        <v>62</v>
      </c>
      <c r="O426" s="15">
        <v>7185</v>
      </c>
      <c r="P426" s="12">
        <v>1</v>
      </c>
      <c r="Q426" s="13" t="s">
        <v>102</v>
      </c>
      <c r="R426" s="16">
        <v>10398000</v>
      </c>
      <c r="S426" s="17">
        <v>9627778</v>
      </c>
      <c r="T426" s="12">
        <v>0</v>
      </c>
      <c r="U426" s="18">
        <v>0</v>
      </c>
      <c r="V426" s="19">
        <v>0</v>
      </c>
      <c r="W426" s="13" t="s">
        <v>160</v>
      </c>
      <c r="X426" s="14" t="s">
        <v>1515</v>
      </c>
      <c r="Y426" s="13" t="s">
        <v>130</v>
      </c>
      <c r="Z426" s="14">
        <v>1</v>
      </c>
      <c r="AA426" s="17">
        <v>16</v>
      </c>
      <c r="AB426" s="14" t="s">
        <v>190</v>
      </c>
      <c r="AC426" s="17">
        <v>10398000</v>
      </c>
      <c r="AD426" s="14" t="s">
        <v>924</v>
      </c>
      <c r="AE426" s="17">
        <v>9627778</v>
      </c>
      <c r="AF426" s="14" t="s">
        <v>898</v>
      </c>
      <c r="AG426" s="20" t="s">
        <v>131</v>
      </c>
      <c r="AH426" s="10">
        <v>7791445</v>
      </c>
      <c r="AI426" s="24" t="str">
        <f>VLOOKUP(Sales[[#This Row],[Store]],'Store lay bao  cao'!A:B,2,0)</f>
        <v>Lấy BC</v>
      </c>
      <c r="AJ426" s="24" t="str">
        <f>VLOOKUP(Sales[[#This Row],[Associate]],'Associate Status'!B:C,2,0)</f>
        <v>Retired</v>
      </c>
    </row>
    <row r="427" spans="1:36" x14ac:dyDescent="0.25">
      <c r="A427" s="7">
        <v>2024</v>
      </c>
      <c r="B427" s="8">
        <v>7</v>
      </c>
      <c r="C427" s="8">
        <v>28</v>
      </c>
      <c r="D427" s="8" t="s">
        <v>63</v>
      </c>
      <c r="E427" s="8" t="s">
        <v>37</v>
      </c>
      <c r="F427" s="8" t="s">
        <v>63</v>
      </c>
      <c r="G427" s="9">
        <v>1494675</v>
      </c>
      <c r="H427" s="10">
        <v>1376173.8</v>
      </c>
      <c r="I427" s="11">
        <v>45482</v>
      </c>
      <c r="J427" s="12">
        <v>205011</v>
      </c>
      <c r="K427" s="13" t="s">
        <v>1704</v>
      </c>
      <c r="L427" s="14" t="s">
        <v>47</v>
      </c>
      <c r="M427" s="11" t="s">
        <v>21</v>
      </c>
      <c r="N427" s="14" t="s">
        <v>62</v>
      </c>
      <c r="O427" s="15">
        <v>7184</v>
      </c>
      <c r="P427" s="12">
        <v>1</v>
      </c>
      <c r="Q427" s="13" t="s">
        <v>102</v>
      </c>
      <c r="R427" s="16">
        <v>8258000</v>
      </c>
      <c r="S427" s="17">
        <v>7646296</v>
      </c>
      <c r="T427" s="12">
        <v>0</v>
      </c>
      <c r="U427" s="18">
        <v>0</v>
      </c>
      <c r="V427" s="19">
        <v>0</v>
      </c>
      <c r="W427" s="13" t="s">
        <v>160</v>
      </c>
      <c r="X427" s="14" t="s">
        <v>1486</v>
      </c>
      <c r="Y427" s="13" t="s">
        <v>130</v>
      </c>
      <c r="Z427" s="14">
        <v>14</v>
      </c>
      <c r="AA427" s="17">
        <v>16</v>
      </c>
      <c r="AB427" s="14" t="s">
        <v>341</v>
      </c>
      <c r="AC427" s="17">
        <v>8258000</v>
      </c>
      <c r="AD427" s="14" t="s">
        <v>924</v>
      </c>
      <c r="AE427" s="17">
        <v>7646296</v>
      </c>
      <c r="AF427" s="14" t="s">
        <v>324</v>
      </c>
      <c r="AG427" s="21" t="s">
        <v>131</v>
      </c>
      <c r="AH427" s="10">
        <v>6151621</v>
      </c>
      <c r="AI427" s="24" t="str">
        <f>VLOOKUP(Sales[[#This Row],[Store]],'Store lay bao  cao'!A:B,2,0)</f>
        <v>Lấy BC</v>
      </c>
      <c r="AJ427" s="24" t="str">
        <f>VLOOKUP(Sales[[#This Row],[Associate]],'Associate Status'!B:C,2,0)</f>
        <v>Retired</v>
      </c>
    </row>
    <row r="428" spans="1:36" x14ac:dyDescent="0.25">
      <c r="A428" s="7">
        <v>2024</v>
      </c>
      <c r="B428" s="8">
        <v>7</v>
      </c>
      <c r="C428" s="8">
        <v>28</v>
      </c>
      <c r="D428" s="8" t="s">
        <v>63</v>
      </c>
      <c r="E428" s="8" t="s">
        <v>37</v>
      </c>
      <c r="F428" s="8" t="s">
        <v>63</v>
      </c>
      <c r="G428" s="9">
        <v>-1836333</v>
      </c>
      <c r="H428" s="10">
        <v>-1732959.5999999999</v>
      </c>
      <c r="I428" s="11">
        <v>45482</v>
      </c>
      <c r="J428" s="12">
        <v>204998</v>
      </c>
      <c r="K428" s="13" t="s">
        <v>1704</v>
      </c>
      <c r="L428" s="14" t="s">
        <v>47</v>
      </c>
      <c r="M428" s="11" t="s">
        <v>21</v>
      </c>
      <c r="N428" s="14" t="s">
        <v>62</v>
      </c>
      <c r="O428" s="15">
        <v>7184</v>
      </c>
      <c r="P428" s="12">
        <v>-1</v>
      </c>
      <c r="Q428" s="13" t="s">
        <v>102</v>
      </c>
      <c r="R428" s="16">
        <v>-10398000</v>
      </c>
      <c r="S428" s="17">
        <v>-9627778</v>
      </c>
      <c r="T428" s="12">
        <v>0</v>
      </c>
      <c r="U428" s="18">
        <v>0</v>
      </c>
      <c r="V428" s="19">
        <v>0</v>
      </c>
      <c r="W428" s="13" t="s">
        <v>160</v>
      </c>
      <c r="X428" s="14" t="s">
        <v>1515</v>
      </c>
      <c r="Y428" s="13" t="s">
        <v>130</v>
      </c>
      <c r="Z428" s="14">
        <v>1</v>
      </c>
      <c r="AA428" s="17">
        <v>16</v>
      </c>
      <c r="AB428" s="14" t="s">
        <v>190</v>
      </c>
      <c r="AC428" s="17">
        <v>-10398000</v>
      </c>
      <c r="AD428" s="14" t="s">
        <v>924</v>
      </c>
      <c r="AE428" s="17">
        <v>-9627778</v>
      </c>
      <c r="AF428" s="14" t="s">
        <v>898</v>
      </c>
      <c r="AG428" s="20" t="s">
        <v>131</v>
      </c>
      <c r="AH428" s="10">
        <v>-7791445</v>
      </c>
      <c r="AI428" s="24" t="str">
        <f>VLOOKUP(Sales[[#This Row],[Store]],'Store lay bao  cao'!A:B,2,0)</f>
        <v>Lấy BC</v>
      </c>
      <c r="AJ428" s="24" t="str">
        <f>VLOOKUP(Sales[[#This Row],[Associate]],'Associate Status'!B:C,2,0)</f>
        <v>Retired</v>
      </c>
    </row>
    <row r="429" spans="1:36" x14ac:dyDescent="0.25">
      <c r="A429" s="7">
        <v>2024</v>
      </c>
      <c r="B429" s="8">
        <v>7</v>
      </c>
      <c r="C429" s="8">
        <v>28</v>
      </c>
      <c r="D429" s="8" t="s">
        <v>63</v>
      </c>
      <c r="E429" s="8" t="s">
        <v>37</v>
      </c>
      <c r="F429" s="8" t="s">
        <v>63</v>
      </c>
      <c r="G429" s="9">
        <v>-1494675</v>
      </c>
      <c r="H429" s="10">
        <v>-1376173.8</v>
      </c>
      <c r="I429" s="11">
        <v>45482</v>
      </c>
      <c r="J429" s="12">
        <v>205011</v>
      </c>
      <c r="K429" s="13" t="s">
        <v>1705</v>
      </c>
      <c r="L429" s="14" t="s">
        <v>47</v>
      </c>
      <c r="M429" s="11" t="s">
        <v>21</v>
      </c>
      <c r="N429" s="14" t="s">
        <v>62</v>
      </c>
      <c r="O429" s="15">
        <v>7179</v>
      </c>
      <c r="P429" s="12">
        <v>-1</v>
      </c>
      <c r="Q429" s="13" t="s">
        <v>102</v>
      </c>
      <c r="R429" s="16">
        <v>-8258000</v>
      </c>
      <c r="S429" s="17">
        <v>-7646296</v>
      </c>
      <c r="T429" s="12">
        <v>0</v>
      </c>
      <c r="U429" s="18">
        <v>0</v>
      </c>
      <c r="V429" s="19">
        <v>0</v>
      </c>
      <c r="W429" s="13" t="s">
        <v>160</v>
      </c>
      <c r="X429" s="14" t="s">
        <v>1486</v>
      </c>
      <c r="Y429" s="13" t="s">
        <v>130</v>
      </c>
      <c r="Z429" s="14">
        <v>14</v>
      </c>
      <c r="AA429" s="17">
        <v>16</v>
      </c>
      <c r="AB429" s="14" t="s">
        <v>341</v>
      </c>
      <c r="AC429" s="17">
        <v>-8258000</v>
      </c>
      <c r="AD429" s="14" t="s">
        <v>924</v>
      </c>
      <c r="AE429" s="17">
        <v>-7646296</v>
      </c>
      <c r="AF429" s="14" t="s">
        <v>324</v>
      </c>
      <c r="AG429" s="21" t="s">
        <v>131</v>
      </c>
      <c r="AH429" s="10">
        <v>-6151621</v>
      </c>
      <c r="AI429" s="24" t="str">
        <f>VLOOKUP(Sales[[#This Row],[Store]],'Store lay bao  cao'!A:B,2,0)</f>
        <v>Lấy BC</v>
      </c>
      <c r="AJ429" s="24" t="str">
        <f>VLOOKUP(Sales[[#This Row],[Associate]],'Associate Status'!B:C,2,0)</f>
        <v>Retired</v>
      </c>
    </row>
    <row r="430" spans="1:36" x14ac:dyDescent="0.25">
      <c r="A430" s="7">
        <v>2024</v>
      </c>
      <c r="B430" s="8">
        <v>7</v>
      </c>
      <c r="C430" s="8">
        <v>28</v>
      </c>
      <c r="D430" s="8" t="s">
        <v>63</v>
      </c>
      <c r="E430" s="8" t="s">
        <v>37</v>
      </c>
      <c r="F430" s="8" t="s">
        <v>63</v>
      </c>
      <c r="G430" s="9">
        <v>1836333</v>
      </c>
      <c r="H430" s="10">
        <v>1732959.5999999999</v>
      </c>
      <c r="I430" s="11">
        <v>45482</v>
      </c>
      <c r="J430" s="12">
        <v>204998</v>
      </c>
      <c r="K430" s="13" t="s">
        <v>1705</v>
      </c>
      <c r="L430" s="14" t="s">
        <v>47</v>
      </c>
      <c r="M430" s="11" t="s">
        <v>21</v>
      </c>
      <c r="N430" s="14" t="s">
        <v>62</v>
      </c>
      <c r="O430" s="15">
        <v>7179</v>
      </c>
      <c r="P430" s="12">
        <v>1</v>
      </c>
      <c r="Q430" s="13" t="s">
        <v>102</v>
      </c>
      <c r="R430" s="16">
        <v>10398000</v>
      </c>
      <c r="S430" s="17">
        <v>9627778</v>
      </c>
      <c r="T430" s="12">
        <v>0</v>
      </c>
      <c r="U430" s="18">
        <v>0</v>
      </c>
      <c r="V430" s="19">
        <v>0</v>
      </c>
      <c r="W430" s="13" t="s">
        <v>160</v>
      </c>
      <c r="X430" s="14" t="s">
        <v>1515</v>
      </c>
      <c r="Y430" s="13" t="s">
        <v>130</v>
      </c>
      <c r="Z430" s="14">
        <v>1</v>
      </c>
      <c r="AA430" s="17">
        <v>16</v>
      </c>
      <c r="AB430" s="14" t="s">
        <v>190</v>
      </c>
      <c r="AC430" s="17">
        <v>10398000</v>
      </c>
      <c r="AD430" s="14" t="s">
        <v>924</v>
      </c>
      <c r="AE430" s="17">
        <v>9627778</v>
      </c>
      <c r="AF430" s="14" t="s">
        <v>898</v>
      </c>
      <c r="AG430" s="20" t="s">
        <v>131</v>
      </c>
      <c r="AH430" s="10">
        <v>7791445</v>
      </c>
      <c r="AI430" s="24" t="str">
        <f>VLOOKUP(Sales[[#This Row],[Store]],'Store lay bao  cao'!A:B,2,0)</f>
        <v>Lấy BC</v>
      </c>
      <c r="AJ430" s="24" t="str">
        <f>VLOOKUP(Sales[[#This Row],[Associate]],'Associate Status'!B:C,2,0)</f>
        <v>Retired</v>
      </c>
    </row>
    <row r="431" spans="1:36" x14ac:dyDescent="0.25">
      <c r="A431" s="7">
        <v>2024</v>
      </c>
      <c r="B431" s="8">
        <v>7</v>
      </c>
      <c r="C431" s="8">
        <v>28</v>
      </c>
      <c r="D431" s="8" t="s">
        <v>63</v>
      </c>
      <c r="E431" s="8" t="s">
        <v>37</v>
      </c>
      <c r="F431" s="8" t="s">
        <v>63</v>
      </c>
      <c r="G431" s="9">
        <v>-1494675</v>
      </c>
      <c r="H431" s="10">
        <v>-1376173.8</v>
      </c>
      <c r="I431" s="11">
        <v>45482</v>
      </c>
      <c r="J431" s="12">
        <v>205011</v>
      </c>
      <c r="K431" s="13" t="s">
        <v>1706</v>
      </c>
      <c r="L431" s="14" t="s">
        <v>47</v>
      </c>
      <c r="M431" s="11" t="s">
        <v>21</v>
      </c>
      <c r="N431" s="14" t="s">
        <v>62</v>
      </c>
      <c r="O431" s="15">
        <v>7181</v>
      </c>
      <c r="P431" s="12">
        <v>-1</v>
      </c>
      <c r="Q431" s="13" t="s">
        <v>102</v>
      </c>
      <c r="R431" s="16">
        <v>-8258000</v>
      </c>
      <c r="S431" s="17">
        <v>-7646296</v>
      </c>
      <c r="T431" s="12">
        <v>0</v>
      </c>
      <c r="U431" s="18">
        <v>0</v>
      </c>
      <c r="V431" s="19">
        <v>0</v>
      </c>
      <c r="W431" s="13" t="s">
        <v>160</v>
      </c>
      <c r="X431" s="14" t="s">
        <v>1486</v>
      </c>
      <c r="Y431" s="13" t="s">
        <v>130</v>
      </c>
      <c r="Z431" s="14">
        <v>14</v>
      </c>
      <c r="AA431" s="17">
        <v>16</v>
      </c>
      <c r="AB431" s="14" t="s">
        <v>341</v>
      </c>
      <c r="AC431" s="17">
        <v>-8258000</v>
      </c>
      <c r="AD431" s="14" t="s">
        <v>924</v>
      </c>
      <c r="AE431" s="17">
        <v>-7646296</v>
      </c>
      <c r="AF431" s="14" t="s">
        <v>324</v>
      </c>
      <c r="AG431" s="21" t="s">
        <v>131</v>
      </c>
      <c r="AH431" s="10">
        <v>-6151621</v>
      </c>
      <c r="AI431" s="24" t="str">
        <f>VLOOKUP(Sales[[#This Row],[Store]],'Store lay bao  cao'!A:B,2,0)</f>
        <v>Lấy BC</v>
      </c>
      <c r="AJ431" s="24" t="str">
        <f>VLOOKUP(Sales[[#This Row],[Associate]],'Associate Status'!B:C,2,0)</f>
        <v>Retired</v>
      </c>
    </row>
    <row r="432" spans="1:36" x14ac:dyDescent="0.25">
      <c r="A432" s="7">
        <v>2024</v>
      </c>
      <c r="B432" s="8">
        <v>7</v>
      </c>
      <c r="C432" s="8">
        <v>28</v>
      </c>
      <c r="D432" s="8" t="s">
        <v>63</v>
      </c>
      <c r="E432" s="8" t="s">
        <v>37</v>
      </c>
      <c r="F432" s="8" t="s">
        <v>63</v>
      </c>
      <c r="G432" s="9">
        <v>1836333</v>
      </c>
      <c r="H432" s="10">
        <v>1732959.5999999999</v>
      </c>
      <c r="I432" s="11">
        <v>45482</v>
      </c>
      <c r="J432" s="12">
        <v>204998</v>
      </c>
      <c r="K432" s="13" t="s">
        <v>1706</v>
      </c>
      <c r="L432" s="14" t="s">
        <v>47</v>
      </c>
      <c r="M432" s="11" t="s">
        <v>21</v>
      </c>
      <c r="N432" s="14" t="s">
        <v>62</v>
      </c>
      <c r="O432" s="15">
        <v>7181</v>
      </c>
      <c r="P432" s="12">
        <v>1</v>
      </c>
      <c r="Q432" s="13" t="s">
        <v>102</v>
      </c>
      <c r="R432" s="16">
        <v>10398000</v>
      </c>
      <c r="S432" s="17">
        <v>9627778</v>
      </c>
      <c r="T432" s="12">
        <v>0</v>
      </c>
      <c r="U432" s="18">
        <v>0</v>
      </c>
      <c r="V432" s="19">
        <v>0</v>
      </c>
      <c r="W432" s="13" t="s">
        <v>160</v>
      </c>
      <c r="X432" s="14" t="s">
        <v>1515</v>
      </c>
      <c r="Y432" s="13" t="s">
        <v>130</v>
      </c>
      <c r="Z432" s="14">
        <v>1</v>
      </c>
      <c r="AA432" s="17">
        <v>16</v>
      </c>
      <c r="AB432" s="14" t="s">
        <v>190</v>
      </c>
      <c r="AC432" s="17">
        <v>10398000</v>
      </c>
      <c r="AD432" s="14" t="s">
        <v>924</v>
      </c>
      <c r="AE432" s="17">
        <v>9627778</v>
      </c>
      <c r="AF432" s="14" t="s">
        <v>898</v>
      </c>
      <c r="AG432" s="20" t="s">
        <v>131</v>
      </c>
      <c r="AH432" s="10">
        <v>7791445</v>
      </c>
      <c r="AI432" s="24" t="str">
        <f>VLOOKUP(Sales[[#This Row],[Store]],'Store lay bao  cao'!A:B,2,0)</f>
        <v>Lấy BC</v>
      </c>
      <c r="AJ432" s="24" t="str">
        <f>VLOOKUP(Sales[[#This Row],[Associate]],'Associate Status'!B:C,2,0)</f>
        <v>Retired</v>
      </c>
    </row>
    <row r="433" spans="1:36" x14ac:dyDescent="0.25">
      <c r="A433" s="7">
        <v>2024</v>
      </c>
      <c r="B433" s="8">
        <v>7</v>
      </c>
      <c r="C433" s="8">
        <v>28</v>
      </c>
      <c r="D433" s="8" t="s">
        <v>63</v>
      </c>
      <c r="E433" s="8" t="s">
        <v>37</v>
      </c>
      <c r="F433" s="8" t="s">
        <v>63</v>
      </c>
      <c r="G433" s="9">
        <v>1494675</v>
      </c>
      <c r="H433" s="10">
        <v>1376173.8</v>
      </c>
      <c r="I433" s="11">
        <v>45482</v>
      </c>
      <c r="J433" s="12">
        <v>205011</v>
      </c>
      <c r="K433" s="13" t="s">
        <v>1707</v>
      </c>
      <c r="L433" s="14" t="s">
        <v>47</v>
      </c>
      <c r="M433" s="11" t="s">
        <v>21</v>
      </c>
      <c r="N433" s="14" t="s">
        <v>62</v>
      </c>
      <c r="O433" s="15">
        <v>7182</v>
      </c>
      <c r="P433" s="12">
        <v>1</v>
      </c>
      <c r="Q433" s="13" t="s">
        <v>102</v>
      </c>
      <c r="R433" s="16">
        <v>8258000</v>
      </c>
      <c r="S433" s="17">
        <v>7646296</v>
      </c>
      <c r="T433" s="12">
        <v>0</v>
      </c>
      <c r="U433" s="18">
        <v>0</v>
      </c>
      <c r="V433" s="19">
        <v>0</v>
      </c>
      <c r="W433" s="13" t="s">
        <v>160</v>
      </c>
      <c r="X433" s="14" t="s">
        <v>1486</v>
      </c>
      <c r="Y433" s="13" t="s">
        <v>130</v>
      </c>
      <c r="Z433" s="14">
        <v>14</v>
      </c>
      <c r="AA433" s="17">
        <v>16</v>
      </c>
      <c r="AB433" s="14" t="s">
        <v>341</v>
      </c>
      <c r="AC433" s="17">
        <v>8258000</v>
      </c>
      <c r="AD433" s="14" t="s">
        <v>924</v>
      </c>
      <c r="AE433" s="17">
        <v>7646296</v>
      </c>
      <c r="AF433" s="14" t="s">
        <v>324</v>
      </c>
      <c r="AG433" s="21" t="s">
        <v>131</v>
      </c>
      <c r="AH433" s="10">
        <v>6151621</v>
      </c>
      <c r="AI433" s="24" t="str">
        <f>VLOOKUP(Sales[[#This Row],[Store]],'Store lay bao  cao'!A:B,2,0)</f>
        <v>Lấy BC</v>
      </c>
      <c r="AJ433" s="24" t="str">
        <f>VLOOKUP(Sales[[#This Row],[Associate]],'Associate Status'!B:C,2,0)</f>
        <v>Retired</v>
      </c>
    </row>
    <row r="434" spans="1:36" x14ac:dyDescent="0.25">
      <c r="A434" s="7">
        <v>2024</v>
      </c>
      <c r="B434" s="8">
        <v>7</v>
      </c>
      <c r="C434" s="8">
        <v>28</v>
      </c>
      <c r="D434" s="8" t="s">
        <v>63</v>
      </c>
      <c r="E434" s="8" t="s">
        <v>37</v>
      </c>
      <c r="F434" s="8" t="s">
        <v>63</v>
      </c>
      <c r="G434" s="9">
        <v>-1836333</v>
      </c>
      <c r="H434" s="10">
        <v>-1732959.5999999999</v>
      </c>
      <c r="I434" s="11">
        <v>45482</v>
      </c>
      <c r="J434" s="12">
        <v>204998</v>
      </c>
      <c r="K434" s="13" t="s">
        <v>1707</v>
      </c>
      <c r="L434" s="14" t="s">
        <v>47</v>
      </c>
      <c r="M434" s="11" t="s">
        <v>21</v>
      </c>
      <c r="N434" s="14" t="s">
        <v>62</v>
      </c>
      <c r="O434" s="15">
        <v>7182</v>
      </c>
      <c r="P434" s="12">
        <v>-1</v>
      </c>
      <c r="Q434" s="13" t="s">
        <v>102</v>
      </c>
      <c r="R434" s="16">
        <v>-10398000</v>
      </c>
      <c r="S434" s="17">
        <v>-9627778</v>
      </c>
      <c r="T434" s="12">
        <v>0</v>
      </c>
      <c r="U434" s="18">
        <v>0</v>
      </c>
      <c r="V434" s="19">
        <v>0</v>
      </c>
      <c r="W434" s="13" t="s">
        <v>160</v>
      </c>
      <c r="X434" s="14" t="s">
        <v>1515</v>
      </c>
      <c r="Y434" s="13" t="s">
        <v>130</v>
      </c>
      <c r="Z434" s="14">
        <v>1</v>
      </c>
      <c r="AA434" s="17">
        <v>16</v>
      </c>
      <c r="AB434" s="14" t="s">
        <v>190</v>
      </c>
      <c r="AC434" s="17">
        <v>-10398000</v>
      </c>
      <c r="AD434" s="14" t="s">
        <v>924</v>
      </c>
      <c r="AE434" s="17">
        <v>-9627778</v>
      </c>
      <c r="AF434" s="14" t="s">
        <v>898</v>
      </c>
      <c r="AG434" s="20" t="s">
        <v>131</v>
      </c>
      <c r="AH434" s="10">
        <v>-7791445</v>
      </c>
      <c r="AI434" s="24" t="str">
        <f>VLOOKUP(Sales[[#This Row],[Store]],'Store lay bao  cao'!A:B,2,0)</f>
        <v>Lấy BC</v>
      </c>
      <c r="AJ434" s="24" t="str">
        <f>VLOOKUP(Sales[[#This Row],[Associate]],'Associate Status'!B:C,2,0)</f>
        <v>Retired</v>
      </c>
    </row>
    <row r="435" spans="1:36" x14ac:dyDescent="0.25">
      <c r="A435" s="7">
        <v>2024</v>
      </c>
      <c r="B435" s="8">
        <v>7</v>
      </c>
      <c r="C435" s="8">
        <v>28</v>
      </c>
      <c r="D435" s="8" t="s">
        <v>63</v>
      </c>
      <c r="E435" s="8" t="s">
        <v>37</v>
      </c>
      <c r="F435" s="8" t="s">
        <v>63</v>
      </c>
      <c r="G435" s="9">
        <v>-1494675</v>
      </c>
      <c r="H435" s="10">
        <v>-1376173.8</v>
      </c>
      <c r="I435" s="11">
        <v>45482</v>
      </c>
      <c r="J435" s="12">
        <v>205011</v>
      </c>
      <c r="K435" s="13" t="s">
        <v>1708</v>
      </c>
      <c r="L435" s="14" t="s">
        <v>47</v>
      </c>
      <c r="M435" s="11" t="s">
        <v>21</v>
      </c>
      <c r="N435" s="14" t="s">
        <v>62</v>
      </c>
      <c r="O435" s="15">
        <v>7183</v>
      </c>
      <c r="P435" s="12">
        <v>-1</v>
      </c>
      <c r="Q435" s="13" t="s">
        <v>102</v>
      </c>
      <c r="R435" s="16">
        <v>-8258000</v>
      </c>
      <c r="S435" s="17">
        <v>-7646296</v>
      </c>
      <c r="T435" s="12">
        <v>0</v>
      </c>
      <c r="U435" s="18">
        <v>0</v>
      </c>
      <c r="V435" s="19">
        <v>0</v>
      </c>
      <c r="W435" s="13" t="s">
        <v>160</v>
      </c>
      <c r="X435" s="14" t="s">
        <v>1486</v>
      </c>
      <c r="Y435" s="13" t="s">
        <v>130</v>
      </c>
      <c r="Z435" s="14">
        <v>14</v>
      </c>
      <c r="AA435" s="17">
        <v>16</v>
      </c>
      <c r="AB435" s="14" t="s">
        <v>341</v>
      </c>
      <c r="AC435" s="17">
        <v>-8258000</v>
      </c>
      <c r="AD435" s="14" t="s">
        <v>924</v>
      </c>
      <c r="AE435" s="17">
        <v>-7646296</v>
      </c>
      <c r="AF435" s="14" t="s">
        <v>324</v>
      </c>
      <c r="AG435" s="21" t="s">
        <v>131</v>
      </c>
      <c r="AH435" s="10">
        <v>-6151621</v>
      </c>
      <c r="AI435" s="24" t="str">
        <f>VLOOKUP(Sales[[#This Row],[Store]],'Store lay bao  cao'!A:B,2,0)</f>
        <v>Lấy BC</v>
      </c>
      <c r="AJ435" s="24" t="str">
        <f>VLOOKUP(Sales[[#This Row],[Associate]],'Associate Status'!B:C,2,0)</f>
        <v>Retired</v>
      </c>
    </row>
    <row r="436" spans="1:36" x14ac:dyDescent="0.25">
      <c r="A436" s="7">
        <v>2024</v>
      </c>
      <c r="B436" s="8">
        <v>7</v>
      </c>
      <c r="C436" s="8">
        <v>28</v>
      </c>
      <c r="D436" s="8" t="s">
        <v>63</v>
      </c>
      <c r="E436" s="8" t="s">
        <v>37</v>
      </c>
      <c r="F436" s="8" t="s">
        <v>63</v>
      </c>
      <c r="G436" s="9">
        <v>1836333</v>
      </c>
      <c r="H436" s="10">
        <v>1732959.5999999999</v>
      </c>
      <c r="I436" s="11">
        <v>45482</v>
      </c>
      <c r="J436" s="12">
        <v>204998</v>
      </c>
      <c r="K436" s="13" t="s">
        <v>1708</v>
      </c>
      <c r="L436" s="14" t="s">
        <v>47</v>
      </c>
      <c r="M436" s="11" t="s">
        <v>21</v>
      </c>
      <c r="N436" s="14" t="s">
        <v>62</v>
      </c>
      <c r="O436" s="15">
        <v>7183</v>
      </c>
      <c r="P436" s="12">
        <v>1</v>
      </c>
      <c r="Q436" s="13" t="s">
        <v>102</v>
      </c>
      <c r="R436" s="16">
        <v>10398000</v>
      </c>
      <c r="S436" s="17">
        <v>9627778</v>
      </c>
      <c r="T436" s="12">
        <v>0</v>
      </c>
      <c r="U436" s="18">
        <v>0</v>
      </c>
      <c r="V436" s="19">
        <v>0</v>
      </c>
      <c r="W436" s="13" t="s">
        <v>160</v>
      </c>
      <c r="X436" s="14" t="s">
        <v>1515</v>
      </c>
      <c r="Y436" s="13" t="s">
        <v>130</v>
      </c>
      <c r="Z436" s="14">
        <v>1</v>
      </c>
      <c r="AA436" s="17">
        <v>16</v>
      </c>
      <c r="AB436" s="14" t="s">
        <v>190</v>
      </c>
      <c r="AC436" s="17">
        <v>10398000</v>
      </c>
      <c r="AD436" s="14" t="s">
        <v>924</v>
      </c>
      <c r="AE436" s="17">
        <v>9627778</v>
      </c>
      <c r="AF436" s="14" t="s">
        <v>898</v>
      </c>
      <c r="AG436" s="20" t="s">
        <v>131</v>
      </c>
      <c r="AH436" s="10">
        <v>7791445</v>
      </c>
      <c r="AI436" s="24" t="str">
        <f>VLOOKUP(Sales[[#This Row],[Store]],'Store lay bao  cao'!A:B,2,0)</f>
        <v>Lấy BC</v>
      </c>
      <c r="AJ436" s="24" t="str">
        <f>VLOOKUP(Sales[[#This Row],[Associate]],'Associate Status'!B:C,2,0)</f>
        <v>Retired</v>
      </c>
    </row>
    <row r="437" spans="1:36" x14ac:dyDescent="0.25">
      <c r="A437" s="7">
        <v>2024</v>
      </c>
      <c r="B437" s="8">
        <v>7</v>
      </c>
      <c r="C437" s="8">
        <v>28</v>
      </c>
      <c r="D437" s="8" t="s">
        <v>63</v>
      </c>
      <c r="E437" s="8" t="s">
        <v>37</v>
      </c>
      <c r="F437" s="8" t="s">
        <v>63</v>
      </c>
      <c r="G437" s="9">
        <v>1494675</v>
      </c>
      <c r="H437" s="10">
        <v>1376173.8</v>
      </c>
      <c r="I437" s="11">
        <v>45482</v>
      </c>
      <c r="J437" s="12">
        <v>205011</v>
      </c>
      <c r="K437" s="13" t="s">
        <v>1709</v>
      </c>
      <c r="L437" s="14" t="s">
        <v>47</v>
      </c>
      <c r="M437" s="11" t="s">
        <v>21</v>
      </c>
      <c r="N437" s="14" t="s">
        <v>62</v>
      </c>
      <c r="O437" s="15">
        <v>7180</v>
      </c>
      <c r="P437" s="12">
        <v>1</v>
      </c>
      <c r="Q437" s="13" t="s">
        <v>102</v>
      </c>
      <c r="R437" s="16">
        <v>8258000</v>
      </c>
      <c r="S437" s="17">
        <v>7646296</v>
      </c>
      <c r="T437" s="12">
        <v>0</v>
      </c>
      <c r="U437" s="18">
        <v>0</v>
      </c>
      <c r="V437" s="19">
        <v>0</v>
      </c>
      <c r="W437" s="13" t="s">
        <v>160</v>
      </c>
      <c r="X437" s="14" t="s">
        <v>1486</v>
      </c>
      <c r="Y437" s="13" t="s">
        <v>130</v>
      </c>
      <c r="Z437" s="14">
        <v>14</v>
      </c>
      <c r="AA437" s="17">
        <v>16</v>
      </c>
      <c r="AB437" s="14" t="s">
        <v>341</v>
      </c>
      <c r="AC437" s="17">
        <v>8258000</v>
      </c>
      <c r="AD437" s="14" t="s">
        <v>924</v>
      </c>
      <c r="AE437" s="17">
        <v>7646296</v>
      </c>
      <c r="AF437" s="14" t="s">
        <v>324</v>
      </c>
      <c r="AG437" s="21" t="s">
        <v>131</v>
      </c>
      <c r="AH437" s="10">
        <v>6151621</v>
      </c>
      <c r="AI437" s="24" t="str">
        <f>VLOOKUP(Sales[[#This Row],[Store]],'Store lay bao  cao'!A:B,2,0)</f>
        <v>Lấy BC</v>
      </c>
      <c r="AJ437" s="24" t="str">
        <f>VLOOKUP(Sales[[#This Row],[Associate]],'Associate Status'!B:C,2,0)</f>
        <v>Retired</v>
      </c>
    </row>
    <row r="438" spans="1:36" x14ac:dyDescent="0.25">
      <c r="A438" s="7">
        <v>2024</v>
      </c>
      <c r="B438" s="8">
        <v>7</v>
      </c>
      <c r="C438" s="8">
        <v>28</v>
      </c>
      <c r="D438" s="8" t="s">
        <v>63</v>
      </c>
      <c r="E438" s="8" t="s">
        <v>37</v>
      </c>
      <c r="F438" s="8" t="s">
        <v>63</v>
      </c>
      <c r="G438" s="9">
        <v>-1836333</v>
      </c>
      <c r="H438" s="10">
        <v>-1732959.5999999999</v>
      </c>
      <c r="I438" s="11">
        <v>45482</v>
      </c>
      <c r="J438" s="12">
        <v>204998</v>
      </c>
      <c r="K438" s="13" t="s">
        <v>1709</v>
      </c>
      <c r="L438" s="14" t="s">
        <v>47</v>
      </c>
      <c r="M438" s="11" t="s">
        <v>21</v>
      </c>
      <c r="N438" s="14" t="s">
        <v>62</v>
      </c>
      <c r="O438" s="15">
        <v>7180</v>
      </c>
      <c r="P438" s="12">
        <v>-1</v>
      </c>
      <c r="Q438" s="13" t="s">
        <v>102</v>
      </c>
      <c r="R438" s="16">
        <v>-10398000</v>
      </c>
      <c r="S438" s="17">
        <v>-9627778</v>
      </c>
      <c r="T438" s="12">
        <v>0</v>
      </c>
      <c r="U438" s="18">
        <v>0</v>
      </c>
      <c r="V438" s="19">
        <v>0</v>
      </c>
      <c r="W438" s="13" t="s">
        <v>160</v>
      </c>
      <c r="X438" s="14" t="s">
        <v>1515</v>
      </c>
      <c r="Y438" s="13" t="s">
        <v>130</v>
      </c>
      <c r="Z438" s="14">
        <v>1</v>
      </c>
      <c r="AA438" s="17">
        <v>16</v>
      </c>
      <c r="AB438" s="14" t="s">
        <v>190</v>
      </c>
      <c r="AC438" s="17">
        <v>-10398000</v>
      </c>
      <c r="AD438" s="14" t="s">
        <v>924</v>
      </c>
      <c r="AE438" s="17">
        <v>-9627778</v>
      </c>
      <c r="AF438" s="14" t="s">
        <v>898</v>
      </c>
      <c r="AG438" s="20" t="s">
        <v>131</v>
      </c>
      <c r="AH438" s="10">
        <v>-7791445</v>
      </c>
      <c r="AI438" s="24" t="str">
        <f>VLOOKUP(Sales[[#This Row],[Store]],'Store lay bao  cao'!A:B,2,0)</f>
        <v>Lấy BC</v>
      </c>
      <c r="AJ438" s="24" t="str">
        <f>VLOOKUP(Sales[[#This Row],[Associate]],'Associate Status'!B:C,2,0)</f>
        <v>Retired</v>
      </c>
    </row>
    <row r="439" spans="1:36" x14ac:dyDescent="0.25">
      <c r="A439" s="7">
        <v>2024</v>
      </c>
      <c r="B439" s="8">
        <v>7</v>
      </c>
      <c r="C439" s="8">
        <v>28</v>
      </c>
      <c r="D439" s="8" t="s">
        <v>52</v>
      </c>
      <c r="E439" s="8" t="s">
        <v>34</v>
      </c>
      <c r="F439" s="8" t="s">
        <v>52</v>
      </c>
      <c r="G439" s="9">
        <v>8472421</v>
      </c>
      <c r="H439" s="10">
        <v>7172400</v>
      </c>
      <c r="I439" s="11">
        <v>45485</v>
      </c>
      <c r="J439" s="12">
        <v>186458</v>
      </c>
      <c r="K439" s="13" t="s">
        <v>650</v>
      </c>
      <c r="L439" s="14" t="s">
        <v>19</v>
      </c>
      <c r="M439" s="11" t="s">
        <v>15</v>
      </c>
      <c r="N439" s="14" t="s">
        <v>11</v>
      </c>
      <c r="O439" s="15">
        <v>4620</v>
      </c>
      <c r="P439" s="12">
        <v>1</v>
      </c>
      <c r="Q439" s="13" t="s">
        <v>101</v>
      </c>
      <c r="R439" s="16">
        <v>23311000</v>
      </c>
      <c r="S439" s="17">
        <v>21584259</v>
      </c>
      <c r="T439" s="12">
        <v>0</v>
      </c>
      <c r="U439" s="18">
        <v>0</v>
      </c>
      <c r="V439" s="19">
        <v>0</v>
      </c>
      <c r="W439" s="13" t="s">
        <v>104</v>
      </c>
      <c r="X439" s="14" t="s">
        <v>1710</v>
      </c>
      <c r="Y439" s="13" t="s">
        <v>1143</v>
      </c>
      <c r="Z439" s="14" t="s">
        <v>1711</v>
      </c>
      <c r="AA439" s="17">
        <v>11</v>
      </c>
      <c r="AB439" s="14" t="s">
        <v>1712</v>
      </c>
      <c r="AC439" s="17">
        <v>23311000</v>
      </c>
      <c r="AD439" s="14" t="s">
        <v>108</v>
      </c>
      <c r="AE439" s="17">
        <v>21584259</v>
      </c>
      <c r="AF439" s="14" t="s">
        <v>2594</v>
      </c>
      <c r="AG439" s="21" t="s">
        <v>212</v>
      </c>
      <c r="AH439" s="10">
        <v>13111838</v>
      </c>
      <c r="AI439" s="24" t="str">
        <f>VLOOKUP(Sales[[#This Row],[Store]],'Store lay bao  cao'!A:B,2,0)</f>
        <v>Lấy BC</v>
      </c>
      <c r="AJ439" s="24" t="e">
        <f>VLOOKUP(Sales[[#This Row],[Associate]],'Associate Status'!B:C,2,0)</f>
        <v>#N/A</v>
      </c>
    </row>
    <row r="440" spans="1:36" x14ac:dyDescent="0.25">
      <c r="A440" s="7">
        <v>2024</v>
      </c>
      <c r="B440" s="8">
        <v>7</v>
      </c>
      <c r="C440" s="8">
        <v>28</v>
      </c>
      <c r="D440" s="8" t="s">
        <v>63</v>
      </c>
      <c r="E440" s="8" t="s">
        <v>43</v>
      </c>
      <c r="F440" s="8" t="s">
        <v>63</v>
      </c>
      <c r="G440" s="9">
        <v>65899215</v>
      </c>
      <c r="H440" s="10">
        <v>65047500</v>
      </c>
      <c r="I440" s="11">
        <v>45486</v>
      </c>
      <c r="J440" s="12">
        <v>209308</v>
      </c>
      <c r="K440" s="13" t="s">
        <v>1713</v>
      </c>
      <c r="L440" s="14" t="s">
        <v>65</v>
      </c>
      <c r="M440" s="11" t="s">
        <v>17</v>
      </c>
      <c r="N440" s="14" t="s">
        <v>62</v>
      </c>
      <c r="O440" s="15">
        <v>8396</v>
      </c>
      <c r="P440" s="12">
        <v>1</v>
      </c>
      <c r="Q440" s="13" t="s">
        <v>175</v>
      </c>
      <c r="R440" s="16">
        <v>160303000</v>
      </c>
      <c r="S440" s="17">
        <v>148428704</v>
      </c>
      <c r="T440" s="12">
        <v>5</v>
      </c>
      <c r="U440" s="18">
        <v>7812037</v>
      </c>
      <c r="V440" s="19">
        <v>8437000</v>
      </c>
      <c r="W440" s="13" t="s">
        <v>140</v>
      </c>
      <c r="X440" s="14" t="s">
        <v>1714</v>
      </c>
      <c r="Y440" s="13" t="s">
        <v>218</v>
      </c>
      <c r="Z440" s="14" t="s">
        <v>1715</v>
      </c>
      <c r="AA440" s="17">
        <v>17</v>
      </c>
      <c r="AB440" s="14" t="s">
        <v>173</v>
      </c>
      <c r="AC440" s="17">
        <v>168740000</v>
      </c>
      <c r="AD440" s="14">
        <v>51</v>
      </c>
      <c r="AE440" s="17">
        <v>156240741</v>
      </c>
      <c r="AF440" s="14" t="s">
        <v>113</v>
      </c>
      <c r="AG440" s="20" t="s">
        <v>219</v>
      </c>
      <c r="AH440" s="10">
        <v>82529489</v>
      </c>
      <c r="AI440" s="24" t="str">
        <f>VLOOKUP(Sales[[#This Row],[Store]],'Store lay bao  cao'!A:B,2,0)</f>
        <v>Lấy BC</v>
      </c>
      <c r="AJ440" s="24" t="str">
        <f>VLOOKUP(Sales[[#This Row],[Associate]],'Associate Status'!B:C,2,0)</f>
        <v>Active</v>
      </c>
    </row>
    <row r="441" spans="1:36" x14ac:dyDescent="0.25">
      <c r="A441" s="7">
        <v>2024</v>
      </c>
      <c r="B441" s="8">
        <v>7</v>
      </c>
      <c r="C441" s="8">
        <v>28</v>
      </c>
      <c r="D441" s="8" t="s">
        <v>60</v>
      </c>
      <c r="E441" s="8" t="s">
        <v>37</v>
      </c>
      <c r="F441" s="8" t="s">
        <v>60</v>
      </c>
      <c r="G441" s="9">
        <v>4778431</v>
      </c>
      <c r="H441" s="10">
        <v>4446000</v>
      </c>
      <c r="I441" s="11">
        <v>45487</v>
      </c>
      <c r="J441" s="12">
        <v>208281</v>
      </c>
      <c r="K441" s="13" t="s">
        <v>1716</v>
      </c>
      <c r="L441" s="14" t="s">
        <v>50</v>
      </c>
      <c r="M441" s="11" t="s">
        <v>21</v>
      </c>
      <c r="N441" s="14" t="s">
        <v>11</v>
      </c>
      <c r="O441" s="15">
        <v>7213</v>
      </c>
      <c r="P441" s="12">
        <v>1</v>
      </c>
      <c r="Q441" s="13" t="s">
        <v>101</v>
      </c>
      <c r="R441" s="16">
        <v>14228000</v>
      </c>
      <c r="S441" s="17">
        <v>13174074</v>
      </c>
      <c r="T441" s="12">
        <v>0</v>
      </c>
      <c r="U441" s="18">
        <v>0</v>
      </c>
      <c r="V441" s="19">
        <v>0</v>
      </c>
      <c r="W441" s="13" t="s">
        <v>160</v>
      </c>
      <c r="X441" s="14" t="s">
        <v>1717</v>
      </c>
      <c r="Y441" s="13" t="s">
        <v>381</v>
      </c>
      <c r="Z441" s="14" t="s">
        <v>1718</v>
      </c>
      <c r="AA441" s="17">
        <v>13</v>
      </c>
      <c r="AB441" s="14" t="s">
        <v>194</v>
      </c>
      <c r="AC441" s="17">
        <v>14228000</v>
      </c>
      <c r="AD441" s="14" t="s">
        <v>108</v>
      </c>
      <c r="AE441" s="17">
        <v>13174074</v>
      </c>
      <c r="AF441" s="14" t="s">
        <v>898</v>
      </c>
      <c r="AG441" s="21" t="s">
        <v>382</v>
      </c>
      <c r="AH441" s="10">
        <v>8395643</v>
      </c>
      <c r="AI441" s="24" t="str">
        <f>VLOOKUP(Sales[[#This Row],[Store]],'Store lay bao  cao'!A:B,2,0)</f>
        <v>Lấy BC</v>
      </c>
      <c r="AJ441" s="24" t="str">
        <f>VLOOKUP(Sales[[#This Row],[Associate]],'Associate Status'!B:C,2,0)</f>
        <v>Retired</v>
      </c>
    </row>
    <row r="442" spans="1:36" x14ac:dyDescent="0.25">
      <c r="A442" s="7">
        <v>2024</v>
      </c>
      <c r="B442" s="8">
        <v>7</v>
      </c>
      <c r="C442" s="8">
        <v>28</v>
      </c>
      <c r="D442" s="8" t="s">
        <v>60</v>
      </c>
      <c r="E442" s="8" t="s">
        <v>34</v>
      </c>
      <c r="F442" s="8" t="s">
        <v>60</v>
      </c>
      <c r="G442" s="9">
        <v>1839716</v>
      </c>
      <c r="H442" s="10">
        <v>1710000</v>
      </c>
      <c r="I442" s="11">
        <v>45487</v>
      </c>
      <c r="J442" s="12">
        <v>208322</v>
      </c>
      <c r="K442" s="13" t="s">
        <v>1716</v>
      </c>
      <c r="L442" s="14" t="s">
        <v>50</v>
      </c>
      <c r="M442" s="11" t="s">
        <v>21</v>
      </c>
      <c r="N442" s="14" t="s">
        <v>11</v>
      </c>
      <c r="O442" s="15">
        <v>7213</v>
      </c>
      <c r="P442" s="12">
        <v>1</v>
      </c>
      <c r="Q442" s="13" t="s">
        <v>101</v>
      </c>
      <c r="R442" s="16">
        <v>5472000</v>
      </c>
      <c r="S442" s="17">
        <v>5066667</v>
      </c>
      <c r="T442" s="12">
        <v>0</v>
      </c>
      <c r="U442" s="18">
        <v>0</v>
      </c>
      <c r="V442" s="19">
        <v>0</v>
      </c>
      <c r="W442" s="13" t="s">
        <v>160</v>
      </c>
      <c r="X442" s="14" t="s">
        <v>1719</v>
      </c>
      <c r="Y442" s="13" t="s">
        <v>381</v>
      </c>
      <c r="Z442" s="14" t="s">
        <v>1720</v>
      </c>
      <c r="AA442" s="17">
        <v>13</v>
      </c>
      <c r="AB442" s="14" t="s">
        <v>1721</v>
      </c>
      <c r="AC442" s="17">
        <v>5472000</v>
      </c>
      <c r="AD442" s="14" t="s">
        <v>108</v>
      </c>
      <c r="AE442" s="17">
        <v>5066667</v>
      </c>
      <c r="AF442" s="14" t="s">
        <v>898</v>
      </c>
      <c r="AG442" s="20" t="s">
        <v>382</v>
      </c>
      <c r="AH442" s="10">
        <v>3226951</v>
      </c>
      <c r="AI442" s="24" t="str">
        <f>VLOOKUP(Sales[[#This Row],[Store]],'Store lay bao  cao'!A:B,2,0)</f>
        <v>Lấy BC</v>
      </c>
      <c r="AJ442" s="24" t="str">
        <f>VLOOKUP(Sales[[#This Row],[Associate]],'Associate Status'!B:C,2,0)</f>
        <v>Retired</v>
      </c>
    </row>
    <row r="443" spans="1:36" x14ac:dyDescent="0.25">
      <c r="A443" s="7">
        <v>2024</v>
      </c>
      <c r="B443" s="8">
        <v>7</v>
      </c>
      <c r="C443" s="8">
        <v>28</v>
      </c>
      <c r="D443" s="8" t="s">
        <v>60</v>
      </c>
      <c r="E443" s="8" t="s">
        <v>37</v>
      </c>
      <c r="F443" s="8" t="s">
        <v>60</v>
      </c>
      <c r="G443" s="9">
        <v>3064181</v>
      </c>
      <c r="H443" s="10">
        <v>2850000</v>
      </c>
      <c r="I443" s="11">
        <v>45487</v>
      </c>
      <c r="J443" s="12">
        <v>208306</v>
      </c>
      <c r="K443" s="13" t="s">
        <v>1722</v>
      </c>
      <c r="L443" s="14" t="s">
        <v>50</v>
      </c>
      <c r="M443" s="11" t="s">
        <v>21</v>
      </c>
      <c r="N443" s="14" t="s">
        <v>11</v>
      </c>
      <c r="O443" s="15">
        <v>7215</v>
      </c>
      <c r="P443" s="12">
        <v>1</v>
      </c>
      <c r="Q443" s="13" t="s">
        <v>101</v>
      </c>
      <c r="R443" s="16">
        <v>9120000</v>
      </c>
      <c r="S443" s="17">
        <v>8444444</v>
      </c>
      <c r="T443" s="12">
        <v>0</v>
      </c>
      <c r="U443" s="18">
        <v>0</v>
      </c>
      <c r="V443" s="19">
        <v>0</v>
      </c>
      <c r="W443" s="13" t="s">
        <v>160</v>
      </c>
      <c r="X443" s="14" t="s">
        <v>1723</v>
      </c>
      <c r="Y443" s="13" t="s">
        <v>103</v>
      </c>
      <c r="Z443" s="14" t="s">
        <v>1724</v>
      </c>
      <c r="AA443" s="17">
        <v>18</v>
      </c>
      <c r="AB443" s="14" t="s">
        <v>137</v>
      </c>
      <c r="AC443" s="17">
        <v>9120000</v>
      </c>
      <c r="AD443" s="14" t="s">
        <v>108</v>
      </c>
      <c r="AE443" s="17">
        <v>8444444</v>
      </c>
      <c r="AF443" s="14" t="s">
        <v>752</v>
      </c>
      <c r="AG443" s="21"/>
      <c r="AH443" s="10">
        <v>5380263</v>
      </c>
      <c r="AI443" s="24" t="str">
        <f>VLOOKUP(Sales[[#This Row],[Store]],'Store lay bao  cao'!A:B,2,0)</f>
        <v>Lấy BC</v>
      </c>
      <c r="AJ443" s="24" t="str">
        <f>VLOOKUP(Sales[[#This Row],[Associate]],'Associate Status'!B:C,2,0)</f>
        <v>Retired</v>
      </c>
    </row>
    <row r="444" spans="1:36" x14ac:dyDescent="0.25">
      <c r="A444" s="7">
        <v>2024</v>
      </c>
      <c r="B444" s="8">
        <v>7</v>
      </c>
      <c r="C444" s="8">
        <v>29</v>
      </c>
      <c r="D444" s="8" t="s">
        <v>52</v>
      </c>
      <c r="E444" s="8" t="s">
        <v>34</v>
      </c>
      <c r="F444" s="8" t="s">
        <v>52</v>
      </c>
      <c r="G444" s="9">
        <v>54642566</v>
      </c>
      <c r="H444" s="10">
        <v>50987250</v>
      </c>
      <c r="I444" s="11">
        <v>45488</v>
      </c>
      <c r="J444" s="12">
        <v>182561</v>
      </c>
      <c r="K444" s="13" t="s">
        <v>1725</v>
      </c>
      <c r="L444" s="14" t="s">
        <v>44</v>
      </c>
      <c r="M444" s="11" t="s">
        <v>13</v>
      </c>
      <c r="N444" s="14" t="s">
        <v>11</v>
      </c>
      <c r="O444" s="15">
        <v>456</v>
      </c>
      <c r="P444" s="12">
        <v>1</v>
      </c>
      <c r="Q444" s="13" t="s">
        <v>143</v>
      </c>
      <c r="R444" s="16">
        <v>122601600</v>
      </c>
      <c r="S444" s="17">
        <v>113520000</v>
      </c>
      <c r="T444" s="12">
        <v>10</v>
      </c>
      <c r="U444" s="18">
        <v>12613333</v>
      </c>
      <c r="V444" s="19">
        <v>13622400</v>
      </c>
      <c r="W444" s="13" t="s">
        <v>1448</v>
      </c>
      <c r="X444" s="14" t="s">
        <v>1346</v>
      </c>
      <c r="Y444" s="13" t="s">
        <v>877</v>
      </c>
      <c r="Z444" s="22" t="s">
        <v>1347</v>
      </c>
      <c r="AA444" s="17">
        <v>14</v>
      </c>
      <c r="AB444" s="14" t="s">
        <v>1129</v>
      </c>
      <c r="AC444" s="17">
        <v>136224000</v>
      </c>
      <c r="AD444" s="14" t="s">
        <v>108</v>
      </c>
      <c r="AE444" s="17">
        <v>126133333</v>
      </c>
      <c r="AF444" s="14" t="s">
        <v>1449</v>
      </c>
      <c r="AG444" s="20" t="s">
        <v>878</v>
      </c>
      <c r="AH444" s="10">
        <v>58877434</v>
      </c>
      <c r="AI444" s="24" t="str">
        <f>VLOOKUP(Sales[[#This Row],[Store]],'Store lay bao  cao'!A:B,2,0)</f>
        <v>Lấy BC</v>
      </c>
      <c r="AJ444" s="24" t="e">
        <f>VLOOKUP(Sales[[#This Row],[Associate]],'Associate Status'!B:C,2,0)</f>
        <v>#N/A</v>
      </c>
    </row>
    <row r="445" spans="1:36" x14ac:dyDescent="0.25">
      <c r="A445" s="7">
        <v>2024</v>
      </c>
      <c r="B445" s="8">
        <v>7</v>
      </c>
      <c r="C445" s="8">
        <v>29</v>
      </c>
      <c r="D445" s="8" t="s">
        <v>60</v>
      </c>
      <c r="E445" s="8" t="s">
        <v>37</v>
      </c>
      <c r="F445" s="8" t="s">
        <v>60</v>
      </c>
      <c r="G445" s="9">
        <v>7227360</v>
      </c>
      <c r="H445" s="10">
        <v>6726000</v>
      </c>
      <c r="I445" s="11">
        <v>45488</v>
      </c>
      <c r="J445" s="12">
        <v>208317</v>
      </c>
      <c r="K445" s="13" t="s">
        <v>1726</v>
      </c>
      <c r="L445" s="14" t="s">
        <v>50</v>
      </c>
      <c r="M445" s="11" t="s">
        <v>17</v>
      </c>
      <c r="N445" s="14" t="s">
        <v>11</v>
      </c>
      <c r="O445" s="15">
        <v>8408</v>
      </c>
      <c r="P445" s="12">
        <v>1</v>
      </c>
      <c r="Q445" s="13" t="s">
        <v>144</v>
      </c>
      <c r="R445" s="16">
        <v>21524000</v>
      </c>
      <c r="S445" s="17">
        <v>19929630</v>
      </c>
      <c r="T445" s="12">
        <v>0</v>
      </c>
      <c r="U445" s="18">
        <v>0</v>
      </c>
      <c r="V445" s="19">
        <v>0</v>
      </c>
      <c r="W445" s="13" t="s">
        <v>140</v>
      </c>
      <c r="X445" s="14" t="s">
        <v>1727</v>
      </c>
      <c r="Y445" s="13" t="s">
        <v>474</v>
      </c>
      <c r="Z445" s="14" t="s">
        <v>1728</v>
      </c>
      <c r="AA445" s="17">
        <v>13</v>
      </c>
      <c r="AB445" s="14" t="s">
        <v>137</v>
      </c>
      <c r="AC445" s="17">
        <v>21524000</v>
      </c>
      <c r="AD445" s="14" t="s">
        <v>108</v>
      </c>
      <c r="AE445" s="17">
        <v>19929630</v>
      </c>
      <c r="AF445" s="14" t="s">
        <v>129</v>
      </c>
      <c r="AG445" s="21" t="s">
        <v>475</v>
      </c>
      <c r="AH445" s="10">
        <v>12702270</v>
      </c>
      <c r="AI445" s="24" t="str">
        <f>VLOOKUP(Sales[[#This Row],[Store]],'Store lay bao  cao'!A:B,2,0)</f>
        <v>Lấy BC</v>
      </c>
      <c r="AJ445" s="24" t="str">
        <f>VLOOKUP(Sales[[#This Row],[Associate]],'Associate Status'!B:C,2,0)</f>
        <v>Active</v>
      </c>
    </row>
    <row r="446" spans="1:36" x14ac:dyDescent="0.25">
      <c r="A446" s="7">
        <v>2024</v>
      </c>
      <c r="B446" s="8">
        <v>7</v>
      </c>
      <c r="C446" s="8">
        <v>29</v>
      </c>
      <c r="D446" s="8" t="s">
        <v>60</v>
      </c>
      <c r="E446" s="8" t="s">
        <v>34</v>
      </c>
      <c r="F446" s="8" t="s">
        <v>60</v>
      </c>
      <c r="G446" s="9">
        <v>19104789</v>
      </c>
      <c r="H446" s="10">
        <v>19139175.000000004</v>
      </c>
      <c r="I446" s="11">
        <v>45489</v>
      </c>
      <c r="J446" s="12">
        <v>202710</v>
      </c>
      <c r="K446" s="13" t="s">
        <v>651</v>
      </c>
      <c r="L446" s="14" t="s">
        <v>58</v>
      </c>
      <c r="M446" s="11" t="s">
        <v>15</v>
      </c>
      <c r="N446" s="14" t="s">
        <v>11</v>
      </c>
      <c r="O446" s="15">
        <v>4634</v>
      </c>
      <c r="P446" s="12">
        <v>1</v>
      </c>
      <c r="Q446" s="13" t="s">
        <v>101</v>
      </c>
      <c r="R446" s="16">
        <v>49898750</v>
      </c>
      <c r="S446" s="17">
        <v>46202546</v>
      </c>
      <c r="T446" s="12">
        <v>5</v>
      </c>
      <c r="U446" s="18">
        <v>2431713</v>
      </c>
      <c r="V446" s="19">
        <v>2626250</v>
      </c>
      <c r="W446" s="13" t="s">
        <v>104</v>
      </c>
      <c r="X446" s="14" t="s">
        <v>1729</v>
      </c>
      <c r="Y446" s="13" t="s">
        <v>202</v>
      </c>
      <c r="Z446" s="14" t="s">
        <v>1730</v>
      </c>
      <c r="AA446" s="17">
        <v>16</v>
      </c>
      <c r="AB446" s="14" t="s">
        <v>1444</v>
      </c>
      <c r="AC446" s="17">
        <v>52525000</v>
      </c>
      <c r="AD446" s="14" t="s">
        <v>108</v>
      </c>
      <c r="AE446" s="17">
        <v>48634259</v>
      </c>
      <c r="AF446" s="14" t="s">
        <v>109</v>
      </c>
      <c r="AG446" s="20" t="s">
        <v>203</v>
      </c>
      <c r="AH446" s="10">
        <v>27097757</v>
      </c>
      <c r="AI446" s="24" t="str">
        <f>VLOOKUP(Sales[[#This Row],[Store]],'Store lay bao  cao'!A:B,2,0)</f>
        <v>Lấy BC</v>
      </c>
      <c r="AJ446" s="24" t="str">
        <f>VLOOKUP(Sales[[#This Row],[Associate]],'Associate Status'!B:C,2,0)</f>
        <v>Active</v>
      </c>
    </row>
    <row r="447" spans="1:36" x14ac:dyDescent="0.25">
      <c r="A447" s="7">
        <v>2024</v>
      </c>
      <c r="B447" s="8">
        <v>7</v>
      </c>
      <c r="C447" s="8">
        <v>29</v>
      </c>
      <c r="D447" s="8" t="s">
        <v>60</v>
      </c>
      <c r="E447" s="8" t="s">
        <v>43</v>
      </c>
      <c r="F447" s="8" t="s">
        <v>60</v>
      </c>
      <c r="G447" s="9">
        <v>3242039</v>
      </c>
      <c r="H447" s="10">
        <v>2422500</v>
      </c>
      <c r="I447" s="11">
        <v>45492</v>
      </c>
      <c r="J447" s="12">
        <v>202774</v>
      </c>
      <c r="K447" s="13" t="s">
        <v>1731</v>
      </c>
      <c r="L447" s="14" t="s">
        <v>19</v>
      </c>
      <c r="M447" s="11" t="s">
        <v>28</v>
      </c>
      <c r="N447" s="14" t="s">
        <v>62</v>
      </c>
      <c r="O447" s="15">
        <v>1876</v>
      </c>
      <c r="P447" s="12">
        <v>1</v>
      </c>
      <c r="Q447" s="13" t="s">
        <v>110</v>
      </c>
      <c r="R447" s="16">
        <v>7626600</v>
      </c>
      <c r="S447" s="17">
        <v>7061667</v>
      </c>
      <c r="T447" s="12">
        <v>5</v>
      </c>
      <c r="U447" s="18">
        <v>371667</v>
      </c>
      <c r="V447" s="19">
        <v>401400</v>
      </c>
      <c r="W447" s="13" t="s">
        <v>1218</v>
      </c>
      <c r="X447" s="14" t="s">
        <v>1732</v>
      </c>
      <c r="Y447" s="13" t="s">
        <v>922</v>
      </c>
      <c r="Z447" s="14" t="s">
        <v>1733</v>
      </c>
      <c r="AA447" s="17">
        <v>19</v>
      </c>
      <c r="AB447" s="14" t="s">
        <v>260</v>
      </c>
      <c r="AC447" s="17">
        <v>8028000</v>
      </c>
      <c r="AD447" s="14">
        <v>52</v>
      </c>
      <c r="AE447" s="17">
        <v>7433333</v>
      </c>
      <c r="AF447" s="14" t="s">
        <v>123</v>
      </c>
      <c r="AG447" s="21" t="s">
        <v>923</v>
      </c>
      <c r="AH447" s="10">
        <v>3819628</v>
      </c>
      <c r="AI447" s="24" t="str">
        <f>VLOOKUP(Sales[[#This Row],[Store]],'Store lay bao  cao'!A:B,2,0)</f>
        <v>Lấy BC</v>
      </c>
      <c r="AJ447" s="24" t="str">
        <f>VLOOKUP(Sales[[#This Row],[Associate]],'Associate Status'!B:C,2,0)</f>
        <v>Active</v>
      </c>
    </row>
    <row r="448" spans="1:36" x14ac:dyDescent="0.25">
      <c r="A448" s="7">
        <v>2024</v>
      </c>
      <c r="B448" s="8">
        <v>7</v>
      </c>
      <c r="C448" s="8">
        <v>29</v>
      </c>
      <c r="D448" s="8" t="s">
        <v>60</v>
      </c>
      <c r="E448" s="8" t="s">
        <v>37</v>
      </c>
      <c r="F448" s="8" t="s">
        <v>60</v>
      </c>
      <c r="G448" s="9">
        <v>21822397</v>
      </c>
      <c r="H448" s="10">
        <v>21861675.000000004</v>
      </c>
      <c r="I448" s="11">
        <v>45494</v>
      </c>
      <c r="J448" s="12">
        <v>202692</v>
      </c>
      <c r="K448" s="13" t="s">
        <v>655</v>
      </c>
      <c r="L448" s="14" t="s">
        <v>58</v>
      </c>
      <c r="M448" s="11" t="s">
        <v>15</v>
      </c>
      <c r="N448" s="14" t="s">
        <v>11</v>
      </c>
      <c r="O448" s="15">
        <v>4666</v>
      </c>
      <c r="P448" s="12">
        <v>1</v>
      </c>
      <c r="Q448" s="13" t="s">
        <v>144</v>
      </c>
      <c r="R448" s="16">
        <v>59996000</v>
      </c>
      <c r="S448" s="17">
        <v>55551852</v>
      </c>
      <c r="T448" s="12">
        <v>0</v>
      </c>
      <c r="U448" s="18">
        <v>0</v>
      </c>
      <c r="V448" s="19">
        <v>0</v>
      </c>
      <c r="W448" s="13" t="s">
        <v>104</v>
      </c>
      <c r="X448" s="14" t="s">
        <v>1734</v>
      </c>
      <c r="Y448" s="13" t="s">
        <v>180</v>
      </c>
      <c r="Z448" s="14" t="s">
        <v>1735</v>
      </c>
      <c r="AA448" s="17">
        <v>20</v>
      </c>
      <c r="AB448" s="14" t="s">
        <v>1444</v>
      </c>
      <c r="AC448" s="17">
        <v>59996000</v>
      </c>
      <c r="AD448" s="14">
        <v>425</v>
      </c>
      <c r="AE448" s="17">
        <v>55551852</v>
      </c>
      <c r="AF448" s="14" t="s">
        <v>352</v>
      </c>
      <c r="AG448" s="20" t="s">
        <v>337</v>
      </c>
      <c r="AH448" s="10">
        <v>33729455</v>
      </c>
      <c r="AI448" s="24" t="str">
        <f>VLOOKUP(Sales[[#This Row],[Store]],'Store lay bao  cao'!A:B,2,0)</f>
        <v>Lấy BC</v>
      </c>
      <c r="AJ448" s="24" t="str">
        <f>VLOOKUP(Sales[[#This Row],[Associate]],'Associate Status'!B:C,2,0)</f>
        <v>Retired</v>
      </c>
    </row>
    <row r="449" spans="1:36" x14ac:dyDescent="0.25">
      <c r="A449" s="7">
        <v>2024</v>
      </c>
      <c r="B449" s="8">
        <v>7</v>
      </c>
      <c r="C449" s="8">
        <v>29</v>
      </c>
      <c r="D449" s="8" t="s">
        <v>60</v>
      </c>
      <c r="E449" s="8" t="s">
        <v>34</v>
      </c>
      <c r="F449" s="8" t="s">
        <v>60</v>
      </c>
      <c r="G449" s="9">
        <v>5145772</v>
      </c>
      <c r="H449" s="10">
        <v>4788000</v>
      </c>
      <c r="I449" s="11">
        <v>45494</v>
      </c>
      <c r="J449" s="12">
        <v>208331</v>
      </c>
      <c r="K449" s="13" t="s">
        <v>1736</v>
      </c>
      <c r="L449" s="14" t="s">
        <v>50</v>
      </c>
      <c r="M449" s="11" t="s">
        <v>28</v>
      </c>
      <c r="N449" s="14" t="s">
        <v>11</v>
      </c>
      <c r="O449" s="15">
        <v>1892</v>
      </c>
      <c r="P449" s="12">
        <v>1</v>
      </c>
      <c r="Q449" s="13" t="s">
        <v>101</v>
      </c>
      <c r="R449" s="16">
        <v>15322000</v>
      </c>
      <c r="S449" s="17">
        <v>14187037</v>
      </c>
      <c r="T449" s="12">
        <v>0</v>
      </c>
      <c r="U449" s="18">
        <v>0</v>
      </c>
      <c r="V449" s="19">
        <v>0</v>
      </c>
      <c r="W449" s="13" t="s">
        <v>157</v>
      </c>
      <c r="X449" s="14" t="s">
        <v>1739</v>
      </c>
      <c r="Y449" s="13" t="s">
        <v>1737</v>
      </c>
      <c r="Z449" s="14" t="s">
        <v>1740</v>
      </c>
      <c r="AA449" s="17">
        <v>17</v>
      </c>
      <c r="AB449" s="14" t="s">
        <v>1741</v>
      </c>
      <c r="AC449" s="17">
        <v>15322000</v>
      </c>
      <c r="AD449" s="14" t="s">
        <v>108</v>
      </c>
      <c r="AE449" s="17">
        <v>14187037</v>
      </c>
      <c r="AF449" s="14" t="s">
        <v>139</v>
      </c>
      <c r="AG449" s="21" t="s">
        <v>1738</v>
      </c>
      <c r="AH449" s="10">
        <v>9041265</v>
      </c>
      <c r="AI449" s="24" t="str">
        <f>VLOOKUP(Sales[[#This Row],[Store]],'Store lay bao  cao'!A:B,2,0)</f>
        <v>Lấy BC</v>
      </c>
      <c r="AJ449" s="24" t="str">
        <f>VLOOKUP(Sales[[#This Row],[Associate]],'Associate Status'!B:C,2,0)</f>
        <v>Active</v>
      </c>
    </row>
    <row r="450" spans="1:36" x14ac:dyDescent="0.25">
      <c r="A450" s="7">
        <v>2024</v>
      </c>
      <c r="B450" s="8">
        <v>7</v>
      </c>
      <c r="C450" s="8">
        <v>30</v>
      </c>
      <c r="D450" s="8" t="s">
        <v>52</v>
      </c>
      <c r="E450" s="8" t="s">
        <v>34</v>
      </c>
      <c r="F450" s="8" t="s">
        <v>52</v>
      </c>
      <c r="G450" s="9">
        <v>-108790221</v>
      </c>
      <c r="H450" s="10">
        <v>-101426250</v>
      </c>
      <c r="I450" s="11">
        <v>45496</v>
      </c>
      <c r="J450" s="12">
        <v>182560</v>
      </c>
      <c r="K450" s="13" t="s">
        <v>653</v>
      </c>
      <c r="L450" s="14" t="s">
        <v>44</v>
      </c>
      <c r="M450" s="11" t="s">
        <v>15</v>
      </c>
      <c r="N450" s="14" t="s">
        <v>11</v>
      </c>
      <c r="O450" s="15">
        <v>4672</v>
      </c>
      <c r="P450" s="12">
        <v>-1</v>
      </c>
      <c r="Q450" s="13" t="s">
        <v>156</v>
      </c>
      <c r="R450" s="16">
        <v>-246519000</v>
      </c>
      <c r="S450" s="17">
        <v>-228258333</v>
      </c>
      <c r="T450" s="12">
        <v>9</v>
      </c>
      <c r="U450" s="18">
        <v>-22575000</v>
      </c>
      <c r="V450" s="19">
        <v>-24381000</v>
      </c>
      <c r="W450" s="13" t="s">
        <v>135</v>
      </c>
      <c r="X450" s="14" t="s">
        <v>1677</v>
      </c>
      <c r="Y450" s="13" t="s">
        <v>826</v>
      </c>
      <c r="Z450" s="14" t="s">
        <v>1678</v>
      </c>
      <c r="AA450" s="17">
        <v>16</v>
      </c>
      <c r="AB450" s="14" t="s">
        <v>1679</v>
      </c>
      <c r="AC450" s="17">
        <v>-270900000</v>
      </c>
      <c r="AD450" s="14" t="s">
        <v>108</v>
      </c>
      <c r="AE450" s="17">
        <v>-250833333</v>
      </c>
      <c r="AF450" s="14" t="s">
        <v>136</v>
      </c>
      <c r="AG450" s="20" t="s">
        <v>1670</v>
      </c>
      <c r="AH450" s="10">
        <v>-119468112</v>
      </c>
      <c r="AI450" s="24" t="str">
        <f>VLOOKUP(Sales[[#This Row],[Store]],'Store lay bao  cao'!A:B,2,0)</f>
        <v>Lấy BC</v>
      </c>
      <c r="AJ450" s="24" t="str">
        <f>VLOOKUP(Sales[[#This Row],[Associate]],'Associate Status'!B:C,2,0)</f>
        <v>Active</v>
      </c>
    </row>
    <row r="451" spans="1:36" x14ac:dyDescent="0.25">
      <c r="A451" s="7">
        <v>2024</v>
      </c>
      <c r="B451" s="8">
        <v>7</v>
      </c>
      <c r="C451" s="8">
        <v>30</v>
      </c>
      <c r="D451" s="8" t="s">
        <v>60</v>
      </c>
      <c r="E451" s="8" t="s">
        <v>37</v>
      </c>
      <c r="F451" s="8" t="s">
        <v>60</v>
      </c>
      <c r="G451" s="9">
        <v>6247789</v>
      </c>
      <c r="H451" s="10">
        <v>5814000</v>
      </c>
      <c r="I451" s="11">
        <v>45496</v>
      </c>
      <c r="J451" s="12">
        <v>208277</v>
      </c>
      <c r="K451" s="13" t="s">
        <v>654</v>
      </c>
      <c r="L451" s="14" t="s">
        <v>50</v>
      </c>
      <c r="M451" s="11" t="s">
        <v>15</v>
      </c>
      <c r="N451" s="14" t="s">
        <v>11</v>
      </c>
      <c r="O451" s="15">
        <v>4673</v>
      </c>
      <c r="P451" s="12">
        <v>1</v>
      </c>
      <c r="Q451" s="13" t="s">
        <v>102</v>
      </c>
      <c r="R451" s="16">
        <v>17674750</v>
      </c>
      <c r="S451" s="17">
        <v>16365509</v>
      </c>
      <c r="T451" s="12">
        <v>5</v>
      </c>
      <c r="U451" s="18">
        <v>861343</v>
      </c>
      <c r="V451" s="19">
        <v>930250</v>
      </c>
      <c r="W451" s="13" t="s">
        <v>104</v>
      </c>
      <c r="X451" s="14" t="s">
        <v>1742</v>
      </c>
      <c r="Y451" s="13" t="s">
        <v>228</v>
      </c>
      <c r="Z451" s="14" t="s">
        <v>1743</v>
      </c>
      <c r="AA451" s="17">
        <v>19</v>
      </c>
      <c r="AB451" s="14" t="s">
        <v>173</v>
      </c>
      <c r="AC451" s="17">
        <v>18605000</v>
      </c>
      <c r="AD451" s="14" t="s">
        <v>108</v>
      </c>
      <c r="AE451" s="17">
        <v>17226852</v>
      </c>
      <c r="AF451" s="14" t="s">
        <v>106</v>
      </c>
      <c r="AG451" s="21" t="s">
        <v>229</v>
      </c>
      <c r="AH451" s="10">
        <v>10117720</v>
      </c>
      <c r="AI451" s="24" t="str">
        <f>VLOOKUP(Sales[[#This Row],[Store]],'Store lay bao  cao'!A:B,2,0)</f>
        <v>Lấy BC</v>
      </c>
      <c r="AJ451" s="24" t="str">
        <f>VLOOKUP(Sales[[#This Row],[Associate]],'Associate Status'!B:C,2,0)</f>
        <v>Active</v>
      </c>
    </row>
    <row r="452" spans="1:36" x14ac:dyDescent="0.25">
      <c r="A452" s="7">
        <v>2024</v>
      </c>
      <c r="B452" s="8">
        <v>7</v>
      </c>
      <c r="C452" s="8">
        <v>30</v>
      </c>
      <c r="D452" s="8" t="s">
        <v>60</v>
      </c>
      <c r="E452" s="8" t="s">
        <v>37</v>
      </c>
      <c r="F452" s="8" t="s">
        <v>60</v>
      </c>
      <c r="G452" s="9">
        <v>4411092</v>
      </c>
      <c r="H452" s="10">
        <v>4104000</v>
      </c>
      <c r="I452" s="11">
        <v>45496</v>
      </c>
      <c r="J452" s="12">
        <v>208296</v>
      </c>
      <c r="K452" s="13" t="s">
        <v>654</v>
      </c>
      <c r="L452" s="14" t="s">
        <v>50</v>
      </c>
      <c r="M452" s="11" t="s">
        <v>15</v>
      </c>
      <c r="N452" s="14" t="s">
        <v>11</v>
      </c>
      <c r="O452" s="15">
        <v>4673</v>
      </c>
      <c r="P452" s="12">
        <v>1</v>
      </c>
      <c r="Q452" s="13" t="s">
        <v>102</v>
      </c>
      <c r="R452" s="16">
        <v>12476350</v>
      </c>
      <c r="S452" s="17">
        <v>11552176</v>
      </c>
      <c r="T452" s="12">
        <v>5</v>
      </c>
      <c r="U452" s="18">
        <v>608009</v>
      </c>
      <c r="V452" s="19">
        <v>656650</v>
      </c>
      <c r="W452" s="13" t="s">
        <v>104</v>
      </c>
      <c r="X452" s="14" t="s">
        <v>1744</v>
      </c>
      <c r="Y452" s="13" t="s">
        <v>228</v>
      </c>
      <c r="Z452" s="14" t="s">
        <v>1745</v>
      </c>
      <c r="AA452" s="17">
        <v>19</v>
      </c>
      <c r="AB452" s="14" t="s">
        <v>1746</v>
      </c>
      <c r="AC452" s="17">
        <v>13133000</v>
      </c>
      <c r="AD452" s="14" t="s">
        <v>108</v>
      </c>
      <c r="AE452" s="17">
        <v>12160185</v>
      </c>
      <c r="AF452" s="14" t="s">
        <v>106</v>
      </c>
      <c r="AG452" s="20" t="s">
        <v>229</v>
      </c>
      <c r="AH452" s="10">
        <v>7141084</v>
      </c>
      <c r="AI452" s="24" t="str">
        <f>VLOOKUP(Sales[[#This Row],[Store]],'Store lay bao  cao'!A:B,2,0)</f>
        <v>Lấy BC</v>
      </c>
      <c r="AJ452" s="24" t="str">
        <f>VLOOKUP(Sales[[#This Row],[Associate]],'Associate Status'!B:C,2,0)</f>
        <v>Active</v>
      </c>
    </row>
    <row r="453" spans="1:36" x14ac:dyDescent="0.25">
      <c r="A453" s="7">
        <v>2024</v>
      </c>
      <c r="B453" s="8">
        <v>7</v>
      </c>
      <c r="C453" s="8">
        <v>30</v>
      </c>
      <c r="D453" s="8" t="s">
        <v>60</v>
      </c>
      <c r="E453" s="8" t="s">
        <v>43</v>
      </c>
      <c r="F453" s="8" t="s">
        <v>60</v>
      </c>
      <c r="G453" s="9">
        <v>2574396</v>
      </c>
      <c r="H453" s="10">
        <v>2394000</v>
      </c>
      <c r="I453" s="11">
        <v>45496</v>
      </c>
      <c r="J453" s="12">
        <v>208243</v>
      </c>
      <c r="K453" s="13" t="s">
        <v>654</v>
      </c>
      <c r="L453" s="14" t="s">
        <v>50</v>
      </c>
      <c r="M453" s="11" t="s">
        <v>15</v>
      </c>
      <c r="N453" s="14" t="s">
        <v>11</v>
      </c>
      <c r="O453" s="15">
        <v>4673</v>
      </c>
      <c r="P453" s="12">
        <v>1</v>
      </c>
      <c r="Q453" s="13" t="s">
        <v>102</v>
      </c>
      <c r="R453" s="16">
        <v>7277950</v>
      </c>
      <c r="S453" s="17">
        <v>6738843</v>
      </c>
      <c r="T453" s="12">
        <v>5</v>
      </c>
      <c r="U453" s="18">
        <v>354676</v>
      </c>
      <c r="V453" s="19">
        <v>383050</v>
      </c>
      <c r="W453" s="13" t="s">
        <v>104</v>
      </c>
      <c r="X453" s="14" t="s">
        <v>1747</v>
      </c>
      <c r="Y453" s="13" t="s">
        <v>228</v>
      </c>
      <c r="Z453" s="14" t="s">
        <v>1748</v>
      </c>
      <c r="AA453" s="17">
        <v>19</v>
      </c>
      <c r="AB453" s="14" t="s">
        <v>1741</v>
      </c>
      <c r="AC453" s="17">
        <v>7661000</v>
      </c>
      <c r="AD453" s="14">
        <v>11</v>
      </c>
      <c r="AE453" s="17">
        <v>7093519</v>
      </c>
      <c r="AF453" s="14" t="s">
        <v>106</v>
      </c>
      <c r="AG453" s="21" t="s">
        <v>229</v>
      </c>
      <c r="AH453" s="10">
        <v>4164447</v>
      </c>
      <c r="AI453" s="24" t="str">
        <f>VLOOKUP(Sales[[#This Row],[Store]],'Store lay bao  cao'!A:B,2,0)</f>
        <v>Lấy BC</v>
      </c>
      <c r="AJ453" s="24" t="str">
        <f>VLOOKUP(Sales[[#This Row],[Associate]],'Associate Status'!B:C,2,0)</f>
        <v>Active</v>
      </c>
    </row>
    <row r="454" spans="1:36" x14ac:dyDescent="0.25">
      <c r="A454" s="7">
        <v>2024</v>
      </c>
      <c r="B454" s="8">
        <v>7</v>
      </c>
      <c r="C454" s="8">
        <v>30</v>
      </c>
      <c r="D454" s="8" t="s">
        <v>60</v>
      </c>
      <c r="E454" s="8" t="s">
        <v>37</v>
      </c>
      <c r="F454" s="8" t="s">
        <v>60</v>
      </c>
      <c r="G454" s="9">
        <v>4876389</v>
      </c>
      <c r="H454" s="10">
        <v>4537200.0000000009</v>
      </c>
      <c r="I454" s="11">
        <v>45498</v>
      </c>
      <c r="J454" s="12">
        <v>208316</v>
      </c>
      <c r="K454" s="13" t="s">
        <v>1749</v>
      </c>
      <c r="L454" s="14" t="s">
        <v>50</v>
      </c>
      <c r="M454" s="11" t="s">
        <v>21</v>
      </c>
      <c r="N454" s="14" t="s">
        <v>11</v>
      </c>
      <c r="O454" s="15">
        <v>7316</v>
      </c>
      <c r="P454" s="12">
        <v>1</v>
      </c>
      <c r="Q454" s="13" t="s">
        <v>101</v>
      </c>
      <c r="R454" s="16">
        <v>14520000</v>
      </c>
      <c r="S454" s="17">
        <v>13444444</v>
      </c>
      <c r="T454" s="12">
        <v>0</v>
      </c>
      <c r="U454" s="18">
        <v>0</v>
      </c>
      <c r="V454" s="19">
        <v>0</v>
      </c>
      <c r="W454" s="13" t="s">
        <v>160</v>
      </c>
      <c r="X454" s="14" t="s">
        <v>1750</v>
      </c>
      <c r="Y454" s="13" t="s">
        <v>381</v>
      </c>
      <c r="Z454" s="14" t="s">
        <v>1751</v>
      </c>
      <c r="AA454" s="17">
        <v>21</v>
      </c>
      <c r="AB454" s="14" t="s">
        <v>194</v>
      </c>
      <c r="AC454" s="17">
        <v>14520000</v>
      </c>
      <c r="AD454" s="14" t="s">
        <v>108</v>
      </c>
      <c r="AE454" s="17">
        <v>13444444</v>
      </c>
      <c r="AF454" s="14" t="s">
        <v>1548</v>
      </c>
      <c r="AG454" s="20" t="s">
        <v>382</v>
      </c>
      <c r="AH454" s="10">
        <v>8568055</v>
      </c>
      <c r="AI454" s="24" t="str">
        <f>VLOOKUP(Sales[[#This Row],[Store]],'Store lay bao  cao'!A:B,2,0)</f>
        <v>Lấy BC</v>
      </c>
      <c r="AJ454" s="24" t="e">
        <f>VLOOKUP(Sales[[#This Row],[Associate]],'Associate Status'!B:C,2,0)</f>
        <v>#N/A</v>
      </c>
    </row>
    <row r="455" spans="1:36" x14ac:dyDescent="0.25">
      <c r="A455" s="7">
        <v>2024</v>
      </c>
      <c r="B455" s="8">
        <v>7</v>
      </c>
      <c r="C455" s="8">
        <v>30</v>
      </c>
      <c r="D455" s="8" t="s">
        <v>60</v>
      </c>
      <c r="E455" s="8" t="s">
        <v>37</v>
      </c>
      <c r="F455" s="8" t="s">
        <v>60</v>
      </c>
      <c r="G455" s="9">
        <v>20382065</v>
      </c>
      <c r="H455" s="10">
        <v>20418750.000000004</v>
      </c>
      <c r="I455" s="11">
        <v>45500</v>
      </c>
      <c r="J455" s="12">
        <v>202707</v>
      </c>
      <c r="K455" s="13" t="s">
        <v>661</v>
      </c>
      <c r="L455" s="14" t="s">
        <v>58</v>
      </c>
      <c r="M455" s="11" t="s">
        <v>15</v>
      </c>
      <c r="N455" s="14" t="s">
        <v>11</v>
      </c>
      <c r="O455" s="15">
        <v>4686</v>
      </c>
      <c r="P455" s="12">
        <v>1</v>
      </c>
      <c r="Q455" s="13" t="s">
        <v>101</v>
      </c>
      <c r="R455" s="16">
        <v>53235150</v>
      </c>
      <c r="S455" s="17">
        <v>49291806</v>
      </c>
      <c r="T455" s="12">
        <v>5</v>
      </c>
      <c r="U455" s="18">
        <v>2594306</v>
      </c>
      <c r="V455" s="19">
        <v>2801850</v>
      </c>
      <c r="W455" s="13" t="s">
        <v>135</v>
      </c>
      <c r="X455" s="14" t="s">
        <v>1753</v>
      </c>
      <c r="Y455" s="13" t="s">
        <v>183</v>
      </c>
      <c r="Z455" s="14" t="s">
        <v>1754</v>
      </c>
      <c r="AA455" s="17">
        <v>18</v>
      </c>
      <c r="AB455" s="14" t="s">
        <v>1498</v>
      </c>
      <c r="AC455" s="17">
        <v>56037000</v>
      </c>
      <c r="AD455" s="14">
        <v>550</v>
      </c>
      <c r="AE455" s="17">
        <v>51886111</v>
      </c>
      <c r="AF455" s="14" t="s">
        <v>136</v>
      </c>
      <c r="AG455" s="21" t="s">
        <v>184</v>
      </c>
      <c r="AH455" s="10">
        <v>28909741</v>
      </c>
      <c r="AI455" s="24" t="str">
        <f>VLOOKUP(Sales[[#This Row],[Store]],'Store lay bao  cao'!A:B,2,0)</f>
        <v>Lấy BC</v>
      </c>
      <c r="AJ455" s="24" t="str">
        <f>VLOOKUP(Sales[[#This Row],[Associate]],'Associate Status'!B:C,2,0)</f>
        <v>Active</v>
      </c>
    </row>
    <row r="456" spans="1:36" x14ac:dyDescent="0.25">
      <c r="A456" s="7">
        <v>2024</v>
      </c>
      <c r="B456" s="8">
        <v>7</v>
      </c>
      <c r="C456" s="8">
        <v>30</v>
      </c>
      <c r="D456" s="8" t="s">
        <v>63</v>
      </c>
      <c r="E456" s="8" t="s">
        <v>43</v>
      </c>
      <c r="F456" s="8" t="s">
        <v>63</v>
      </c>
      <c r="G456" s="9">
        <v>49760632</v>
      </c>
      <c r="H456" s="10">
        <v>49117500</v>
      </c>
      <c r="I456" s="11">
        <v>45500</v>
      </c>
      <c r="J456" s="12">
        <v>209303</v>
      </c>
      <c r="K456" s="13" t="s">
        <v>1755</v>
      </c>
      <c r="L456" s="14" t="s">
        <v>65</v>
      </c>
      <c r="M456" s="11" t="s">
        <v>17</v>
      </c>
      <c r="N456" s="14" t="s">
        <v>62</v>
      </c>
      <c r="O456" s="15">
        <v>8452</v>
      </c>
      <c r="P456" s="12">
        <v>1</v>
      </c>
      <c r="Q456" s="13" t="s">
        <v>101</v>
      </c>
      <c r="R456" s="16">
        <v>118080000</v>
      </c>
      <c r="S456" s="17">
        <v>109333333</v>
      </c>
      <c r="T456" s="12">
        <v>11.25</v>
      </c>
      <c r="U456" s="18">
        <v>13856481</v>
      </c>
      <c r="V456" s="19">
        <v>14965000</v>
      </c>
      <c r="W456" s="13" t="s">
        <v>140</v>
      </c>
      <c r="X456" s="14" t="s">
        <v>1756</v>
      </c>
      <c r="Y456" s="13" t="s">
        <v>922</v>
      </c>
      <c r="Z456" s="14" t="s">
        <v>1622</v>
      </c>
      <c r="AA456" s="17">
        <v>16</v>
      </c>
      <c r="AB456" s="14" t="s">
        <v>173</v>
      </c>
      <c r="AC456" s="17">
        <v>133045000</v>
      </c>
      <c r="AD456" s="14">
        <v>52</v>
      </c>
      <c r="AE456" s="17">
        <v>123189815</v>
      </c>
      <c r="AF456" s="14" t="s">
        <v>123</v>
      </c>
      <c r="AG456" s="20" t="s">
        <v>923</v>
      </c>
      <c r="AH456" s="10">
        <v>59572701</v>
      </c>
      <c r="AI456" s="24" t="str">
        <f>VLOOKUP(Sales[[#This Row],[Store]],'Store lay bao  cao'!A:B,2,0)</f>
        <v>Lấy BC</v>
      </c>
      <c r="AJ456" s="24" t="str">
        <f>VLOOKUP(Sales[[#This Row],[Associate]],'Associate Status'!B:C,2,0)</f>
        <v>Active</v>
      </c>
    </row>
    <row r="457" spans="1:36" x14ac:dyDescent="0.25">
      <c r="A457" s="7">
        <v>2024</v>
      </c>
      <c r="B457" s="8">
        <v>7</v>
      </c>
      <c r="C457" s="8">
        <v>30</v>
      </c>
      <c r="D457" s="8" t="s">
        <v>63</v>
      </c>
      <c r="E457" s="8" t="s">
        <v>34</v>
      </c>
      <c r="F457" s="8" t="s">
        <v>63</v>
      </c>
      <c r="G457" s="9">
        <v>100866145</v>
      </c>
      <c r="H457" s="10">
        <v>99562500</v>
      </c>
      <c r="I457" s="11">
        <v>45500</v>
      </c>
      <c r="J457" s="12">
        <v>209296</v>
      </c>
      <c r="K457" s="13" t="s">
        <v>1755</v>
      </c>
      <c r="L457" s="14" t="s">
        <v>65</v>
      </c>
      <c r="M457" s="11" t="s">
        <v>17</v>
      </c>
      <c r="N457" s="14" t="s">
        <v>62</v>
      </c>
      <c r="O457" s="15">
        <v>8452</v>
      </c>
      <c r="P457" s="12">
        <v>1</v>
      </c>
      <c r="Q457" s="13" t="s">
        <v>101</v>
      </c>
      <c r="R457" s="16">
        <v>224640000</v>
      </c>
      <c r="S457" s="17">
        <v>208000000</v>
      </c>
      <c r="T457" s="12">
        <v>11.25</v>
      </c>
      <c r="U457" s="18">
        <v>26361111</v>
      </c>
      <c r="V457" s="19">
        <v>28470000</v>
      </c>
      <c r="W457" s="13" t="s">
        <v>140</v>
      </c>
      <c r="X457" s="14" t="s">
        <v>1757</v>
      </c>
      <c r="Y457" s="13" t="s">
        <v>922</v>
      </c>
      <c r="Z457" s="14" t="s">
        <v>1758</v>
      </c>
      <c r="AA457" s="17">
        <v>16</v>
      </c>
      <c r="AB457" s="14" t="s">
        <v>173</v>
      </c>
      <c r="AC457" s="17">
        <v>253110000</v>
      </c>
      <c r="AD457" s="14" t="s">
        <v>108</v>
      </c>
      <c r="AE457" s="17">
        <v>234361111</v>
      </c>
      <c r="AF457" s="14" t="s">
        <v>123</v>
      </c>
      <c r="AG457" s="21" t="s">
        <v>923</v>
      </c>
      <c r="AH457" s="10">
        <v>107133855</v>
      </c>
      <c r="AI457" s="24" t="str">
        <f>VLOOKUP(Sales[[#This Row],[Store]],'Store lay bao  cao'!A:B,2,0)</f>
        <v>Lấy BC</v>
      </c>
      <c r="AJ457" s="24" t="str">
        <f>VLOOKUP(Sales[[#This Row],[Associate]],'Associate Status'!B:C,2,0)</f>
        <v>Active</v>
      </c>
    </row>
    <row r="458" spans="1:36" x14ac:dyDescent="0.25">
      <c r="A458" s="7">
        <v>2024</v>
      </c>
      <c r="B458" s="8">
        <v>7</v>
      </c>
      <c r="C458" s="8">
        <v>30</v>
      </c>
      <c r="D458" s="8" t="s">
        <v>60</v>
      </c>
      <c r="E458" s="8" t="s">
        <v>37</v>
      </c>
      <c r="F458" s="8" t="s">
        <v>60</v>
      </c>
      <c r="G458" s="9">
        <v>-20382065</v>
      </c>
      <c r="H458" s="10">
        <v>-20418750.000000004</v>
      </c>
      <c r="I458" s="11">
        <v>45501</v>
      </c>
      <c r="J458" s="12">
        <v>202707</v>
      </c>
      <c r="K458" s="13" t="s">
        <v>662</v>
      </c>
      <c r="L458" s="14" t="s">
        <v>58</v>
      </c>
      <c r="M458" s="11" t="s">
        <v>15</v>
      </c>
      <c r="N458" s="14" t="s">
        <v>11</v>
      </c>
      <c r="O458" s="15">
        <v>4690</v>
      </c>
      <c r="P458" s="12">
        <v>-1</v>
      </c>
      <c r="Q458" s="13" t="s">
        <v>156</v>
      </c>
      <c r="R458" s="16">
        <v>-53235150</v>
      </c>
      <c r="S458" s="17">
        <v>-49291806</v>
      </c>
      <c r="T458" s="12">
        <v>5</v>
      </c>
      <c r="U458" s="18">
        <v>-2594306</v>
      </c>
      <c r="V458" s="19">
        <v>-2801850</v>
      </c>
      <c r="W458" s="13" t="s">
        <v>135</v>
      </c>
      <c r="X458" s="14" t="s">
        <v>1753</v>
      </c>
      <c r="Y458" s="13" t="s">
        <v>183</v>
      </c>
      <c r="Z458" s="14" t="s">
        <v>1754</v>
      </c>
      <c r="AA458" s="17">
        <v>11</v>
      </c>
      <c r="AB458" s="14" t="s">
        <v>1498</v>
      </c>
      <c r="AC458" s="17">
        <v>-56037000</v>
      </c>
      <c r="AD458" s="14">
        <v>550</v>
      </c>
      <c r="AE458" s="17">
        <v>-51886111</v>
      </c>
      <c r="AF458" s="14" t="s">
        <v>136</v>
      </c>
      <c r="AG458" s="20" t="s">
        <v>184</v>
      </c>
      <c r="AH458" s="10">
        <v>-28909741</v>
      </c>
      <c r="AI458" s="24" t="str">
        <f>VLOOKUP(Sales[[#This Row],[Store]],'Store lay bao  cao'!A:B,2,0)</f>
        <v>Lấy BC</v>
      </c>
      <c r="AJ458" s="24" t="str">
        <f>VLOOKUP(Sales[[#This Row],[Associate]],'Associate Status'!B:C,2,0)</f>
        <v>Active</v>
      </c>
    </row>
    <row r="459" spans="1:36" x14ac:dyDescent="0.25">
      <c r="A459" s="7">
        <v>2024</v>
      </c>
      <c r="B459" s="8">
        <v>7</v>
      </c>
      <c r="C459" s="8">
        <v>30</v>
      </c>
      <c r="D459" s="8" t="s">
        <v>60</v>
      </c>
      <c r="E459" s="8" t="s">
        <v>37</v>
      </c>
      <c r="F459" s="8" t="s">
        <v>60</v>
      </c>
      <c r="G459" s="9">
        <v>20382065</v>
      </c>
      <c r="H459" s="10">
        <v>20418750.000000004</v>
      </c>
      <c r="I459" s="11">
        <v>45501</v>
      </c>
      <c r="J459" s="12">
        <v>202707</v>
      </c>
      <c r="K459" s="13" t="s">
        <v>662</v>
      </c>
      <c r="L459" s="14" t="s">
        <v>58</v>
      </c>
      <c r="M459" s="11" t="s">
        <v>15</v>
      </c>
      <c r="N459" s="14" t="s">
        <v>11</v>
      </c>
      <c r="O459" s="15">
        <v>4690</v>
      </c>
      <c r="P459" s="12">
        <v>1</v>
      </c>
      <c r="Q459" s="13" t="s">
        <v>156</v>
      </c>
      <c r="R459" s="16">
        <v>53235150</v>
      </c>
      <c r="S459" s="17">
        <v>49291806</v>
      </c>
      <c r="T459" s="12">
        <v>5</v>
      </c>
      <c r="U459" s="18">
        <v>2594306</v>
      </c>
      <c r="V459" s="19">
        <v>2801850</v>
      </c>
      <c r="W459" s="13" t="s">
        <v>135</v>
      </c>
      <c r="X459" s="14" t="s">
        <v>1753</v>
      </c>
      <c r="Y459" s="13" t="s">
        <v>183</v>
      </c>
      <c r="Z459" s="14" t="s">
        <v>1754</v>
      </c>
      <c r="AA459" s="17">
        <v>11</v>
      </c>
      <c r="AB459" s="14" t="s">
        <v>1498</v>
      </c>
      <c r="AC459" s="17">
        <v>56037000</v>
      </c>
      <c r="AD459" s="14">
        <v>550</v>
      </c>
      <c r="AE459" s="17">
        <v>51886111</v>
      </c>
      <c r="AF459" s="14" t="s">
        <v>106</v>
      </c>
      <c r="AG459" s="21" t="s">
        <v>184</v>
      </c>
      <c r="AH459" s="10">
        <v>28909741</v>
      </c>
      <c r="AI459" s="24" t="str">
        <f>VLOOKUP(Sales[[#This Row],[Store]],'Store lay bao  cao'!A:B,2,0)</f>
        <v>Lấy BC</v>
      </c>
      <c r="AJ459" s="24" t="str">
        <f>VLOOKUP(Sales[[#This Row],[Associate]],'Associate Status'!B:C,2,0)</f>
        <v>Active</v>
      </c>
    </row>
    <row r="460" spans="1:36" x14ac:dyDescent="0.25">
      <c r="A460" s="7">
        <v>2024</v>
      </c>
      <c r="B460" s="8">
        <v>7</v>
      </c>
      <c r="C460" s="8">
        <v>31</v>
      </c>
      <c r="D460" s="8" t="s">
        <v>60</v>
      </c>
      <c r="E460" s="8" t="s">
        <v>43</v>
      </c>
      <c r="F460" s="8" t="s">
        <v>60</v>
      </c>
      <c r="G460" s="9">
        <v>4288646</v>
      </c>
      <c r="H460" s="10">
        <v>3990000</v>
      </c>
      <c r="I460" s="11">
        <v>45503</v>
      </c>
      <c r="J460" s="12">
        <v>208259</v>
      </c>
      <c r="K460" s="13" t="s">
        <v>1759</v>
      </c>
      <c r="L460" s="14" t="s">
        <v>50</v>
      </c>
      <c r="M460" s="11" t="s">
        <v>21</v>
      </c>
      <c r="N460" s="14" t="s">
        <v>11</v>
      </c>
      <c r="O460" s="15">
        <v>7348</v>
      </c>
      <c r="P460" s="12">
        <v>1</v>
      </c>
      <c r="Q460" s="13" t="s">
        <v>101</v>
      </c>
      <c r="R460" s="16">
        <v>12768000</v>
      </c>
      <c r="S460" s="17">
        <v>11822222</v>
      </c>
      <c r="T460" s="12">
        <v>0</v>
      </c>
      <c r="U460" s="18">
        <v>0</v>
      </c>
      <c r="V460" s="19">
        <v>0</v>
      </c>
      <c r="W460" s="13" t="s">
        <v>160</v>
      </c>
      <c r="X460" s="14" t="s">
        <v>1760</v>
      </c>
      <c r="Y460" s="13" t="s">
        <v>922</v>
      </c>
      <c r="Z460" s="14" t="s">
        <v>1761</v>
      </c>
      <c r="AA460" s="17">
        <v>11</v>
      </c>
      <c r="AB460" s="14" t="s">
        <v>886</v>
      </c>
      <c r="AC460" s="17">
        <v>12768000</v>
      </c>
      <c r="AD460" s="14">
        <v>11</v>
      </c>
      <c r="AE460" s="17">
        <v>11822222</v>
      </c>
      <c r="AF460" s="14" t="s">
        <v>379</v>
      </c>
      <c r="AG460" s="20" t="s">
        <v>923</v>
      </c>
      <c r="AH460" s="10">
        <v>7533576</v>
      </c>
      <c r="AI460" s="24" t="str">
        <f>VLOOKUP(Sales[[#This Row],[Store]],'Store lay bao  cao'!A:B,2,0)</f>
        <v>Lấy BC</v>
      </c>
      <c r="AJ460" s="24" t="str">
        <f>VLOOKUP(Sales[[#This Row],[Associate]],'Associate Status'!B:C,2,0)</f>
        <v>Retired</v>
      </c>
    </row>
    <row r="461" spans="1:36" x14ac:dyDescent="0.25">
      <c r="A461" s="7">
        <v>2024</v>
      </c>
      <c r="B461" s="8">
        <v>8</v>
      </c>
      <c r="C461" s="8">
        <v>31</v>
      </c>
      <c r="D461" s="8" t="s">
        <v>66</v>
      </c>
      <c r="E461" s="8" t="s">
        <v>43</v>
      </c>
      <c r="F461" s="8" t="s">
        <v>66</v>
      </c>
      <c r="G461" s="9">
        <v>35665636</v>
      </c>
      <c r="H461" s="10">
        <v>34647750</v>
      </c>
      <c r="I461" s="11">
        <v>45505</v>
      </c>
      <c r="J461" s="12">
        <v>210744</v>
      </c>
      <c r="K461" s="13" t="s">
        <v>671</v>
      </c>
      <c r="L461" s="14" t="s">
        <v>65</v>
      </c>
      <c r="M461" s="11" t="s">
        <v>15</v>
      </c>
      <c r="N461" s="14" t="s">
        <v>62</v>
      </c>
      <c r="O461" s="15">
        <v>4713</v>
      </c>
      <c r="P461" s="12">
        <v>1</v>
      </c>
      <c r="Q461" s="13" t="s">
        <v>175</v>
      </c>
      <c r="R461" s="16">
        <v>85635550</v>
      </c>
      <c r="S461" s="17">
        <v>79292176</v>
      </c>
      <c r="T461" s="12">
        <v>9</v>
      </c>
      <c r="U461" s="18">
        <v>7842083</v>
      </c>
      <c r="V461" s="19">
        <v>8469450</v>
      </c>
      <c r="W461" s="13" t="s">
        <v>135</v>
      </c>
      <c r="X461" s="14" t="s">
        <v>1762</v>
      </c>
      <c r="Y461" s="13" t="s">
        <v>183</v>
      </c>
      <c r="Z461" s="14" t="s">
        <v>1763</v>
      </c>
      <c r="AA461" s="17">
        <v>16</v>
      </c>
      <c r="AB461" s="14" t="s">
        <v>1764</v>
      </c>
      <c r="AC461" s="17">
        <v>94105000</v>
      </c>
      <c r="AD461" s="14" t="s">
        <v>108</v>
      </c>
      <c r="AE461" s="17">
        <v>87134259</v>
      </c>
      <c r="AF461" s="14" t="s">
        <v>117</v>
      </c>
      <c r="AG461" s="21" t="s">
        <v>184</v>
      </c>
      <c r="AH461" s="10">
        <v>43626540</v>
      </c>
      <c r="AI461" s="24" t="str">
        <f>VLOOKUP(Sales[[#This Row],[Store]],'Store lay bao  cao'!A:B,2,0)</f>
        <v>Lấy BC</v>
      </c>
      <c r="AJ461" s="24" t="str">
        <f>VLOOKUP(Sales[[#This Row],[Associate]],'Associate Status'!B:C,2,0)</f>
        <v>Retired</v>
      </c>
    </row>
    <row r="462" spans="1:36" x14ac:dyDescent="0.25">
      <c r="A462" s="7">
        <v>2024</v>
      </c>
      <c r="B462" s="8">
        <v>8</v>
      </c>
      <c r="C462" s="8">
        <v>31</v>
      </c>
      <c r="D462" s="8" t="s">
        <v>66</v>
      </c>
      <c r="E462" s="8" t="s">
        <v>43</v>
      </c>
      <c r="F462" s="8" t="s">
        <v>66</v>
      </c>
      <c r="G462" s="9">
        <v>177098333</v>
      </c>
      <c r="H462" s="10">
        <v>172044000</v>
      </c>
      <c r="I462" s="11">
        <v>45505</v>
      </c>
      <c r="J462" s="12">
        <v>210745</v>
      </c>
      <c r="K462" s="13" t="s">
        <v>671</v>
      </c>
      <c r="L462" s="14" t="s">
        <v>65</v>
      </c>
      <c r="M462" s="11" t="s">
        <v>15</v>
      </c>
      <c r="N462" s="14" t="s">
        <v>62</v>
      </c>
      <c r="O462" s="15">
        <v>4713</v>
      </c>
      <c r="P462" s="12">
        <v>1</v>
      </c>
      <c r="Q462" s="13" t="s">
        <v>175</v>
      </c>
      <c r="R462" s="16">
        <v>425224800</v>
      </c>
      <c r="S462" s="17">
        <v>393726667</v>
      </c>
      <c r="T462" s="12">
        <v>9</v>
      </c>
      <c r="U462" s="18">
        <v>38940000</v>
      </c>
      <c r="V462" s="19">
        <v>42055200</v>
      </c>
      <c r="W462" s="13" t="s">
        <v>135</v>
      </c>
      <c r="X462" s="14" t="s">
        <v>1762</v>
      </c>
      <c r="Y462" s="13" t="s">
        <v>183</v>
      </c>
      <c r="Z462" s="14" t="s">
        <v>1765</v>
      </c>
      <c r="AA462" s="17">
        <v>16</v>
      </c>
      <c r="AB462" s="14" t="s">
        <v>1764</v>
      </c>
      <c r="AC462" s="17">
        <v>467280000</v>
      </c>
      <c r="AD462" s="14" t="s">
        <v>108</v>
      </c>
      <c r="AE462" s="17">
        <v>432666667</v>
      </c>
      <c r="AF462" s="14" t="s">
        <v>117</v>
      </c>
      <c r="AG462" s="20" t="s">
        <v>184</v>
      </c>
      <c r="AH462" s="10">
        <v>216628334</v>
      </c>
      <c r="AI462" s="24" t="str">
        <f>VLOOKUP(Sales[[#This Row],[Store]],'Store lay bao  cao'!A:B,2,0)</f>
        <v>Lấy BC</v>
      </c>
      <c r="AJ462" s="24" t="str">
        <f>VLOOKUP(Sales[[#This Row],[Associate]],'Associate Status'!B:C,2,0)</f>
        <v>Retired</v>
      </c>
    </row>
    <row r="463" spans="1:36" x14ac:dyDescent="0.25">
      <c r="A463" s="7">
        <v>2024</v>
      </c>
      <c r="B463" s="8">
        <v>8</v>
      </c>
      <c r="C463" s="8">
        <v>31</v>
      </c>
      <c r="D463" s="8" t="s">
        <v>66</v>
      </c>
      <c r="E463" s="8" t="s">
        <v>34</v>
      </c>
      <c r="F463" s="8" t="s">
        <v>66</v>
      </c>
      <c r="G463" s="9">
        <v>106996908</v>
      </c>
      <c r="H463" s="10">
        <v>103943250</v>
      </c>
      <c r="I463" s="11">
        <v>45505</v>
      </c>
      <c r="J463" s="12">
        <v>210747</v>
      </c>
      <c r="K463" s="13" t="s">
        <v>671</v>
      </c>
      <c r="L463" s="14" t="s">
        <v>65</v>
      </c>
      <c r="M463" s="11" t="s">
        <v>15</v>
      </c>
      <c r="N463" s="14" t="s">
        <v>62</v>
      </c>
      <c r="O463" s="15">
        <v>4713</v>
      </c>
      <c r="P463" s="12">
        <v>1</v>
      </c>
      <c r="Q463" s="13" t="s">
        <v>175</v>
      </c>
      <c r="R463" s="16">
        <v>256906650</v>
      </c>
      <c r="S463" s="17">
        <v>237876528</v>
      </c>
      <c r="T463" s="12">
        <v>9</v>
      </c>
      <c r="U463" s="18">
        <v>23526250</v>
      </c>
      <c r="V463" s="19">
        <v>25408350</v>
      </c>
      <c r="W463" s="13" t="s">
        <v>135</v>
      </c>
      <c r="X463" s="14" t="s">
        <v>1766</v>
      </c>
      <c r="Y463" s="13" t="s">
        <v>183</v>
      </c>
      <c r="Z463" s="14" t="s">
        <v>1767</v>
      </c>
      <c r="AA463" s="17">
        <v>16</v>
      </c>
      <c r="AB463" s="14" t="s">
        <v>1764</v>
      </c>
      <c r="AC463" s="17">
        <v>282315000</v>
      </c>
      <c r="AD463" s="14" t="s">
        <v>108</v>
      </c>
      <c r="AE463" s="17">
        <v>261402778</v>
      </c>
      <c r="AF463" s="14" t="s">
        <v>117</v>
      </c>
      <c r="AG463" s="21" t="s">
        <v>184</v>
      </c>
      <c r="AH463" s="10">
        <v>130879620</v>
      </c>
      <c r="AI463" s="24" t="str">
        <f>VLOOKUP(Sales[[#This Row],[Store]],'Store lay bao  cao'!A:B,2,0)</f>
        <v>Lấy BC</v>
      </c>
      <c r="AJ463" s="24" t="str">
        <f>VLOOKUP(Sales[[#This Row],[Associate]],'Associate Status'!B:C,2,0)</f>
        <v>Retired</v>
      </c>
    </row>
    <row r="464" spans="1:36" x14ac:dyDescent="0.25">
      <c r="A464" s="7">
        <v>2024</v>
      </c>
      <c r="B464" s="8">
        <v>8</v>
      </c>
      <c r="C464" s="8">
        <v>31</v>
      </c>
      <c r="D464" s="8" t="s">
        <v>66</v>
      </c>
      <c r="E464" s="8" t="s">
        <v>34</v>
      </c>
      <c r="F464" s="8" t="s">
        <v>66</v>
      </c>
      <c r="G464" s="9">
        <v>227522162</v>
      </c>
      <c r="H464" s="10">
        <v>221028750</v>
      </c>
      <c r="I464" s="11">
        <v>45505</v>
      </c>
      <c r="J464" s="12">
        <v>210748</v>
      </c>
      <c r="K464" s="13" t="s">
        <v>671</v>
      </c>
      <c r="L464" s="14" t="s">
        <v>65</v>
      </c>
      <c r="M464" s="11" t="s">
        <v>15</v>
      </c>
      <c r="N464" s="14" t="s">
        <v>62</v>
      </c>
      <c r="O464" s="15">
        <v>4713</v>
      </c>
      <c r="P464" s="12">
        <v>1</v>
      </c>
      <c r="Q464" s="13" t="s">
        <v>175</v>
      </c>
      <c r="R464" s="16">
        <v>546295750</v>
      </c>
      <c r="S464" s="17">
        <v>505829398</v>
      </c>
      <c r="T464" s="12">
        <v>9</v>
      </c>
      <c r="U464" s="18">
        <v>50027083</v>
      </c>
      <c r="V464" s="19">
        <v>54029250</v>
      </c>
      <c r="W464" s="13" t="s">
        <v>135</v>
      </c>
      <c r="X464" s="14" t="s">
        <v>1766</v>
      </c>
      <c r="Y464" s="13" t="s">
        <v>183</v>
      </c>
      <c r="Z464" s="14" t="s">
        <v>1768</v>
      </c>
      <c r="AA464" s="17">
        <v>16</v>
      </c>
      <c r="AB464" s="14" t="s">
        <v>1764</v>
      </c>
      <c r="AC464" s="17">
        <v>600325000</v>
      </c>
      <c r="AD464" s="14" t="s">
        <v>108</v>
      </c>
      <c r="AE464" s="17">
        <v>555856481</v>
      </c>
      <c r="AF464" s="14" t="s">
        <v>117</v>
      </c>
      <c r="AG464" s="20" t="s">
        <v>184</v>
      </c>
      <c r="AH464" s="10">
        <v>278307236</v>
      </c>
      <c r="AI464" s="24" t="str">
        <f>VLOOKUP(Sales[[#This Row],[Store]],'Store lay bao  cao'!A:B,2,0)</f>
        <v>Lấy BC</v>
      </c>
      <c r="AJ464" s="24" t="str">
        <f>VLOOKUP(Sales[[#This Row],[Associate]],'Associate Status'!B:C,2,0)</f>
        <v>Retired</v>
      </c>
    </row>
    <row r="465" spans="1:36" x14ac:dyDescent="0.25">
      <c r="A465" s="7">
        <v>2024</v>
      </c>
      <c r="B465" s="8">
        <v>8</v>
      </c>
      <c r="C465" s="8">
        <v>31</v>
      </c>
      <c r="D465" s="8" t="s">
        <v>66</v>
      </c>
      <c r="E465" s="8" t="s">
        <v>53</v>
      </c>
      <c r="F465" s="8" t="s">
        <v>66</v>
      </c>
      <c r="G465" s="9">
        <v>133747502</v>
      </c>
      <c r="H465" s="10">
        <v>129930390</v>
      </c>
      <c r="I465" s="11">
        <v>45505</v>
      </c>
      <c r="J465" s="12">
        <v>210756</v>
      </c>
      <c r="K465" s="13" t="s">
        <v>671</v>
      </c>
      <c r="L465" s="14" t="s">
        <v>65</v>
      </c>
      <c r="M465" s="11" t="s">
        <v>15</v>
      </c>
      <c r="N465" s="14" t="s">
        <v>62</v>
      </c>
      <c r="O465" s="15">
        <v>4713</v>
      </c>
      <c r="P465" s="12">
        <v>1</v>
      </c>
      <c r="Q465" s="13" t="s">
        <v>175</v>
      </c>
      <c r="R465" s="16">
        <v>291939830</v>
      </c>
      <c r="S465" s="17">
        <v>270314657</v>
      </c>
      <c r="T465" s="12">
        <v>9</v>
      </c>
      <c r="U465" s="18">
        <v>26734417</v>
      </c>
      <c r="V465" s="19">
        <v>28873170</v>
      </c>
      <c r="W465" s="13" t="s">
        <v>135</v>
      </c>
      <c r="X465" s="14" t="s">
        <v>1769</v>
      </c>
      <c r="Y465" s="13" t="s">
        <v>183</v>
      </c>
      <c r="Z465" s="14" t="s">
        <v>1770</v>
      </c>
      <c r="AA465" s="17">
        <v>16</v>
      </c>
      <c r="AB465" s="14" t="s">
        <v>1771</v>
      </c>
      <c r="AC465" s="17">
        <v>320813000</v>
      </c>
      <c r="AD465" s="14" t="s">
        <v>108</v>
      </c>
      <c r="AE465" s="17">
        <v>297049074</v>
      </c>
      <c r="AF465" s="14" t="s">
        <v>117</v>
      </c>
      <c r="AG465" s="21" t="s">
        <v>184</v>
      </c>
      <c r="AH465" s="10">
        <v>136567155</v>
      </c>
      <c r="AI465" s="24" t="str">
        <f>VLOOKUP(Sales[[#This Row],[Store]],'Store lay bao  cao'!A:B,2,0)</f>
        <v>Lấy BC</v>
      </c>
      <c r="AJ465" s="24" t="str">
        <f>VLOOKUP(Sales[[#This Row],[Associate]],'Associate Status'!B:C,2,0)</f>
        <v>Retired</v>
      </c>
    </row>
    <row r="466" spans="1:36" x14ac:dyDescent="0.25">
      <c r="A466" s="7">
        <v>2024</v>
      </c>
      <c r="B466" s="8">
        <v>8</v>
      </c>
      <c r="C466" s="8">
        <v>31</v>
      </c>
      <c r="D466" s="8" t="s">
        <v>66</v>
      </c>
      <c r="E466" s="8" t="s">
        <v>53</v>
      </c>
      <c r="F466" s="8" t="s">
        <v>66</v>
      </c>
      <c r="G466" s="9">
        <v>82461865</v>
      </c>
      <c r="H466" s="10">
        <v>80108430</v>
      </c>
      <c r="I466" s="11">
        <v>45505</v>
      </c>
      <c r="J466" s="12">
        <v>210757</v>
      </c>
      <c r="K466" s="13" t="s">
        <v>671</v>
      </c>
      <c r="L466" s="14" t="s">
        <v>65</v>
      </c>
      <c r="M466" s="11" t="s">
        <v>15</v>
      </c>
      <c r="N466" s="14" t="s">
        <v>62</v>
      </c>
      <c r="O466" s="15">
        <v>4713</v>
      </c>
      <c r="P466" s="12">
        <v>1</v>
      </c>
      <c r="Q466" s="13" t="s">
        <v>175</v>
      </c>
      <c r="R466" s="16">
        <v>228182500</v>
      </c>
      <c r="S466" s="17">
        <v>211280093</v>
      </c>
      <c r="T466" s="12">
        <v>9</v>
      </c>
      <c r="U466" s="18">
        <v>20895833</v>
      </c>
      <c r="V466" s="19">
        <v>22567500</v>
      </c>
      <c r="W466" s="13" t="s">
        <v>135</v>
      </c>
      <c r="X466" s="14" t="s">
        <v>1769</v>
      </c>
      <c r="Y466" s="13" t="s">
        <v>183</v>
      </c>
      <c r="Z466" s="14" t="s">
        <v>1772</v>
      </c>
      <c r="AA466" s="17">
        <v>16</v>
      </c>
      <c r="AB466" s="14" t="s">
        <v>1773</v>
      </c>
      <c r="AC466" s="17">
        <v>250750000</v>
      </c>
      <c r="AD466" s="14" t="s">
        <v>108</v>
      </c>
      <c r="AE466" s="17">
        <v>232175926</v>
      </c>
      <c r="AF466" s="14" t="s">
        <v>117</v>
      </c>
      <c r="AG466" s="20" t="s">
        <v>184</v>
      </c>
      <c r="AH466" s="10">
        <v>128818228</v>
      </c>
      <c r="AI466" s="24" t="str">
        <f>VLOOKUP(Sales[[#This Row],[Store]],'Store lay bao  cao'!A:B,2,0)</f>
        <v>Lấy BC</v>
      </c>
      <c r="AJ466" s="24" t="str">
        <f>VLOOKUP(Sales[[#This Row],[Associate]],'Associate Status'!B:C,2,0)</f>
        <v>Retired</v>
      </c>
    </row>
    <row r="467" spans="1:36" x14ac:dyDescent="0.25">
      <c r="A467" s="7">
        <v>2024</v>
      </c>
      <c r="B467" s="8">
        <v>8</v>
      </c>
      <c r="C467" s="8">
        <v>31</v>
      </c>
      <c r="D467" s="8" t="s">
        <v>66</v>
      </c>
      <c r="E467" s="8" t="s">
        <v>53</v>
      </c>
      <c r="F467" s="8" t="s">
        <v>66</v>
      </c>
      <c r="G467" s="9">
        <v>37818024</v>
      </c>
      <c r="H467" s="10">
        <v>36738562.5</v>
      </c>
      <c r="I467" s="11">
        <v>45505</v>
      </c>
      <c r="J467" s="12">
        <v>210758</v>
      </c>
      <c r="K467" s="13" t="s">
        <v>671</v>
      </c>
      <c r="L467" s="14" t="s">
        <v>65</v>
      </c>
      <c r="M467" s="11" t="s">
        <v>15</v>
      </c>
      <c r="N467" s="14" t="s">
        <v>62</v>
      </c>
      <c r="O467" s="15">
        <v>4713</v>
      </c>
      <c r="P467" s="12">
        <v>1</v>
      </c>
      <c r="Q467" s="13" t="s">
        <v>175</v>
      </c>
      <c r="R467" s="16">
        <v>99998080</v>
      </c>
      <c r="S467" s="17">
        <v>92590815</v>
      </c>
      <c r="T467" s="12">
        <v>9</v>
      </c>
      <c r="U467" s="18">
        <v>9157333</v>
      </c>
      <c r="V467" s="19">
        <v>9889920</v>
      </c>
      <c r="W467" s="13" t="s">
        <v>135</v>
      </c>
      <c r="X467" s="14" t="s">
        <v>1769</v>
      </c>
      <c r="Y467" s="13" t="s">
        <v>183</v>
      </c>
      <c r="Z467" s="14" t="s">
        <v>1774</v>
      </c>
      <c r="AA467" s="17">
        <v>16</v>
      </c>
      <c r="AB467" s="14" t="s">
        <v>1771</v>
      </c>
      <c r="AC467" s="17">
        <v>109888000</v>
      </c>
      <c r="AD467" s="14" t="s">
        <v>108</v>
      </c>
      <c r="AE467" s="17">
        <v>101748148</v>
      </c>
      <c r="AF467" s="14" t="s">
        <v>117</v>
      </c>
      <c r="AG467" s="21" t="s">
        <v>184</v>
      </c>
      <c r="AH467" s="10">
        <v>54772791</v>
      </c>
      <c r="AI467" s="24" t="str">
        <f>VLOOKUP(Sales[[#This Row],[Store]],'Store lay bao  cao'!A:B,2,0)</f>
        <v>Lấy BC</v>
      </c>
      <c r="AJ467" s="24" t="str">
        <f>VLOOKUP(Sales[[#This Row],[Associate]],'Associate Status'!B:C,2,0)</f>
        <v>Retired</v>
      </c>
    </row>
    <row r="468" spans="1:36" x14ac:dyDescent="0.25">
      <c r="A468" s="7">
        <v>2024</v>
      </c>
      <c r="B468" s="8">
        <v>8</v>
      </c>
      <c r="C468" s="8">
        <v>31</v>
      </c>
      <c r="D468" s="8" t="s">
        <v>66</v>
      </c>
      <c r="E468" s="8" t="s">
        <v>43</v>
      </c>
      <c r="F468" s="8" t="s">
        <v>66</v>
      </c>
      <c r="G468" s="9">
        <v>50423830</v>
      </c>
      <c r="H468" s="10">
        <v>48984750</v>
      </c>
      <c r="I468" s="11">
        <v>45505</v>
      </c>
      <c r="J468" s="12">
        <v>210759</v>
      </c>
      <c r="K468" s="13" t="s">
        <v>671</v>
      </c>
      <c r="L468" s="14" t="s">
        <v>65</v>
      </c>
      <c r="M468" s="11" t="s">
        <v>15</v>
      </c>
      <c r="N468" s="14" t="s">
        <v>62</v>
      </c>
      <c r="O468" s="15">
        <v>4713</v>
      </c>
      <c r="P468" s="12">
        <v>1</v>
      </c>
      <c r="Q468" s="13" t="s">
        <v>175</v>
      </c>
      <c r="R468" s="16">
        <v>121070950</v>
      </c>
      <c r="S468" s="17">
        <v>112102731</v>
      </c>
      <c r="T468" s="12">
        <v>9</v>
      </c>
      <c r="U468" s="18">
        <v>11087083</v>
      </c>
      <c r="V468" s="19">
        <v>11974050</v>
      </c>
      <c r="W468" s="13" t="s">
        <v>135</v>
      </c>
      <c r="X468" s="14" t="s">
        <v>1775</v>
      </c>
      <c r="Y468" s="13" t="s">
        <v>183</v>
      </c>
      <c r="Z468" s="14" t="s">
        <v>1776</v>
      </c>
      <c r="AA468" s="17">
        <v>16</v>
      </c>
      <c r="AB468" s="14" t="s">
        <v>1771</v>
      </c>
      <c r="AC468" s="17">
        <v>133045000</v>
      </c>
      <c r="AD468" s="14">
        <v>53</v>
      </c>
      <c r="AE468" s="17">
        <v>123189815</v>
      </c>
      <c r="AF468" s="14" t="s">
        <v>117</v>
      </c>
      <c r="AG468" s="20" t="s">
        <v>184</v>
      </c>
      <c r="AH468" s="10">
        <v>61678901</v>
      </c>
      <c r="AI468" s="24" t="str">
        <f>VLOOKUP(Sales[[#This Row],[Store]],'Store lay bao  cao'!A:B,2,0)</f>
        <v>Lấy BC</v>
      </c>
      <c r="AJ468" s="24" t="str">
        <f>VLOOKUP(Sales[[#This Row],[Associate]],'Associate Status'!B:C,2,0)</f>
        <v>Retired</v>
      </c>
    </row>
    <row r="469" spans="1:36" x14ac:dyDescent="0.25">
      <c r="A469" s="7">
        <v>2024</v>
      </c>
      <c r="B469" s="8">
        <v>8</v>
      </c>
      <c r="C469" s="8">
        <v>31</v>
      </c>
      <c r="D469" s="8" t="s">
        <v>52</v>
      </c>
      <c r="E469" s="8" t="s">
        <v>37</v>
      </c>
      <c r="F469" s="8" t="s">
        <v>52</v>
      </c>
      <c r="G469" s="9">
        <v>2098346</v>
      </c>
      <c r="H469" s="10">
        <v>1890000</v>
      </c>
      <c r="I469" s="11">
        <v>45505</v>
      </c>
      <c r="J469" s="12">
        <v>182223</v>
      </c>
      <c r="K469" s="13" t="s">
        <v>1777</v>
      </c>
      <c r="L469" s="14" t="s">
        <v>50</v>
      </c>
      <c r="M469" s="11" t="s">
        <v>15</v>
      </c>
      <c r="N469" s="14" t="s">
        <v>11</v>
      </c>
      <c r="O469" s="15">
        <v>4714</v>
      </c>
      <c r="P469" s="12">
        <v>1</v>
      </c>
      <c r="Q469" s="13" t="s">
        <v>101</v>
      </c>
      <c r="R469" s="16">
        <v>6048000</v>
      </c>
      <c r="S469" s="17">
        <v>5600000</v>
      </c>
      <c r="T469" s="12">
        <v>0</v>
      </c>
      <c r="U469" s="18">
        <v>0</v>
      </c>
      <c r="V469" s="19">
        <v>0</v>
      </c>
      <c r="W469" s="13" t="s">
        <v>135</v>
      </c>
      <c r="X469" s="14" t="s">
        <v>1778</v>
      </c>
      <c r="Y469" s="13" t="s">
        <v>196</v>
      </c>
      <c r="Z469" s="14" t="s">
        <v>1779</v>
      </c>
      <c r="AA469" s="17">
        <v>18</v>
      </c>
      <c r="AB469" s="14" t="s">
        <v>1075</v>
      </c>
      <c r="AC469" s="17">
        <v>6048000</v>
      </c>
      <c r="AD469" s="14" t="s">
        <v>108</v>
      </c>
      <c r="AE469" s="17">
        <v>5600000</v>
      </c>
      <c r="AF469" s="14" t="s">
        <v>1221</v>
      </c>
      <c r="AG469" s="21" t="s">
        <v>197</v>
      </c>
      <c r="AH469" s="10">
        <v>3501654</v>
      </c>
      <c r="AI469" s="24" t="str">
        <f>VLOOKUP(Sales[[#This Row],[Store]],'Store lay bao  cao'!A:B,2,0)</f>
        <v>Lấy BC</v>
      </c>
      <c r="AJ469" s="24" t="str">
        <f>VLOOKUP(Sales[[#This Row],[Associate]],'Associate Status'!B:C,2,0)</f>
        <v>Retired</v>
      </c>
    </row>
    <row r="470" spans="1:36" x14ac:dyDescent="0.25">
      <c r="A470" s="7">
        <v>2024</v>
      </c>
      <c r="B470" s="8">
        <v>8</v>
      </c>
      <c r="C470" s="8">
        <v>31</v>
      </c>
      <c r="D470" s="8" t="s">
        <v>60</v>
      </c>
      <c r="E470" s="8" t="s">
        <v>37</v>
      </c>
      <c r="F470" s="8" t="s">
        <v>60</v>
      </c>
      <c r="G470" s="9">
        <v>2334268</v>
      </c>
      <c r="H470" s="10">
        <v>1744199.9999999998</v>
      </c>
      <c r="I470" s="11">
        <v>45505</v>
      </c>
      <c r="J470" s="12">
        <v>202782</v>
      </c>
      <c r="K470" s="13" t="s">
        <v>1777</v>
      </c>
      <c r="L470" s="14" t="s">
        <v>19</v>
      </c>
      <c r="M470" s="11" t="s">
        <v>15</v>
      </c>
      <c r="N470" s="14" t="s">
        <v>62</v>
      </c>
      <c r="O470" s="15">
        <v>4714</v>
      </c>
      <c r="P470" s="12">
        <v>1</v>
      </c>
      <c r="Q470" s="13" t="s">
        <v>101</v>
      </c>
      <c r="R470" s="16">
        <v>5780000</v>
      </c>
      <c r="S470" s="17">
        <v>5351852</v>
      </c>
      <c r="T470" s="12">
        <v>0</v>
      </c>
      <c r="U470" s="18">
        <v>0</v>
      </c>
      <c r="V470" s="19">
        <v>0</v>
      </c>
      <c r="W470" s="13" t="s">
        <v>135</v>
      </c>
      <c r="X470" s="14" t="s">
        <v>1454</v>
      </c>
      <c r="Y470" s="13" t="s">
        <v>196</v>
      </c>
      <c r="Z470" s="14" t="s">
        <v>1455</v>
      </c>
      <c r="AA470" s="17">
        <v>18</v>
      </c>
      <c r="AB470" s="14" t="s">
        <v>220</v>
      </c>
      <c r="AC470" s="17">
        <v>5780000</v>
      </c>
      <c r="AD470" s="14" t="s">
        <v>108</v>
      </c>
      <c r="AE470" s="17">
        <v>5351852</v>
      </c>
      <c r="AF470" s="14" t="s">
        <v>1221</v>
      </c>
      <c r="AG470" s="20" t="s">
        <v>197</v>
      </c>
      <c r="AH470" s="10">
        <v>3017584</v>
      </c>
      <c r="AI470" s="24" t="str">
        <f>VLOOKUP(Sales[[#This Row],[Store]],'Store lay bao  cao'!A:B,2,0)</f>
        <v>Lấy BC</v>
      </c>
      <c r="AJ470" s="24" t="str">
        <f>VLOOKUP(Sales[[#This Row],[Associate]],'Associate Status'!B:C,2,0)</f>
        <v>Retired</v>
      </c>
    </row>
    <row r="471" spans="1:36" x14ac:dyDescent="0.25">
      <c r="A471" s="7">
        <v>2024</v>
      </c>
      <c r="B471" s="8">
        <v>8</v>
      </c>
      <c r="C471" s="8">
        <v>31</v>
      </c>
      <c r="D471" s="8" t="s">
        <v>60</v>
      </c>
      <c r="E471" s="8" t="s">
        <v>37</v>
      </c>
      <c r="F471" s="8" t="s">
        <v>60</v>
      </c>
      <c r="G471" s="9">
        <v>1491338</v>
      </c>
      <c r="H471" s="10">
        <v>1114350</v>
      </c>
      <c r="I471" s="11">
        <v>45505</v>
      </c>
      <c r="J471" s="12">
        <v>202781</v>
      </c>
      <c r="K471" s="13" t="s">
        <v>1777</v>
      </c>
      <c r="L471" s="14" t="s">
        <v>19</v>
      </c>
      <c r="M471" s="11" t="s">
        <v>15</v>
      </c>
      <c r="N471" s="14" t="s">
        <v>62</v>
      </c>
      <c r="O471" s="15">
        <v>4714</v>
      </c>
      <c r="P471" s="12">
        <v>1</v>
      </c>
      <c r="Q471" s="13" t="s">
        <v>101</v>
      </c>
      <c r="R471" s="16">
        <v>3693000</v>
      </c>
      <c r="S471" s="17">
        <v>3419444</v>
      </c>
      <c r="T471" s="12">
        <v>0</v>
      </c>
      <c r="U471" s="18">
        <v>0</v>
      </c>
      <c r="V471" s="19">
        <v>0</v>
      </c>
      <c r="W471" s="13" t="s">
        <v>135</v>
      </c>
      <c r="X471" s="14" t="s">
        <v>1780</v>
      </c>
      <c r="Y471" s="13" t="s">
        <v>196</v>
      </c>
      <c r="Z471" s="14" t="s">
        <v>1781</v>
      </c>
      <c r="AA471" s="17">
        <v>18</v>
      </c>
      <c r="AB471" s="14" t="s">
        <v>1782</v>
      </c>
      <c r="AC471" s="17">
        <v>3693000</v>
      </c>
      <c r="AD471" s="14" t="s">
        <v>108</v>
      </c>
      <c r="AE471" s="17">
        <v>3419444</v>
      </c>
      <c r="AF471" s="14" t="s">
        <v>1221</v>
      </c>
      <c r="AG471" s="21" t="s">
        <v>197</v>
      </c>
      <c r="AH471" s="10">
        <v>1928106</v>
      </c>
      <c r="AI471" s="24" t="str">
        <f>VLOOKUP(Sales[[#This Row],[Store]],'Store lay bao  cao'!A:B,2,0)</f>
        <v>Lấy BC</v>
      </c>
      <c r="AJ471" s="24" t="str">
        <f>VLOOKUP(Sales[[#This Row],[Associate]],'Associate Status'!B:C,2,0)</f>
        <v>Retired</v>
      </c>
    </row>
    <row r="472" spans="1:36" x14ac:dyDescent="0.25">
      <c r="A472" s="7">
        <v>2024</v>
      </c>
      <c r="B472" s="8">
        <v>8</v>
      </c>
      <c r="C472" s="8">
        <v>31</v>
      </c>
      <c r="D472" s="8" t="s">
        <v>60</v>
      </c>
      <c r="E472" s="8" t="s">
        <v>53</v>
      </c>
      <c r="F472" s="8" t="s">
        <v>60</v>
      </c>
      <c r="G472" s="9">
        <v>16006715</v>
      </c>
      <c r="H472" s="10">
        <v>16035525.000000004</v>
      </c>
      <c r="I472" s="11">
        <v>45508</v>
      </c>
      <c r="J472" s="12">
        <v>202688</v>
      </c>
      <c r="K472" s="13" t="s">
        <v>670</v>
      </c>
      <c r="L472" s="14" t="s">
        <v>58</v>
      </c>
      <c r="M472" s="11" t="s">
        <v>15</v>
      </c>
      <c r="N472" s="14" t="s">
        <v>11</v>
      </c>
      <c r="O472" s="15">
        <v>4719</v>
      </c>
      <c r="P472" s="12">
        <v>1</v>
      </c>
      <c r="Q472" s="13" t="s">
        <v>144</v>
      </c>
      <c r="R472" s="16">
        <v>44008000</v>
      </c>
      <c r="S472" s="17">
        <v>40748148</v>
      </c>
      <c r="T472" s="12">
        <v>0</v>
      </c>
      <c r="U472" s="18">
        <v>0</v>
      </c>
      <c r="V472" s="19">
        <v>0</v>
      </c>
      <c r="W472" s="13" t="s">
        <v>104</v>
      </c>
      <c r="X472" s="14" t="s">
        <v>1783</v>
      </c>
      <c r="Y472" s="13" t="s">
        <v>247</v>
      </c>
      <c r="Z472" s="14" t="s">
        <v>1784</v>
      </c>
      <c r="AA472" s="17">
        <v>10</v>
      </c>
      <c r="AB472" s="14" t="s">
        <v>1444</v>
      </c>
      <c r="AC472" s="17">
        <v>44008000</v>
      </c>
      <c r="AD472" s="14">
        <v>175</v>
      </c>
      <c r="AE472" s="17">
        <v>40748148</v>
      </c>
      <c r="AF472" s="14" t="s">
        <v>106</v>
      </c>
      <c r="AG472" s="20" t="s">
        <v>248</v>
      </c>
      <c r="AH472" s="10">
        <v>24741433</v>
      </c>
      <c r="AI472" s="24" t="str">
        <f>VLOOKUP(Sales[[#This Row],[Store]],'Store lay bao  cao'!A:B,2,0)</f>
        <v>Lấy BC</v>
      </c>
      <c r="AJ472" s="24" t="str">
        <f>VLOOKUP(Sales[[#This Row],[Associate]],'Associate Status'!B:C,2,0)</f>
        <v>Active</v>
      </c>
    </row>
    <row r="473" spans="1:36" x14ac:dyDescent="0.25">
      <c r="A473" s="7">
        <v>2024</v>
      </c>
      <c r="B473" s="8">
        <v>8</v>
      </c>
      <c r="C473" s="8">
        <v>31</v>
      </c>
      <c r="D473" s="8" t="s">
        <v>60</v>
      </c>
      <c r="E473" s="8" t="s">
        <v>37</v>
      </c>
      <c r="F473" s="8" t="s">
        <v>60</v>
      </c>
      <c r="G473" s="9">
        <v>15250969</v>
      </c>
      <c r="H473" s="10">
        <v>16138980</v>
      </c>
      <c r="I473" s="11">
        <v>45508</v>
      </c>
      <c r="J473" s="12">
        <v>206899</v>
      </c>
      <c r="K473" s="13" t="s">
        <v>670</v>
      </c>
      <c r="L473" s="14" t="s">
        <v>58</v>
      </c>
      <c r="M473" s="11" t="s">
        <v>15</v>
      </c>
      <c r="N473" s="14" t="s">
        <v>11</v>
      </c>
      <c r="O473" s="15">
        <v>4719</v>
      </c>
      <c r="P473" s="12">
        <v>1</v>
      </c>
      <c r="Q473" s="13" t="s">
        <v>144</v>
      </c>
      <c r="R473" s="16">
        <v>44292000</v>
      </c>
      <c r="S473" s="17">
        <v>41011111</v>
      </c>
      <c r="T473" s="12">
        <v>0</v>
      </c>
      <c r="U473" s="18">
        <v>0</v>
      </c>
      <c r="V473" s="19">
        <v>0</v>
      </c>
      <c r="W473" s="13" t="s">
        <v>104</v>
      </c>
      <c r="X473" s="14" t="s">
        <v>1785</v>
      </c>
      <c r="Y473" s="13" t="s">
        <v>247</v>
      </c>
      <c r="Z473" s="14" t="s">
        <v>1786</v>
      </c>
      <c r="AA473" s="17">
        <v>10</v>
      </c>
      <c r="AB473" s="14" t="s">
        <v>1787</v>
      </c>
      <c r="AC473" s="17">
        <v>44292000</v>
      </c>
      <c r="AD473" s="14">
        <v>0</v>
      </c>
      <c r="AE473" s="17">
        <v>41011111</v>
      </c>
      <c r="AF473" s="14" t="s">
        <v>106</v>
      </c>
      <c r="AG473" s="21" t="s">
        <v>248</v>
      </c>
      <c r="AH473" s="10">
        <v>25760142</v>
      </c>
      <c r="AI473" s="24" t="str">
        <f>VLOOKUP(Sales[[#This Row],[Store]],'Store lay bao  cao'!A:B,2,0)</f>
        <v>Lấy BC</v>
      </c>
      <c r="AJ473" s="24" t="str">
        <f>VLOOKUP(Sales[[#This Row],[Associate]],'Associate Status'!B:C,2,0)</f>
        <v>Active</v>
      </c>
    </row>
    <row r="474" spans="1:36" x14ac:dyDescent="0.25">
      <c r="A474" s="7">
        <v>2024</v>
      </c>
      <c r="B474" s="8">
        <v>8</v>
      </c>
      <c r="C474" s="8">
        <v>32</v>
      </c>
      <c r="D474" s="8" t="s">
        <v>60</v>
      </c>
      <c r="E474" s="8" t="s">
        <v>34</v>
      </c>
      <c r="F474" s="8" t="s">
        <v>60</v>
      </c>
      <c r="G474" s="9">
        <v>49107187</v>
      </c>
      <c r="H474" s="10">
        <v>49195575</v>
      </c>
      <c r="I474" s="11">
        <v>45513</v>
      </c>
      <c r="J474" s="12">
        <v>202697</v>
      </c>
      <c r="K474" s="13" t="s">
        <v>672</v>
      </c>
      <c r="L474" s="14" t="s">
        <v>58</v>
      </c>
      <c r="M474" s="11" t="s">
        <v>15</v>
      </c>
      <c r="N474" s="14" t="s">
        <v>11</v>
      </c>
      <c r="O474" s="15">
        <v>4740</v>
      </c>
      <c r="P474" s="12">
        <v>1</v>
      </c>
      <c r="Q474" s="13" t="s">
        <v>175</v>
      </c>
      <c r="R474" s="16">
        <v>135009000</v>
      </c>
      <c r="S474" s="17">
        <v>125008333</v>
      </c>
      <c r="T474" s="12">
        <v>0</v>
      </c>
      <c r="U474" s="18">
        <v>0</v>
      </c>
      <c r="V474" s="19">
        <v>0</v>
      </c>
      <c r="W474" s="13" t="s">
        <v>104</v>
      </c>
      <c r="X474" s="14" t="s">
        <v>1788</v>
      </c>
      <c r="Y474" s="13" t="s">
        <v>180</v>
      </c>
      <c r="Z474" s="14" t="s">
        <v>1789</v>
      </c>
      <c r="AA474" s="17">
        <v>12</v>
      </c>
      <c r="AB474" s="14" t="s">
        <v>1444</v>
      </c>
      <c r="AC474" s="17">
        <v>135009000</v>
      </c>
      <c r="AD474" s="14" t="s">
        <v>108</v>
      </c>
      <c r="AE474" s="17">
        <v>125008333</v>
      </c>
      <c r="AF474" s="14" t="s">
        <v>352</v>
      </c>
      <c r="AG474" s="20" t="s">
        <v>337</v>
      </c>
      <c r="AH474" s="10">
        <v>75901146</v>
      </c>
      <c r="AI474" s="24" t="str">
        <f>VLOOKUP(Sales[[#This Row],[Store]],'Store lay bao  cao'!A:B,2,0)</f>
        <v>Lấy BC</v>
      </c>
      <c r="AJ474" s="24" t="str">
        <f>VLOOKUP(Sales[[#This Row],[Associate]],'Associate Status'!B:C,2,0)</f>
        <v>Retired</v>
      </c>
    </row>
    <row r="475" spans="1:36" x14ac:dyDescent="0.25">
      <c r="A475" s="7">
        <v>2024</v>
      </c>
      <c r="B475" s="8">
        <v>8</v>
      </c>
      <c r="C475" s="8">
        <v>33</v>
      </c>
      <c r="D475" s="8" t="s">
        <v>60</v>
      </c>
      <c r="E475" s="8" t="s">
        <v>34</v>
      </c>
      <c r="F475" s="8" t="s">
        <v>60</v>
      </c>
      <c r="G475" s="9">
        <v>12584715</v>
      </c>
      <c r="H475" s="10">
        <v>13317480</v>
      </c>
      <c r="I475" s="11">
        <v>45519</v>
      </c>
      <c r="J475" s="12">
        <v>206904</v>
      </c>
      <c r="K475" s="13" t="s">
        <v>674</v>
      </c>
      <c r="L475" s="14" t="s">
        <v>58</v>
      </c>
      <c r="M475" s="11" t="s">
        <v>15</v>
      </c>
      <c r="N475" s="14" t="s">
        <v>11</v>
      </c>
      <c r="O475" s="15">
        <v>4768</v>
      </c>
      <c r="P475" s="12">
        <v>1</v>
      </c>
      <c r="Q475" s="13" t="s">
        <v>102</v>
      </c>
      <c r="R475" s="16">
        <v>36549000</v>
      </c>
      <c r="S475" s="17">
        <v>33841667</v>
      </c>
      <c r="T475" s="12">
        <v>0</v>
      </c>
      <c r="U475" s="18">
        <v>0</v>
      </c>
      <c r="V475" s="19">
        <v>0</v>
      </c>
      <c r="W475" s="13" t="s">
        <v>135</v>
      </c>
      <c r="X475" s="14" t="s">
        <v>1790</v>
      </c>
      <c r="Y475" s="13" t="s">
        <v>265</v>
      </c>
      <c r="Z475" s="14" t="s">
        <v>1791</v>
      </c>
      <c r="AA475" s="17">
        <v>13</v>
      </c>
      <c r="AB475" s="14" t="s">
        <v>788</v>
      </c>
      <c r="AC475" s="17">
        <v>36549000</v>
      </c>
      <c r="AD475" s="14">
        <v>0</v>
      </c>
      <c r="AE475" s="17">
        <v>33841667</v>
      </c>
      <c r="AF475" s="14" t="s">
        <v>136</v>
      </c>
      <c r="AG475" s="21" t="s">
        <v>266</v>
      </c>
      <c r="AH475" s="10">
        <v>21256952</v>
      </c>
      <c r="AI475" s="24" t="str">
        <f>VLOOKUP(Sales[[#This Row],[Store]],'Store lay bao  cao'!A:B,2,0)</f>
        <v>Lấy BC</v>
      </c>
      <c r="AJ475" s="24" t="str">
        <f>VLOOKUP(Sales[[#This Row],[Associate]],'Associate Status'!B:C,2,0)</f>
        <v>Active</v>
      </c>
    </row>
    <row r="476" spans="1:36" x14ac:dyDescent="0.25">
      <c r="A476" s="7">
        <v>2024</v>
      </c>
      <c r="B476" s="8">
        <v>8</v>
      </c>
      <c r="C476" s="8">
        <v>33</v>
      </c>
      <c r="D476" s="8" t="s">
        <v>52</v>
      </c>
      <c r="E476" s="8" t="s">
        <v>43</v>
      </c>
      <c r="F476" s="8" t="s">
        <v>52</v>
      </c>
      <c r="G476" s="9">
        <v>1798582</v>
      </c>
      <c r="H476" s="10">
        <v>1620000</v>
      </c>
      <c r="I476" s="11">
        <v>45520</v>
      </c>
      <c r="J476" s="12">
        <v>182193</v>
      </c>
      <c r="K476" s="13" t="s">
        <v>1792</v>
      </c>
      <c r="L476" s="14" t="s">
        <v>50</v>
      </c>
      <c r="M476" s="11" t="s">
        <v>21</v>
      </c>
      <c r="N476" s="14" t="s">
        <v>11</v>
      </c>
      <c r="O476" s="15">
        <v>7497</v>
      </c>
      <c r="P476" s="12">
        <v>1</v>
      </c>
      <c r="Q476" s="13" t="s">
        <v>101</v>
      </c>
      <c r="R476" s="16">
        <v>5184000</v>
      </c>
      <c r="S476" s="17">
        <v>4800000</v>
      </c>
      <c r="T476" s="12">
        <v>0</v>
      </c>
      <c r="U476" s="18">
        <v>0</v>
      </c>
      <c r="V476" s="19">
        <v>0</v>
      </c>
      <c r="W476" s="13" t="s">
        <v>160</v>
      </c>
      <c r="X476" s="14" t="s">
        <v>1793</v>
      </c>
      <c r="Y476" s="13" t="s">
        <v>1593</v>
      </c>
      <c r="Z476" s="14" t="s">
        <v>1794</v>
      </c>
      <c r="AA476" s="17">
        <v>11</v>
      </c>
      <c r="AB476" s="14" t="s">
        <v>1051</v>
      </c>
      <c r="AC476" s="17">
        <v>5184000</v>
      </c>
      <c r="AD476" s="14">
        <v>13</v>
      </c>
      <c r="AE476" s="17">
        <v>4800000</v>
      </c>
      <c r="AF476" s="14" t="s">
        <v>1456</v>
      </c>
      <c r="AG476" s="20" t="s">
        <v>1594</v>
      </c>
      <c r="AH476" s="10">
        <v>3001418</v>
      </c>
      <c r="AI476" s="24" t="str">
        <f>VLOOKUP(Sales[[#This Row],[Store]],'Store lay bao  cao'!A:B,2,0)</f>
        <v>Lấy BC</v>
      </c>
      <c r="AJ476" s="24" t="e">
        <f>VLOOKUP(Sales[[#This Row],[Associate]],'Associate Status'!B:C,2,0)</f>
        <v>#N/A</v>
      </c>
    </row>
    <row r="477" spans="1:36" x14ac:dyDescent="0.25">
      <c r="A477" s="7">
        <v>2024</v>
      </c>
      <c r="B477" s="8">
        <v>8</v>
      </c>
      <c r="C477" s="8">
        <v>33</v>
      </c>
      <c r="D477" s="8" t="s">
        <v>52</v>
      </c>
      <c r="E477" s="8" t="s">
        <v>37</v>
      </c>
      <c r="F477" s="8" t="s">
        <v>52</v>
      </c>
      <c r="G477" s="9">
        <v>28361249</v>
      </c>
      <c r="H477" s="10">
        <v>23994000</v>
      </c>
      <c r="I477" s="11">
        <v>45521</v>
      </c>
      <c r="J477" s="12">
        <v>186481</v>
      </c>
      <c r="K477" s="13" t="s">
        <v>677</v>
      </c>
      <c r="L477" s="14" t="s">
        <v>19</v>
      </c>
      <c r="M477" s="11" t="s">
        <v>15</v>
      </c>
      <c r="N477" s="14" t="s">
        <v>11</v>
      </c>
      <c r="O477" s="15">
        <v>4779</v>
      </c>
      <c r="P477" s="12">
        <v>1</v>
      </c>
      <c r="Q477" s="13" t="s">
        <v>144</v>
      </c>
      <c r="R477" s="16">
        <v>70182900</v>
      </c>
      <c r="S477" s="17">
        <v>64984167</v>
      </c>
      <c r="T477" s="12">
        <v>10</v>
      </c>
      <c r="U477" s="18">
        <v>7220463</v>
      </c>
      <c r="V477" s="19">
        <v>7798100</v>
      </c>
      <c r="W477" s="13" t="s">
        <v>104</v>
      </c>
      <c r="X477" s="14" t="s">
        <v>1795</v>
      </c>
      <c r="Y477" s="13" t="s">
        <v>1423</v>
      </c>
      <c r="Z477" s="14" t="s">
        <v>1796</v>
      </c>
      <c r="AA477" s="17">
        <v>15</v>
      </c>
      <c r="AB477" s="14" t="s">
        <v>1797</v>
      </c>
      <c r="AC477" s="17">
        <v>77981000</v>
      </c>
      <c r="AD477" s="14" t="s">
        <v>108</v>
      </c>
      <c r="AE477" s="17">
        <v>72204630</v>
      </c>
      <c r="AF477" s="14" t="s">
        <v>117</v>
      </c>
      <c r="AG477" s="21" t="s">
        <v>1424</v>
      </c>
      <c r="AH477" s="10">
        <v>36622918</v>
      </c>
      <c r="AI477" s="24" t="str">
        <f>VLOOKUP(Sales[[#This Row],[Store]],'Store lay bao  cao'!A:B,2,0)</f>
        <v>Lấy BC</v>
      </c>
      <c r="AJ477" s="24" t="str">
        <f>VLOOKUP(Sales[[#This Row],[Associate]],'Associate Status'!B:C,2,0)</f>
        <v>Retired</v>
      </c>
    </row>
    <row r="478" spans="1:36" x14ac:dyDescent="0.25">
      <c r="A478" s="7">
        <v>2024</v>
      </c>
      <c r="B478" s="8">
        <v>8</v>
      </c>
      <c r="C478" s="8">
        <v>33</v>
      </c>
      <c r="D478" s="8" t="s">
        <v>60</v>
      </c>
      <c r="E478" s="8" t="s">
        <v>43</v>
      </c>
      <c r="F478" s="8" t="s">
        <v>60</v>
      </c>
      <c r="G478" s="9">
        <v>7975415</v>
      </c>
      <c r="H478" s="10">
        <v>5959350</v>
      </c>
      <c r="I478" s="11">
        <v>45521</v>
      </c>
      <c r="J478" s="12">
        <v>202751</v>
      </c>
      <c r="K478" s="13" t="s">
        <v>675</v>
      </c>
      <c r="L478" s="14" t="s">
        <v>19</v>
      </c>
      <c r="M478" s="11" t="s">
        <v>15</v>
      </c>
      <c r="N478" s="14" t="s">
        <v>62</v>
      </c>
      <c r="O478" s="15">
        <v>4783</v>
      </c>
      <c r="P478" s="12">
        <v>1</v>
      </c>
      <c r="Q478" s="13" t="s">
        <v>101</v>
      </c>
      <c r="R478" s="16">
        <v>19748000</v>
      </c>
      <c r="S478" s="17">
        <v>18285185</v>
      </c>
      <c r="T478" s="12">
        <v>0</v>
      </c>
      <c r="U478" s="18">
        <v>0</v>
      </c>
      <c r="V478" s="19">
        <v>0</v>
      </c>
      <c r="W478" s="13" t="s">
        <v>104</v>
      </c>
      <c r="X478" s="14" t="s">
        <v>1798</v>
      </c>
      <c r="Y478" s="13" t="s">
        <v>1296</v>
      </c>
      <c r="Z478" s="14" t="s">
        <v>1799</v>
      </c>
      <c r="AA478" s="17">
        <v>17</v>
      </c>
      <c r="AB478" s="14" t="s">
        <v>1800</v>
      </c>
      <c r="AC478" s="17">
        <v>19748000</v>
      </c>
      <c r="AD478" s="14">
        <v>52</v>
      </c>
      <c r="AE478" s="17">
        <v>18285185</v>
      </c>
      <c r="AF478" s="14" t="s">
        <v>352</v>
      </c>
      <c r="AG478" s="20" t="s">
        <v>1297</v>
      </c>
      <c r="AH478" s="10">
        <v>10309770</v>
      </c>
      <c r="AI478" s="24" t="str">
        <f>VLOOKUP(Sales[[#This Row],[Store]],'Store lay bao  cao'!A:B,2,0)</f>
        <v>Lấy BC</v>
      </c>
      <c r="AJ478" s="24" t="str">
        <f>VLOOKUP(Sales[[#This Row],[Associate]],'Associate Status'!B:C,2,0)</f>
        <v>Retired</v>
      </c>
    </row>
    <row r="479" spans="1:36" x14ac:dyDescent="0.25">
      <c r="A479" s="7">
        <v>2024</v>
      </c>
      <c r="B479" s="8">
        <v>8</v>
      </c>
      <c r="C479" s="8">
        <v>33</v>
      </c>
      <c r="D479" s="8" t="s">
        <v>60</v>
      </c>
      <c r="E479" s="8" t="s">
        <v>53</v>
      </c>
      <c r="F479" s="8" t="s">
        <v>60</v>
      </c>
      <c r="G479" s="9">
        <v>26022633</v>
      </c>
      <c r="H479" s="10">
        <v>27537840</v>
      </c>
      <c r="I479" s="11">
        <v>45522</v>
      </c>
      <c r="J479" s="12">
        <v>206894</v>
      </c>
      <c r="K479" s="13" t="s">
        <v>676</v>
      </c>
      <c r="L479" s="14" t="s">
        <v>58</v>
      </c>
      <c r="M479" s="11" t="s">
        <v>15</v>
      </c>
      <c r="N479" s="14" t="s">
        <v>11</v>
      </c>
      <c r="O479" s="15">
        <v>4786</v>
      </c>
      <c r="P479" s="12">
        <v>1</v>
      </c>
      <c r="Q479" s="13" t="s">
        <v>101</v>
      </c>
      <c r="R479" s="16">
        <v>75573000</v>
      </c>
      <c r="S479" s="17">
        <v>69975000</v>
      </c>
      <c r="T479" s="12">
        <v>0</v>
      </c>
      <c r="U479" s="18">
        <v>0</v>
      </c>
      <c r="V479" s="19">
        <v>0</v>
      </c>
      <c r="W479" s="13" t="s">
        <v>104</v>
      </c>
      <c r="X479" s="14" t="s">
        <v>1801</v>
      </c>
      <c r="Y479" s="13" t="s">
        <v>495</v>
      </c>
      <c r="Z479" s="14" t="s">
        <v>1354</v>
      </c>
      <c r="AA479" s="17">
        <v>12</v>
      </c>
      <c r="AB479" s="14" t="s">
        <v>788</v>
      </c>
      <c r="AC479" s="17">
        <v>75573000</v>
      </c>
      <c r="AD479" s="14">
        <v>195</v>
      </c>
      <c r="AE479" s="17">
        <v>69975000</v>
      </c>
      <c r="AF479" s="14" t="s">
        <v>352</v>
      </c>
      <c r="AG479" s="21" t="s">
        <v>496</v>
      </c>
      <c r="AH479" s="10">
        <v>43952367</v>
      </c>
      <c r="AI479" s="24" t="str">
        <f>VLOOKUP(Sales[[#This Row],[Store]],'Store lay bao  cao'!A:B,2,0)</f>
        <v>Lấy BC</v>
      </c>
      <c r="AJ479" s="24" t="str">
        <f>VLOOKUP(Sales[[#This Row],[Associate]],'Associate Status'!B:C,2,0)</f>
        <v>Retired</v>
      </c>
    </row>
    <row r="480" spans="1:36" x14ac:dyDescent="0.25">
      <c r="A480" s="7">
        <v>2024</v>
      </c>
      <c r="B480" s="8">
        <v>8</v>
      </c>
      <c r="C480" s="8">
        <v>34</v>
      </c>
      <c r="D480" s="8" t="s">
        <v>66</v>
      </c>
      <c r="E480" s="8" t="s">
        <v>53</v>
      </c>
      <c r="F480" s="8" t="s">
        <v>66</v>
      </c>
      <c r="G480" s="9">
        <v>97397754</v>
      </c>
      <c r="H480" s="10">
        <v>93190500</v>
      </c>
      <c r="I480" s="11">
        <v>45524</v>
      </c>
      <c r="J480" s="12">
        <v>210751</v>
      </c>
      <c r="K480" s="13" t="s">
        <v>682</v>
      </c>
      <c r="L480" s="14" t="s">
        <v>65</v>
      </c>
      <c r="M480" s="11" t="s">
        <v>15</v>
      </c>
      <c r="N480" s="14" t="s">
        <v>62</v>
      </c>
      <c r="O480" s="15">
        <v>4807</v>
      </c>
      <c r="P480" s="12">
        <v>1</v>
      </c>
      <c r="Q480" s="13" t="s">
        <v>110</v>
      </c>
      <c r="R480" s="16">
        <v>253110000</v>
      </c>
      <c r="S480" s="17">
        <v>234361111</v>
      </c>
      <c r="T480" s="12">
        <v>0</v>
      </c>
      <c r="U480" s="18">
        <v>0</v>
      </c>
      <c r="V480" s="19">
        <v>0</v>
      </c>
      <c r="W480" s="13" t="s">
        <v>104</v>
      </c>
      <c r="X480" s="14" t="s">
        <v>1802</v>
      </c>
      <c r="Y480" s="13" t="s">
        <v>826</v>
      </c>
      <c r="Z480" s="14" t="s">
        <v>1624</v>
      </c>
      <c r="AA480" s="17">
        <v>18</v>
      </c>
      <c r="AB480" s="14" t="s">
        <v>1803</v>
      </c>
      <c r="AC480" s="17">
        <v>253110000</v>
      </c>
      <c r="AD480" s="14" t="s">
        <v>108</v>
      </c>
      <c r="AE480" s="17">
        <v>234361111</v>
      </c>
      <c r="AF480" s="14" t="s">
        <v>136</v>
      </c>
      <c r="AG480" s="20" t="s">
        <v>1670</v>
      </c>
      <c r="AH480" s="10">
        <v>136963357</v>
      </c>
      <c r="AI480" s="24" t="str">
        <f>VLOOKUP(Sales[[#This Row],[Store]],'Store lay bao  cao'!A:B,2,0)</f>
        <v>Lấy BC</v>
      </c>
      <c r="AJ480" s="24" t="str">
        <f>VLOOKUP(Sales[[#This Row],[Associate]],'Associate Status'!B:C,2,0)</f>
        <v>Active</v>
      </c>
    </row>
    <row r="481" spans="1:36" x14ac:dyDescent="0.25">
      <c r="A481" s="7">
        <v>2024</v>
      </c>
      <c r="B481" s="8">
        <v>8</v>
      </c>
      <c r="C481" s="8">
        <v>34</v>
      </c>
      <c r="D481" s="8" t="s">
        <v>63</v>
      </c>
      <c r="E481" s="8" t="s">
        <v>34</v>
      </c>
      <c r="F481" s="8" t="s">
        <v>63</v>
      </c>
      <c r="G481" s="9">
        <v>452728</v>
      </c>
      <c r="H481" s="10">
        <v>407755.2</v>
      </c>
      <c r="I481" s="11">
        <v>45526</v>
      </c>
      <c r="J481" s="12">
        <v>205037</v>
      </c>
      <c r="K481" s="13" t="s">
        <v>1804</v>
      </c>
      <c r="L481" s="14" t="s">
        <v>47</v>
      </c>
      <c r="M481" s="11" t="s">
        <v>21</v>
      </c>
      <c r="N481" s="14" t="s">
        <v>62</v>
      </c>
      <c r="O481" s="15">
        <v>7601</v>
      </c>
      <c r="P481" s="12">
        <v>1</v>
      </c>
      <c r="Q481" s="13" t="s">
        <v>102</v>
      </c>
      <c r="R481" s="16">
        <v>2447000</v>
      </c>
      <c r="S481" s="17">
        <v>2265741</v>
      </c>
      <c r="T481" s="12">
        <v>0</v>
      </c>
      <c r="U481" s="18">
        <v>0</v>
      </c>
      <c r="V481" s="19">
        <v>0</v>
      </c>
      <c r="W481" s="13" t="s">
        <v>160</v>
      </c>
      <c r="X481" s="14" t="s">
        <v>1805</v>
      </c>
      <c r="Y481" s="13" t="s">
        <v>103</v>
      </c>
      <c r="Z481" s="14">
        <v>40</v>
      </c>
      <c r="AA481" s="17">
        <v>11</v>
      </c>
      <c r="AB481" s="14" t="s">
        <v>1511</v>
      </c>
      <c r="AC481" s="17">
        <v>2447000</v>
      </c>
      <c r="AD481" s="14" t="s">
        <v>924</v>
      </c>
      <c r="AE481" s="17">
        <v>2265741</v>
      </c>
      <c r="AF481" s="14" t="s">
        <v>324</v>
      </c>
      <c r="AG481" s="21"/>
      <c r="AH481" s="10">
        <v>1813013</v>
      </c>
      <c r="AI481" s="24" t="str">
        <f>VLOOKUP(Sales[[#This Row],[Store]],'Store lay bao  cao'!A:B,2,0)</f>
        <v>Lấy BC</v>
      </c>
      <c r="AJ481" s="24" t="str">
        <f>VLOOKUP(Sales[[#This Row],[Associate]],'Associate Status'!B:C,2,0)</f>
        <v>Retired</v>
      </c>
    </row>
    <row r="482" spans="1:36" x14ac:dyDescent="0.25">
      <c r="A482" s="7">
        <v>2024</v>
      </c>
      <c r="B482" s="8">
        <v>8</v>
      </c>
      <c r="C482" s="8">
        <v>34</v>
      </c>
      <c r="D482" s="8" t="s">
        <v>52</v>
      </c>
      <c r="E482" s="8" t="s">
        <v>37</v>
      </c>
      <c r="F482" s="8" t="s">
        <v>52</v>
      </c>
      <c r="G482" s="9">
        <v>2697875</v>
      </c>
      <c r="H482" s="10">
        <v>2430000</v>
      </c>
      <c r="I482" s="11">
        <v>45529</v>
      </c>
      <c r="J482" s="12">
        <v>182230</v>
      </c>
      <c r="K482" s="13" t="s">
        <v>1806</v>
      </c>
      <c r="L482" s="14" t="s">
        <v>50</v>
      </c>
      <c r="M482" s="11" t="s">
        <v>28</v>
      </c>
      <c r="N482" s="14" t="s">
        <v>11</v>
      </c>
      <c r="O482" s="15">
        <v>2066</v>
      </c>
      <c r="P482" s="12">
        <v>1</v>
      </c>
      <c r="Q482" s="13" t="s">
        <v>101</v>
      </c>
      <c r="R482" s="16">
        <v>7776000</v>
      </c>
      <c r="S482" s="17">
        <v>7200000</v>
      </c>
      <c r="T482" s="12">
        <v>0</v>
      </c>
      <c r="U482" s="18">
        <v>0</v>
      </c>
      <c r="V482" s="19">
        <v>0</v>
      </c>
      <c r="W482" s="13" t="s">
        <v>120</v>
      </c>
      <c r="X482" s="14" t="s">
        <v>1807</v>
      </c>
      <c r="Y482" s="13" t="s">
        <v>432</v>
      </c>
      <c r="Z482" s="14" t="s">
        <v>1808</v>
      </c>
      <c r="AA482" s="17">
        <v>11</v>
      </c>
      <c r="AB482" s="14" t="s">
        <v>802</v>
      </c>
      <c r="AC482" s="17">
        <v>7776000</v>
      </c>
      <c r="AD482" s="14" t="s">
        <v>108</v>
      </c>
      <c r="AE482" s="17">
        <v>7200000</v>
      </c>
      <c r="AF482" s="14" t="s">
        <v>121</v>
      </c>
      <c r="AG482" s="20" t="s">
        <v>433</v>
      </c>
      <c r="AH482" s="10">
        <v>4502125</v>
      </c>
      <c r="AI482" s="24" t="str">
        <f>VLOOKUP(Sales[[#This Row],[Store]],'Store lay bao  cao'!A:B,2,0)</f>
        <v>Lấy BC</v>
      </c>
      <c r="AJ482" s="24" t="str">
        <f>VLOOKUP(Sales[[#This Row],[Associate]],'Associate Status'!B:C,2,0)</f>
        <v>Active</v>
      </c>
    </row>
    <row r="483" spans="1:36" x14ac:dyDescent="0.25">
      <c r="A483" s="7">
        <v>2024</v>
      </c>
      <c r="B483" s="8">
        <v>9</v>
      </c>
      <c r="C483" s="8">
        <v>38</v>
      </c>
      <c r="D483" s="8" t="s">
        <v>57</v>
      </c>
      <c r="E483" s="8" t="s">
        <v>34</v>
      </c>
      <c r="F483" s="8" t="s">
        <v>57</v>
      </c>
      <c r="G483" s="9">
        <v>22037775</v>
      </c>
      <c r="H483" s="10">
        <v>20220750</v>
      </c>
      <c r="I483" s="11">
        <v>45554</v>
      </c>
      <c r="J483" s="12">
        <v>193281</v>
      </c>
      <c r="K483" s="13" t="s">
        <v>687</v>
      </c>
      <c r="L483" s="14" t="s">
        <v>58</v>
      </c>
      <c r="M483" s="11" t="s">
        <v>15</v>
      </c>
      <c r="N483" s="14" t="s">
        <v>11</v>
      </c>
      <c r="O483" s="15">
        <v>4930</v>
      </c>
      <c r="P483" s="12">
        <v>1</v>
      </c>
      <c r="Q483" s="13" t="s">
        <v>144</v>
      </c>
      <c r="R483" s="16">
        <v>61998000</v>
      </c>
      <c r="S483" s="17">
        <v>57405556</v>
      </c>
      <c r="T483" s="12">
        <v>0</v>
      </c>
      <c r="U483" s="18">
        <v>0</v>
      </c>
      <c r="V483" s="19">
        <v>0</v>
      </c>
      <c r="W483" s="13" t="s">
        <v>104</v>
      </c>
      <c r="X483" s="14" t="s">
        <v>1809</v>
      </c>
      <c r="Y483" s="13" t="s">
        <v>180</v>
      </c>
      <c r="Z483" s="14" t="s">
        <v>1810</v>
      </c>
      <c r="AA483" s="17">
        <v>19</v>
      </c>
      <c r="AB483" s="14" t="s">
        <v>1337</v>
      </c>
      <c r="AC483" s="17">
        <v>61998000</v>
      </c>
      <c r="AD483" s="14" t="s">
        <v>108</v>
      </c>
      <c r="AE483" s="17">
        <v>57405556</v>
      </c>
      <c r="AF483" s="14" t="s">
        <v>352</v>
      </c>
      <c r="AG483" s="21" t="s">
        <v>337</v>
      </c>
      <c r="AH483" s="10">
        <v>35367781</v>
      </c>
      <c r="AI483" s="24" t="str">
        <f>VLOOKUP(Sales[[#This Row],[Store]],'Store lay bao  cao'!A:B,2,0)</f>
        <v>Lấy BC</v>
      </c>
      <c r="AJ483" s="24" t="str">
        <f>VLOOKUP(Sales[[#This Row],[Associate]],'Associate Status'!B:C,2,0)</f>
        <v>Retired</v>
      </c>
    </row>
    <row r="484" spans="1:36" x14ac:dyDescent="0.25">
      <c r="A484" s="7">
        <v>2024</v>
      </c>
      <c r="B484" s="8">
        <v>9</v>
      </c>
      <c r="C484" s="8">
        <v>39</v>
      </c>
      <c r="D484" s="8" t="s">
        <v>57</v>
      </c>
      <c r="E484" s="8" t="s">
        <v>43</v>
      </c>
      <c r="F484" s="8" t="s">
        <v>57</v>
      </c>
      <c r="G484" s="9">
        <v>17856803</v>
      </c>
      <c r="H484" s="10">
        <v>16384499.999999998</v>
      </c>
      <c r="I484" s="11">
        <v>45559</v>
      </c>
      <c r="J484" s="12">
        <v>193272</v>
      </c>
      <c r="K484" s="13" t="s">
        <v>1811</v>
      </c>
      <c r="L484" s="14" t="s">
        <v>58</v>
      </c>
      <c r="M484" s="11" t="s">
        <v>17</v>
      </c>
      <c r="N484" s="14" t="s">
        <v>11</v>
      </c>
      <c r="O484" s="15">
        <v>8623</v>
      </c>
      <c r="P484" s="12">
        <v>1</v>
      </c>
      <c r="Q484" s="13" t="s">
        <v>101</v>
      </c>
      <c r="R484" s="16">
        <v>47724200</v>
      </c>
      <c r="S484" s="17">
        <v>44189074</v>
      </c>
      <c r="T484" s="12">
        <v>5</v>
      </c>
      <c r="U484" s="18">
        <v>2325741</v>
      </c>
      <c r="V484" s="19">
        <v>2511800</v>
      </c>
      <c r="W484" s="13" t="s">
        <v>140</v>
      </c>
      <c r="X484" s="14" t="s">
        <v>1812</v>
      </c>
      <c r="Y484" s="13" t="s">
        <v>185</v>
      </c>
      <c r="Z484" s="14" t="s">
        <v>1813</v>
      </c>
      <c r="AA484" s="17">
        <v>12</v>
      </c>
      <c r="AB484" s="14" t="s">
        <v>1337</v>
      </c>
      <c r="AC484" s="17">
        <v>50236000</v>
      </c>
      <c r="AD484" s="14">
        <v>14</v>
      </c>
      <c r="AE484" s="17">
        <v>46514815</v>
      </c>
      <c r="AF484" s="14" t="s">
        <v>125</v>
      </c>
      <c r="AG484" s="20" t="s">
        <v>186</v>
      </c>
      <c r="AH484" s="10">
        <v>26332271</v>
      </c>
      <c r="AI484" s="24" t="str">
        <f>VLOOKUP(Sales[[#This Row],[Store]],'Store lay bao  cao'!A:B,2,0)</f>
        <v>Lấy BC</v>
      </c>
      <c r="AJ484" s="24" t="str">
        <f>VLOOKUP(Sales[[#This Row],[Associate]],'Associate Status'!B:C,2,0)</f>
        <v>Active</v>
      </c>
    </row>
    <row r="485" spans="1:36" x14ac:dyDescent="0.25">
      <c r="A485" s="7">
        <v>2024</v>
      </c>
      <c r="B485" s="8">
        <v>9</v>
      </c>
      <c r="C485" s="8">
        <v>39</v>
      </c>
      <c r="D485" s="8" t="s">
        <v>63</v>
      </c>
      <c r="E485" s="8" t="s">
        <v>37</v>
      </c>
      <c r="F485" s="8" t="s">
        <v>63</v>
      </c>
      <c r="G485" s="9">
        <v>1857529</v>
      </c>
      <c r="H485" s="10">
        <v>1732959.5999999999</v>
      </c>
      <c r="I485" s="11">
        <v>45561</v>
      </c>
      <c r="J485" s="12">
        <v>205012</v>
      </c>
      <c r="K485" s="13" t="s">
        <v>1814</v>
      </c>
      <c r="L485" s="14" t="s">
        <v>47</v>
      </c>
      <c r="M485" s="11" t="s">
        <v>21</v>
      </c>
      <c r="N485" s="14" t="s">
        <v>62</v>
      </c>
      <c r="O485" s="15">
        <v>7790</v>
      </c>
      <c r="P485" s="12">
        <v>1</v>
      </c>
      <c r="Q485" s="13" t="s">
        <v>101</v>
      </c>
      <c r="R485" s="16">
        <v>10398000</v>
      </c>
      <c r="S485" s="17">
        <v>9627778</v>
      </c>
      <c r="T485" s="12">
        <v>0</v>
      </c>
      <c r="U485" s="18">
        <v>0</v>
      </c>
      <c r="V485" s="19">
        <v>0</v>
      </c>
      <c r="W485" s="13" t="s">
        <v>160</v>
      </c>
      <c r="X485" s="14" t="s">
        <v>1815</v>
      </c>
      <c r="Y485" s="13" t="s">
        <v>967</v>
      </c>
      <c r="Z485" s="14">
        <v>15</v>
      </c>
      <c r="AA485" s="17">
        <v>21</v>
      </c>
      <c r="AB485" s="14" t="s">
        <v>1816</v>
      </c>
      <c r="AC485" s="17">
        <v>10398000</v>
      </c>
      <c r="AD485" s="14" t="s">
        <v>924</v>
      </c>
      <c r="AE485" s="17">
        <v>9627778</v>
      </c>
      <c r="AF485" s="14" t="s">
        <v>540</v>
      </c>
      <c r="AG485" s="21" t="s">
        <v>1043</v>
      </c>
      <c r="AH485" s="10">
        <v>7770249</v>
      </c>
      <c r="AI485" s="24" t="str">
        <f>VLOOKUP(Sales[[#This Row],[Store]],'Store lay bao  cao'!A:B,2,0)</f>
        <v>Lấy BC</v>
      </c>
      <c r="AJ485" s="24" t="str">
        <f>VLOOKUP(Sales[[#This Row],[Associate]],'Associate Status'!B:C,2,0)</f>
        <v>Active</v>
      </c>
    </row>
    <row r="486" spans="1:36" x14ac:dyDescent="0.25">
      <c r="A486" s="7">
        <v>2024</v>
      </c>
      <c r="B486" s="8">
        <v>9</v>
      </c>
      <c r="C486" s="8">
        <v>39</v>
      </c>
      <c r="D486" s="8" t="s">
        <v>60</v>
      </c>
      <c r="E486" s="8" t="s">
        <v>34</v>
      </c>
      <c r="F486" s="8" t="s">
        <v>60</v>
      </c>
      <c r="G486" s="9">
        <v>17543946</v>
      </c>
      <c r="H486" s="10">
        <v>18565470</v>
      </c>
      <c r="I486" s="11">
        <v>45563</v>
      </c>
      <c r="J486" s="12">
        <v>206905</v>
      </c>
      <c r="K486" s="13" t="s">
        <v>688</v>
      </c>
      <c r="L486" s="14" t="s">
        <v>58</v>
      </c>
      <c r="M486" s="11" t="s">
        <v>15</v>
      </c>
      <c r="N486" s="14" t="s">
        <v>11</v>
      </c>
      <c r="O486" s="15">
        <v>4975</v>
      </c>
      <c r="P486" s="12">
        <v>1</v>
      </c>
      <c r="Q486" s="13" t="s">
        <v>101</v>
      </c>
      <c r="R486" s="16">
        <v>50951000</v>
      </c>
      <c r="S486" s="17">
        <v>47176852</v>
      </c>
      <c r="T486" s="12">
        <v>0</v>
      </c>
      <c r="U486" s="18">
        <v>0</v>
      </c>
      <c r="V486" s="19">
        <v>0</v>
      </c>
      <c r="W486" s="13" t="s">
        <v>135</v>
      </c>
      <c r="X486" s="14" t="s">
        <v>1817</v>
      </c>
      <c r="Y486" s="13" t="s">
        <v>387</v>
      </c>
      <c r="Z486" s="14" t="s">
        <v>1553</v>
      </c>
      <c r="AA486" s="17">
        <v>13</v>
      </c>
      <c r="AB486" s="14" t="s">
        <v>788</v>
      </c>
      <c r="AC486" s="17">
        <v>50951000</v>
      </c>
      <c r="AD486" s="14">
        <v>0</v>
      </c>
      <c r="AE486" s="17">
        <v>47176852</v>
      </c>
      <c r="AF486" s="14" t="s">
        <v>109</v>
      </c>
      <c r="AG486" s="20" t="s">
        <v>388</v>
      </c>
      <c r="AH486" s="10">
        <v>29632906</v>
      </c>
      <c r="AI486" s="24" t="str">
        <f>VLOOKUP(Sales[[#This Row],[Store]],'Store lay bao  cao'!A:B,2,0)</f>
        <v>Lấy BC</v>
      </c>
      <c r="AJ486" s="24" t="str">
        <f>VLOOKUP(Sales[[#This Row],[Associate]],'Associate Status'!B:C,2,0)</f>
        <v>Active</v>
      </c>
    </row>
    <row r="487" spans="1:36" x14ac:dyDescent="0.25">
      <c r="A487" s="7">
        <v>2024</v>
      </c>
      <c r="B487" s="8">
        <v>9</v>
      </c>
      <c r="C487" s="8">
        <v>39</v>
      </c>
      <c r="D487" s="8" t="s">
        <v>57</v>
      </c>
      <c r="E487" s="8" t="s">
        <v>37</v>
      </c>
      <c r="F487" s="8" t="s">
        <v>57</v>
      </c>
      <c r="G487" s="9">
        <v>64980417</v>
      </c>
      <c r="H487" s="10">
        <v>59622750</v>
      </c>
      <c r="I487" s="11">
        <v>45563</v>
      </c>
      <c r="J487" s="12">
        <v>193276</v>
      </c>
      <c r="K487" s="13" t="s">
        <v>690</v>
      </c>
      <c r="L487" s="14" t="s">
        <v>58</v>
      </c>
      <c r="M487" s="11" t="s">
        <v>15</v>
      </c>
      <c r="N487" s="14" t="s">
        <v>11</v>
      </c>
      <c r="O487" s="15">
        <v>4978</v>
      </c>
      <c r="P487" s="12">
        <v>1</v>
      </c>
      <c r="Q487" s="13" t="s">
        <v>144</v>
      </c>
      <c r="R487" s="16">
        <v>165015000</v>
      </c>
      <c r="S487" s="17">
        <v>152791667</v>
      </c>
      <c r="T487" s="12">
        <v>0</v>
      </c>
      <c r="U487" s="18">
        <v>0</v>
      </c>
      <c r="V487" s="19">
        <v>0</v>
      </c>
      <c r="W487" s="13" t="s">
        <v>135</v>
      </c>
      <c r="X487" s="14" t="s">
        <v>1818</v>
      </c>
      <c r="Y487" s="13" t="s">
        <v>180</v>
      </c>
      <c r="Z487" s="14" t="s">
        <v>1128</v>
      </c>
      <c r="AA487" s="17">
        <v>20</v>
      </c>
      <c r="AB487" s="14" t="s">
        <v>1337</v>
      </c>
      <c r="AC487" s="17">
        <v>165015000</v>
      </c>
      <c r="AD487" s="14">
        <v>550</v>
      </c>
      <c r="AE487" s="17">
        <v>152791667</v>
      </c>
      <c r="AF487" s="14" t="s">
        <v>352</v>
      </c>
      <c r="AG487" s="21" t="s">
        <v>337</v>
      </c>
      <c r="AH487" s="10">
        <v>87811250</v>
      </c>
      <c r="AI487" s="24" t="str">
        <f>VLOOKUP(Sales[[#This Row],[Store]],'Store lay bao  cao'!A:B,2,0)</f>
        <v>Lấy BC</v>
      </c>
      <c r="AJ487" s="24" t="str">
        <f>VLOOKUP(Sales[[#This Row],[Associate]],'Associate Status'!B:C,2,0)</f>
        <v>Retired</v>
      </c>
    </row>
    <row r="488" spans="1:36" x14ac:dyDescent="0.25">
      <c r="A488" s="7">
        <v>2024</v>
      </c>
      <c r="B488" s="8">
        <v>9</v>
      </c>
      <c r="C488" s="8">
        <v>39</v>
      </c>
      <c r="D488" s="8" t="s">
        <v>60</v>
      </c>
      <c r="E488" s="8" t="s">
        <v>37</v>
      </c>
      <c r="F488" s="8" t="s">
        <v>60</v>
      </c>
      <c r="G488" s="9">
        <v>6247789</v>
      </c>
      <c r="H488" s="10">
        <v>5814000</v>
      </c>
      <c r="I488" s="11">
        <v>45563</v>
      </c>
      <c r="J488" s="12">
        <v>208277</v>
      </c>
      <c r="K488" s="13" t="s">
        <v>1819</v>
      </c>
      <c r="L488" s="14" t="s">
        <v>50</v>
      </c>
      <c r="M488" s="11" t="s">
        <v>17</v>
      </c>
      <c r="N488" s="14" t="s">
        <v>11</v>
      </c>
      <c r="O488" s="15">
        <v>8643</v>
      </c>
      <c r="P488" s="12">
        <v>1</v>
      </c>
      <c r="Q488" s="13" t="s">
        <v>101</v>
      </c>
      <c r="R488" s="16">
        <v>18605000</v>
      </c>
      <c r="S488" s="17">
        <v>17226852</v>
      </c>
      <c r="T488" s="12">
        <v>0</v>
      </c>
      <c r="U488" s="18">
        <v>0</v>
      </c>
      <c r="V488" s="19">
        <v>0</v>
      </c>
      <c r="W488" s="13" t="s">
        <v>140</v>
      </c>
      <c r="X488" s="14" t="s">
        <v>1742</v>
      </c>
      <c r="Y488" s="13" t="s">
        <v>697</v>
      </c>
      <c r="Z488" s="14" t="s">
        <v>1743</v>
      </c>
      <c r="AA488" s="17">
        <v>19</v>
      </c>
      <c r="AB488" s="14" t="s">
        <v>173</v>
      </c>
      <c r="AC488" s="17">
        <v>18605000</v>
      </c>
      <c r="AD488" s="14" t="s">
        <v>108</v>
      </c>
      <c r="AE488" s="17">
        <v>17226852</v>
      </c>
      <c r="AF488" s="14" t="s">
        <v>129</v>
      </c>
      <c r="AG488" s="20" t="s">
        <v>698</v>
      </c>
      <c r="AH488" s="10">
        <v>10979063</v>
      </c>
      <c r="AI488" s="24" t="str">
        <f>VLOOKUP(Sales[[#This Row],[Store]],'Store lay bao  cao'!A:B,2,0)</f>
        <v>Lấy BC</v>
      </c>
      <c r="AJ488" s="24" t="str">
        <f>VLOOKUP(Sales[[#This Row],[Associate]],'Associate Status'!B:C,2,0)</f>
        <v>Active</v>
      </c>
    </row>
    <row r="489" spans="1:36" x14ac:dyDescent="0.25">
      <c r="A489" s="7">
        <v>2024</v>
      </c>
      <c r="B489" s="8">
        <v>9</v>
      </c>
      <c r="C489" s="8">
        <v>39</v>
      </c>
      <c r="D489" s="8" t="s">
        <v>63</v>
      </c>
      <c r="E489" s="8" t="s">
        <v>34</v>
      </c>
      <c r="F489" s="8" t="s">
        <v>63</v>
      </c>
      <c r="G489" s="9">
        <v>904597</v>
      </c>
      <c r="H489" s="10">
        <v>917449.20000000007</v>
      </c>
      <c r="I489" s="11">
        <v>45563</v>
      </c>
      <c r="J489" s="12">
        <v>205056</v>
      </c>
      <c r="K489" s="13" t="s">
        <v>1820</v>
      </c>
      <c r="L489" s="14" t="s">
        <v>47</v>
      </c>
      <c r="M489" s="11" t="s">
        <v>21</v>
      </c>
      <c r="N489" s="14" t="s">
        <v>62</v>
      </c>
      <c r="O489" s="15">
        <v>7800</v>
      </c>
      <c r="P489" s="12">
        <v>1</v>
      </c>
      <c r="Q489" s="13" t="s">
        <v>101</v>
      </c>
      <c r="R489" s="16">
        <v>5505000</v>
      </c>
      <c r="S489" s="17">
        <v>5097222</v>
      </c>
      <c r="T489" s="12">
        <v>0</v>
      </c>
      <c r="U489" s="18">
        <v>0</v>
      </c>
      <c r="V489" s="19">
        <v>0</v>
      </c>
      <c r="W489" s="13" t="s">
        <v>160</v>
      </c>
      <c r="X489" s="14" t="s">
        <v>1485</v>
      </c>
      <c r="Y489" s="13" t="s">
        <v>103</v>
      </c>
      <c r="Z489" s="14">
        <v>59</v>
      </c>
      <c r="AA489" s="17">
        <v>17</v>
      </c>
      <c r="AB489" s="14" t="s">
        <v>341</v>
      </c>
      <c r="AC489" s="17">
        <v>5505000</v>
      </c>
      <c r="AD489" s="14" t="s">
        <v>924</v>
      </c>
      <c r="AE489" s="17">
        <v>5097222</v>
      </c>
      <c r="AF489" s="14" t="s">
        <v>132</v>
      </c>
      <c r="AG489" s="21"/>
      <c r="AH489" s="10">
        <v>4192625</v>
      </c>
      <c r="AI489" s="24" t="str">
        <f>VLOOKUP(Sales[[#This Row],[Store]],'Store lay bao  cao'!A:B,2,0)</f>
        <v>Lấy BC</v>
      </c>
      <c r="AJ489" s="24" t="str">
        <f>VLOOKUP(Sales[[#This Row],[Associate]],'Associate Status'!B:C,2,0)</f>
        <v>Retired</v>
      </c>
    </row>
    <row r="490" spans="1:36" x14ac:dyDescent="0.25">
      <c r="A490" s="7">
        <v>2024</v>
      </c>
      <c r="B490" s="8">
        <v>9</v>
      </c>
      <c r="C490" s="8">
        <v>39</v>
      </c>
      <c r="D490" s="8" t="s">
        <v>57</v>
      </c>
      <c r="E490" s="8" t="s">
        <v>34</v>
      </c>
      <c r="F490" s="8" t="s">
        <v>57</v>
      </c>
      <c r="G490" s="9">
        <v>31802371</v>
      </c>
      <c r="H490" s="10">
        <v>29180249.999999996</v>
      </c>
      <c r="I490" s="11">
        <v>45564</v>
      </c>
      <c r="J490" s="12">
        <v>193283</v>
      </c>
      <c r="K490" s="13" t="s">
        <v>689</v>
      </c>
      <c r="L490" s="14" t="s">
        <v>58</v>
      </c>
      <c r="M490" s="11" t="s">
        <v>15</v>
      </c>
      <c r="N490" s="14" t="s">
        <v>11</v>
      </c>
      <c r="O490" s="15">
        <v>4980</v>
      </c>
      <c r="P490" s="12">
        <v>1</v>
      </c>
      <c r="Q490" s="13" t="s">
        <v>144</v>
      </c>
      <c r="R490" s="16">
        <v>84994600</v>
      </c>
      <c r="S490" s="17">
        <v>78698704</v>
      </c>
      <c r="T490" s="12">
        <v>5</v>
      </c>
      <c r="U490" s="18">
        <v>4142037</v>
      </c>
      <c r="V490" s="19">
        <v>4473400</v>
      </c>
      <c r="W490" s="13" t="s">
        <v>104</v>
      </c>
      <c r="X490" s="14" t="s">
        <v>1821</v>
      </c>
      <c r="Y490" s="13" t="s">
        <v>183</v>
      </c>
      <c r="Z490" s="14" t="s">
        <v>1127</v>
      </c>
      <c r="AA490" s="17">
        <v>12</v>
      </c>
      <c r="AB490" s="14" t="s">
        <v>1337</v>
      </c>
      <c r="AC490" s="17">
        <v>89468000</v>
      </c>
      <c r="AD490" s="14" t="s">
        <v>108</v>
      </c>
      <c r="AE490" s="17">
        <v>82840741</v>
      </c>
      <c r="AF490" s="14" t="s">
        <v>1221</v>
      </c>
      <c r="AG490" s="20" t="s">
        <v>184</v>
      </c>
      <c r="AH490" s="10">
        <v>46896333</v>
      </c>
      <c r="AI490" s="24" t="str">
        <f>VLOOKUP(Sales[[#This Row],[Store]],'Store lay bao  cao'!A:B,2,0)</f>
        <v>Lấy BC</v>
      </c>
      <c r="AJ490" s="24" t="str">
        <f>VLOOKUP(Sales[[#This Row],[Associate]],'Associate Status'!B:C,2,0)</f>
        <v>Retired</v>
      </c>
    </row>
    <row r="491" spans="1:36" x14ac:dyDescent="0.25">
      <c r="A491" s="7">
        <v>2024</v>
      </c>
      <c r="B491" s="8">
        <v>9</v>
      </c>
      <c r="C491" s="8">
        <v>39</v>
      </c>
      <c r="D491" s="8" t="s">
        <v>60</v>
      </c>
      <c r="E491" s="8" t="s">
        <v>43</v>
      </c>
      <c r="F491" s="8" t="s">
        <v>60</v>
      </c>
      <c r="G491" s="9">
        <v>109362139</v>
      </c>
      <c r="H491" s="10">
        <v>99229875</v>
      </c>
      <c r="I491" s="11">
        <v>45564</v>
      </c>
      <c r="J491" s="12">
        <v>211109</v>
      </c>
      <c r="K491" s="13" t="s">
        <v>691</v>
      </c>
      <c r="L491" s="14" t="s">
        <v>64</v>
      </c>
      <c r="M491" s="11" t="s">
        <v>15</v>
      </c>
      <c r="N491" s="14" t="s">
        <v>62</v>
      </c>
      <c r="O491" s="15">
        <v>4979</v>
      </c>
      <c r="P491" s="12">
        <v>1</v>
      </c>
      <c r="Q491" s="13" t="s">
        <v>175</v>
      </c>
      <c r="R491" s="16">
        <v>228130150</v>
      </c>
      <c r="S491" s="17">
        <v>211231620</v>
      </c>
      <c r="T491" s="12">
        <v>5</v>
      </c>
      <c r="U491" s="18">
        <v>11117454</v>
      </c>
      <c r="V491" s="19">
        <v>12006850</v>
      </c>
      <c r="W491" s="13" t="s">
        <v>104</v>
      </c>
      <c r="X491" s="14" t="s">
        <v>1822</v>
      </c>
      <c r="Y491" s="13" t="s">
        <v>274</v>
      </c>
      <c r="Z491" s="14" t="s">
        <v>1823</v>
      </c>
      <c r="AA491" s="17">
        <v>10</v>
      </c>
      <c r="AB491" s="14" t="s">
        <v>1126</v>
      </c>
      <c r="AC491" s="17">
        <v>240137000</v>
      </c>
      <c r="AD491" s="14">
        <v>15</v>
      </c>
      <c r="AE491" s="17">
        <v>222349074</v>
      </c>
      <c r="AF491" s="14" t="s">
        <v>2595</v>
      </c>
      <c r="AG491" s="21" t="s">
        <v>275</v>
      </c>
      <c r="AH491" s="10">
        <v>101869481</v>
      </c>
      <c r="AI491" s="24" t="str">
        <f>VLOOKUP(Sales[[#This Row],[Store]],'Store lay bao  cao'!A:B,2,0)</f>
        <v>Lấy BC</v>
      </c>
      <c r="AJ491" s="24" t="e">
        <f>VLOOKUP(Sales[[#This Row],[Associate]],'Associate Status'!B:C,2,0)</f>
        <v>#N/A</v>
      </c>
    </row>
    <row r="492" spans="1:36" x14ac:dyDescent="0.25">
      <c r="A492" s="7">
        <v>2024</v>
      </c>
      <c r="B492" s="8">
        <v>9</v>
      </c>
      <c r="C492" s="8">
        <v>40</v>
      </c>
      <c r="D492" s="8" t="s">
        <v>63</v>
      </c>
      <c r="E492" s="8" t="s">
        <v>37</v>
      </c>
      <c r="F492" s="8" t="s">
        <v>63</v>
      </c>
      <c r="G492" s="9">
        <v>131798429</v>
      </c>
      <c r="H492" s="10">
        <v>130095000</v>
      </c>
      <c r="I492" s="11">
        <v>45565</v>
      </c>
      <c r="J492" s="12">
        <v>209307</v>
      </c>
      <c r="K492" s="13" t="s">
        <v>693</v>
      </c>
      <c r="L492" s="14" t="s">
        <v>65</v>
      </c>
      <c r="M492" s="11" t="s">
        <v>15</v>
      </c>
      <c r="N492" s="14" t="s">
        <v>62</v>
      </c>
      <c r="O492" s="15">
        <v>4986</v>
      </c>
      <c r="P492" s="12">
        <v>1</v>
      </c>
      <c r="Q492" s="13" t="s">
        <v>175</v>
      </c>
      <c r="R492" s="16">
        <v>288946157.5</v>
      </c>
      <c r="S492" s="17">
        <v>267542738</v>
      </c>
      <c r="T492" s="12">
        <v>13.55</v>
      </c>
      <c r="U492" s="18">
        <v>41934113</v>
      </c>
      <c r="V492" s="19">
        <v>45288842.5</v>
      </c>
      <c r="W492" s="13" t="s">
        <v>135</v>
      </c>
      <c r="X492" s="14" t="s">
        <v>1690</v>
      </c>
      <c r="Y492" s="13" t="s">
        <v>1423</v>
      </c>
      <c r="Z492" s="14" t="s">
        <v>1691</v>
      </c>
      <c r="AA492" s="17">
        <v>16</v>
      </c>
      <c r="AB492" s="14" t="s">
        <v>173</v>
      </c>
      <c r="AC492" s="17">
        <v>334235000</v>
      </c>
      <c r="AD492" s="14" t="s">
        <v>108</v>
      </c>
      <c r="AE492" s="17">
        <v>309476852</v>
      </c>
      <c r="AF492" s="14" t="s">
        <v>117</v>
      </c>
      <c r="AG492" s="20" t="s">
        <v>1424</v>
      </c>
      <c r="AH492" s="10">
        <v>135744309</v>
      </c>
      <c r="AI492" s="24" t="str">
        <f>VLOOKUP(Sales[[#This Row],[Store]],'Store lay bao  cao'!A:B,2,0)</f>
        <v>Lấy BC</v>
      </c>
      <c r="AJ492" s="24" t="str">
        <f>VLOOKUP(Sales[[#This Row],[Associate]],'Associate Status'!B:C,2,0)</f>
        <v>Retired</v>
      </c>
    </row>
    <row r="493" spans="1:36" x14ac:dyDescent="0.25">
      <c r="A493" s="7">
        <v>2024</v>
      </c>
      <c r="B493" s="8">
        <v>9</v>
      </c>
      <c r="C493" s="8">
        <v>40</v>
      </c>
      <c r="D493" s="8" t="s">
        <v>66</v>
      </c>
      <c r="E493" s="8" t="s">
        <v>43</v>
      </c>
      <c r="F493" s="8" t="s">
        <v>66</v>
      </c>
      <c r="G493" s="9">
        <v>262452587</v>
      </c>
      <c r="H493" s="10">
        <v>249702750</v>
      </c>
      <c r="I493" s="11">
        <v>45565</v>
      </c>
      <c r="J493" s="12">
        <v>210750</v>
      </c>
      <c r="K493" s="13" t="s">
        <v>692</v>
      </c>
      <c r="L493" s="14" t="s">
        <v>65</v>
      </c>
      <c r="M493" s="11" t="s">
        <v>15</v>
      </c>
      <c r="N493" s="14" t="s">
        <v>62</v>
      </c>
      <c r="O493" s="15">
        <v>4987</v>
      </c>
      <c r="P493" s="12">
        <v>1</v>
      </c>
      <c r="Q493" s="13" t="s">
        <v>175</v>
      </c>
      <c r="R493" s="16">
        <v>588119029.85000002</v>
      </c>
      <c r="S493" s="17">
        <v>544554657</v>
      </c>
      <c r="T493" s="12">
        <v>13.28</v>
      </c>
      <c r="U493" s="18">
        <v>83412935</v>
      </c>
      <c r="V493" s="19">
        <v>90085970.150000006</v>
      </c>
      <c r="W493" s="13" t="s">
        <v>135</v>
      </c>
      <c r="X493" s="14" t="s">
        <v>1824</v>
      </c>
      <c r="Y493" s="13" t="s">
        <v>183</v>
      </c>
      <c r="Z493" s="14" t="s">
        <v>1825</v>
      </c>
      <c r="AA493" s="17">
        <v>17</v>
      </c>
      <c r="AB493" s="14" t="s">
        <v>1826</v>
      </c>
      <c r="AC493" s="17">
        <v>678205000</v>
      </c>
      <c r="AD493" s="14" t="s">
        <v>108</v>
      </c>
      <c r="AE493" s="17">
        <v>627967593</v>
      </c>
      <c r="AF493" s="14" t="s">
        <v>117</v>
      </c>
      <c r="AG493" s="21" t="s">
        <v>184</v>
      </c>
      <c r="AH493" s="10">
        <v>282102070</v>
      </c>
      <c r="AI493" s="24" t="str">
        <f>VLOOKUP(Sales[[#This Row],[Store]],'Store lay bao  cao'!A:B,2,0)</f>
        <v>Lấy BC</v>
      </c>
      <c r="AJ493" s="24" t="str">
        <f>VLOOKUP(Sales[[#This Row],[Associate]],'Associate Status'!B:C,2,0)</f>
        <v>Retired</v>
      </c>
    </row>
    <row r="494" spans="1:36" x14ac:dyDescent="0.25">
      <c r="A494" s="7">
        <v>2024</v>
      </c>
      <c r="B494" s="8">
        <v>9</v>
      </c>
      <c r="C494" s="8">
        <v>40</v>
      </c>
      <c r="D494" s="8" t="s">
        <v>66</v>
      </c>
      <c r="E494" s="8" t="s">
        <v>34</v>
      </c>
      <c r="F494" s="8" t="s">
        <v>66</v>
      </c>
      <c r="G494" s="9">
        <v>107994844</v>
      </c>
      <c r="H494" s="10">
        <v>102748500</v>
      </c>
      <c r="I494" s="11">
        <v>45565</v>
      </c>
      <c r="J494" s="12">
        <v>210761</v>
      </c>
      <c r="K494" s="13" t="s">
        <v>692</v>
      </c>
      <c r="L494" s="14" t="s">
        <v>65</v>
      </c>
      <c r="M494" s="11" t="s">
        <v>15</v>
      </c>
      <c r="N494" s="14" t="s">
        <v>62</v>
      </c>
      <c r="O494" s="15">
        <v>4987</v>
      </c>
      <c r="P494" s="12">
        <v>1</v>
      </c>
      <c r="Q494" s="13" t="s">
        <v>175</v>
      </c>
      <c r="R494" s="16">
        <v>242952760.59999999</v>
      </c>
      <c r="S494" s="17">
        <v>224956260</v>
      </c>
      <c r="T494" s="12">
        <v>12.94</v>
      </c>
      <c r="U494" s="18">
        <v>33441888</v>
      </c>
      <c r="V494" s="19">
        <v>36117239.399999999</v>
      </c>
      <c r="W494" s="13" t="s">
        <v>135</v>
      </c>
      <c r="X494" s="14" t="s">
        <v>1827</v>
      </c>
      <c r="Y494" s="13" t="s">
        <v>183</v>
      </c>
      <c r="Z494" s="14" t="s">
        <v>1828</v>
      </c>
      <c r="AA494" s="17">
        <v>17</v>
      </c>
      <c r="AB494" s="14" t="s">
        <v>1771</v>
      </c>
      <c r="AC494" s="17">
        <v>279070000</v>
      </c>
      <c r="AD494" s="14" t="s">
        <v>108</v>
      </c>
      <c r="AE494" s="17">
        <v>258398148</v>
      </c>
      <c r="AF494" s="14" t="s">
        <v>117</v>
      </c>
      <c r="AG494" s="20" t="s">
        <v>184</v>
      </c>
      <c r="AH494" s="10">
        <v>116961416</v>
      </c>
      <c r="AI494" s="24" t="str">
        <f>VLOOKUP(Sales[[#This Row],[Store]],'Store lay bao  cao'!A:B,2,0)</f>
        <v>Lấy BC</v>
      </c>
      <c r="AJ494" s="24" t="str">
        <f>VLOOKUP(Sales[[#This Row],[Associate]],'Associate Status'!B:C,2,0)</f>
        <v>Retired</v>
      </c>
    </row>
    <row r="495" spans="1:36" x14ac:dyDescent="0.25">
      <c r="A495" s="7">
        <v>2024</v>
      </c>
      <c r="B495" s="8">
        <v>9</v>
      </c>
      <c r="C495" s="8">
        <v>40</v>
      </c>
      <c r="D495" s="8" t="s">
        <v>66</v>
      </c>
      <c r="E495" s="8" t="s">
        <v>43</v>
      </c>
      <c r="F495" s="8" t="s">
        <v>66</v>
      </c>
      <c r="G495" s="9">
        <v>52741668</v>
      </c>
      <c r="H495" s="10">
        <v>50179500</v>
      </c>
      <c r="I495" s="11">
        <v>45565</v>
      </c>
      <c r="J495" s="12">
        <v>210743</v>
      </c>
      <c r="K495" s="13" t="s">
        <v>692</v>
      </c>
      <c r="L495" s="14" t="s">
        <v>65</v>
      </c>
      <c r="M495" s="11" t="s">
        <v>15</v>
      </c>
      <c r="N495" s="14" t="s">
        <v>62</v>
      </c>
      <c r="O495" s="15">
        <v>4987</v>
      </c>
      <c r="P495" s="12">
        <v>1</v>
      </c>
      <c r="Q495" s="13" t="s">
        <v>175</v>
      </c>
      <c r="R495" s="16">
        <v>118651348.2</v>
      </c>
      <c r="S495" s="17">
        <v>109862359</v>
      </c>
      <c r="T495" s="12">
        <v>12.94</v>
      </c>
      <c r="U495" s="18">
        <v>16332085</v>
      </c>
      <c r="V495" s="19">
        <v>17638651.800000001</v>
      </c>
      <c r="W495" s="13" t="s">
        <v>135</v>
      </c>
      <c r="X495" s="14" t="s">
        <v>1829</v>
      </c>
      <c r="Y495" s="13" t="s">
        <v>183</v>
      </c>
      <c r="Z495" s="14" t="s">
        <v>1830</v>
      </c>
      <c r="AA495" s="17">
        <v>17</v>
      </c>
      <c r="AB495" s="14" t="s">
        <v>1764</v>
      </c>
      <c r="AC495" s="17">
        <v>136290000</v>
      </c>
      <c r="AD495" s="14" t="s">
        <v>108</v>
      </c>
      <c r="AE495" s="17">
        <v>126194444</v>
      </c>
      <c r="AF495" s="14" t="s">
        <v>117</v>
      </c>
      <c r="AG495" s="21" t="s">
        <v>184</v>
      </c>
      <c r="AH495" s="10">
        <v>57120691</v>
      </c>
      <c r="AI495" s="24" t="str">
        <f>VLOOKUP(Sales[[#This Row],[Store]],'Store lay bao  cao'!A:B,2,0)</f>
        <v>Lấy BC</v>
      </c>
      <c r="AJ495" s="24" t="str">
        <f>VLOOKUP(Sales[[#This Row],[Associate]],'Associate Status'!B:C,2,0)</f>
        <v>Retired</v>
      </c>
    </row>
    <row r="496" spans="1:36" x14ac:dyDescent="0.25">
      <c r="A496" s="7">
        <v>2024</v>
      </c>
      <c r="B496" s="8">
        <v>9</v>
      </c>
      <c r="C496" s="8">
        <v>40</v>
      </c>
      <c r="D496" s="8" t="s">
        <v>63</v>
      </c>
      <c r="E496" s="8" t="s">
        <v>37</v>
      </c>
      <c r="F496" s="8" t="s">
        <v>63</v>
      </c>
      <c r="G496" s="9">
        <v>-131798429</v>
      </c>
      <c r="H496" s="10">
        <v>-130095000</v>
      </c>
      <c r="I496" s="11">
        <v>45565</v>
      </c>
      <c r="J496" s="12">
        <v>209307</v>
      </c>
      <c r="K496" s="13" t="s">
        <v>694</v>
      </c>
      <c r="L496" s="14" t="s">
        <v>65</v>
      </c>
      <c r="M496" s="11" t="s">
        <v>15</v>
      </c>
      <c r="N496" s="14" t="s">
        <v>62</v>
      </c>
      <c r="O496" s="15">
        <v>4985</v>
      </c>
      <c r="P496" s="12">
        <v>-1</v>
      </c>
      <c r="Q496" s="13" t="s">
        <v>156</v>
      </c>
      <c r="R496" s="16">
        <v>-304153850</v>
      </c>
      <c r="S496" s="17">
        <v>-281623935</v>
      </c>
      <c r="T496" s="12">
        <v>9</v>
      </c>
      <c r="U496" s="18">
        <v>-27852917</v>
      </c>
      <c r="V496" s="19">
        <v>-30081150</v>
      </c>
      <c r="W496" s="13" t="s">
        <v>135</v>
      </c>
      <c r="X496" s="14" t="s">
        <v>1690</v>
      </c>
      <c r="Y496" s="13" t="s">
        <v>1423</v>
      </c>
      <c r="Z496" s="14" t="s">
        <v>1691</v>
      </c>
      <c r="AA496" s="17">
        <v>16</v>
      </c>
      <c r="AB496" s="14" t="s">
        <v>173</v>
      </c>
      <c r="AC496" s="17">
        <v>-334235000</v>
      </c>
      <c r="AD496" s="14" t="s">
        <v>108</v>
      </c>
      <c r="AE496" s="17">
        <v>-309476852</v>
      </c>
      <c r="AF496" s="14" t="s">
        <v>117</v>
      </c>
      <c r="AG496" s="20" t="s">
        <v>1424</v>
      </c>
      <c r="AH496" s="10">
        <v>-149825506</v>
      </c>
      <c r="AI496" s="24" t="str">
        <f>VLOOKUP(Sales[[#This Row],[Store]],'Store lay bao  cao'!A:B,2,0)</f>
        <v>Lấy BC</v>
      </c>
      <c r="AJ496" s="24" t="str">
        <f>VLOOKUP(Sales[[#This Row],[Associate]],'Associate Status'!B:C,2,0)</f>
        <v>Retired</v>
      </c>
    </row>
    <row r="497" spans="1:36" x14ac:dyDescent="0.25">
      <c r="A497" s="7">
        <v>2024</v>
      </c>
      <c r="B497" s="8">
        <v>10</v>
      </c>
      <c r="C497" s="8">
        <v>40</v>
      </c>
      <c r="D497" s="8" t="s">
        <v>66</v>
      </c>
      <c r="E497" s="8" t="s">
        <v>43</v>
      </c>
      <c r="F497" s="8" t="s">
        <v>66</v>
      </c>
      <c r="G497" s="9">
        <v>-35665636</v>
      </c>
      <c r="H497" s="10">
        <v>-34647750</v>
      </c>
      <c r="I497" s="11">
        <v>45569</v>
      </c>
      <c r="J497" s="12">
        <v>210744</v>
      </c>
      <c r="K497" s="13" t="s">
        <v>695</v>
      </c>
      <c r="L497" s="14" t="s">
        <v>65</v>
      </c>
      <c r="M497" s="11" t="s">
        <v>15</v>
      </c>
      <c r="N497" s="14" t="s">
        <v>62</v>
      </c>
      <c r="O497" s="15">
        <v>5004</v>
      </c>
      <c r="P497" s="12">
        <v>-1</v>
      </c>
      <c r="Q497" s="13" t="s">
        <v>156</v>
      </c>
      <c r="R497" s="16">
        <v>-85635550</v>
      </c>
      <c r="S497" s="17">
        <v>-79292176</v>
      </c>
      <c r="T497" s="12">
        <v>9</v>
      </c>
      <c r="U497" s="18">
        <v>-7842083</v>
      </c>
      <c r="V497" s="19">
        <v>-8469450</v>
      </c>
      <c r="W497" s="13" t="s">
        <v>104</v>
      </c>
      <c r="X497" s="14" t="s">
        <v>1762</v>
      </c>
      <c r="Y497" s="13" t="s">
        <v>183</v>
      </c>
      <c r="Z497" s="14" t="s">
        <v>1763</v>
      </c>
      <c r="AA497" s="17">
        <v>17</v>
      </c>
      <c r="AB497" s="14" t="s">
        <v>1764</v>
      </c>
      <c r="AC497" s="17">
        <v>-94105000</v>
      </c>
      <c r="AD497" s="14" t="s">
        <v>108</v>
      </c>
      <c r="AE497" s="17">
        <v>-87134259</v>
      </c>
      <c r="AF497" s="14" t="s">
        <v>117</v>
      </c>
      <c r="AG497" s="21" t="s">
        <v>184</v>
      </c>
      <c r="AH497" s="10">
        <v>-43626540</v>
      </c>
      <c r="AI497" s="24" t="str">
        <f>VLOOKUP(Sales[[#This Row],[Store]],'Store lay bao  cao'!A:B,2,0)</f>
        <v>Lấy BC</v>
      </c>
      <c r="AJ497" s="24" t="str">
        <f>VLOOKUP(Sales[[#This Row],[Associate]],'Associate Status'!B:C,2,0)</f>
        <v>Retired</v>
      </c>
    </row>
    <row r="498" spans="1:36" x14ac:dyDescent="0.25">
      <c r="A498" s="7">
        <v>2024</v>
      </c>
      <c r="B498" s="8">
        <v>10</v>
      </c>
      <c r="C498" s="8">
        <v>40</v>
      </c>
      <c r="D498" s="8" t="s">
        <v>66</v>
      </c>
      <c r="E498" s="8" t="s">
        <v>43</v>
      </c>
      <c r="F498" s="8" t="s">
        <v>66</v>
      </c>
      <c r="G498" s="9">
        <v>-177098333</v>
      </c>
      <c r="H498" s="10">
        <v>-172044000</v>
      </c>
      <c r="I498" s="11">
        <v>45569</v>
      </c>
      <c r="J498" s="12">
        <v>210745</v>
      </c>
      <c r="K498" s="13" t="s">
        <v>695</v>
      </c>
      <c r="L498" s="14" t="s">
        <v>65</v>
      </c>
      <c r="M498" s="11" t="s">
        <v>15</v>
      </c>
      <c r="N498" s="14" t="s">
        <v>62</v>
      </c>
      <c r="O498" s="15">
        <v>5004</v>
      </c>
      <c r="P498" s="12">
        <v>-1</v>
      </c>
      <c r="Q498" s="13" t="s">
        <v>156</v>
      </c>
      <c r="R498" s="16">
        <v>-425224800</v>
      </c>
      <c r="S498" s="17">
        <v>-393726667</v>
      </c>
      <c r="T498" s="12">
        <v>9</v>
      </c>
      <c r="U498" s="18">
        <v>-38940000</v>
      </c>
      <c r="V498" s="19">
        <v>-42055200</v>
      </c>
      <c r="W498" s="13" t="s">
        <v>104</v>
      </c>
      <c r="X498" s="14" t="s">
        <v>1762</v>
      </c>
      <c r="Y498" s="13" t="s">
        <v>183</v>
      </c>
      <c r="Z498" s="14" t="s">
        <v>1765</v>
      </c>
      <c r="AA498" s="17">
        <v>17</v>
      </c>
      <c r="AB498" s="14" t="s">
        <v>1764</v>
      </c>
      <c r="AC498" s="17">
        <v>-467280000</v>
      </c>
      <c r="AD498" s="14" t="s">
        <v>108</v>
      </c>
      <c r="AE498" s="17">
        <v>-432666667</v>
      </c>
      <c r="AF498" s="14" t="s">
        <v>117</v>
      </c>
      <c r="AG498" s="20" t="s">
        <v>184</v>
      </c>
      <c r="AH498" s="10">
        <v>-216628334</v>
      </c>
      <c r="AI498" s="24" t="str">
        <f>VLOOKUP(Sales[[#This Row],[Store]],'Store lay bao  cao'!A:B,2,0)</f>
        <v>Lấy BC</v>
      </c>
      <c r="AJ498" s="24" t="str">
        <f>VLOOKUP(Sales[[#This Row],[Associate]],'Associate Status'!B:C,2,0)</f>
        <v>Retired</v>
      </c>
    </row>
    <row r="499" spans="1:36" x14ac:dyDescent="0.25">
      <c r="A499" s="7">
        <v>2024</v>
      </c>
      <c r="B499" s="8">
        <v>10</v>
      </c>
      <c r="C499" s="8">
        <v>40</v>
      </c>
      <c r="D499" s="8" t="s">
        <v>66</v>
      </c>
      <c r="E499" s="8" t="s">
        <v>34</v>
      </c>
      <c r="F499" s="8" t="s">
        <v>66</v>
      </c>
      <c r="G499" s="9">
        <v>-106996908</v>
      </c>
      <c r="H499" s="10">
        <v>-103943250</v>
      </c>
      <c r="I499" s="11">
        <v>45569</v>
      </c>
      <c r="J499" s="12">
        <v>210747</v>
      </c>
      <c r="K499" s="13" t="s">
        <v>695</v>
      </c>
      <c r="L499" s="14" t="s">
        <v>65</v>
      </c>
      <c r="M499" s="11" t="s">
        <v>15</v>
      </c>
      <c r="N499" s="14" t="s">
        <v>62</v>
      </c>
      <c r="O499" s="15">
        <v>5004</v>
      </c>
      <c r="P499" s="12">
        <v>-1</v>
      </c>
      <c r="Q499" s="13" t="s">
        <v>156</v>
      </c>
      <c r="R499" s="16">
        <v>-256906650</v>
      </c>
      <c r="S499" s="17">
        <v>-237876528</v>
      </c>
      <c r="T499" s="12">
        <v>9</v>
      </c>
      <c r="U499" s="18">
        <v>-23526250</v>
      </c>
      <c r="V499" s="19">
        <v>-25408350</v>
      </c>
      <c r="W499" s="13" t="s">
        <v>104</v>
      </c>
      <c r="X499" s="14" t="s">
        <v>1766</v>
      </c>
      <c r="Y499" s="13" t="s">
        <v>183</v>
      </c>
      <c r="Z499" s="14" t="s">
        <v>1767</v>
      </c>
      <c r="AA499" s="17">
        <v>17</v>
      </c>
      <c r="AB499" s="14" t="s">
        <v>1764</v>
      </c>
      <c r="AC499" s="17">
        <v>-282315000</v>
      </c>
      <c r="AD499" s="14" t="s">
        <v>108</v>
      </c>
      <c r="AE499" s="17">
        <v>-261402778</v>
      </c>
      <c r="AF499" s="14" t="s">
        <v>117</v>
      </c>
      <c r="AG499" s="21" t="s">
        <v>184</v>
      </c>
      <c r="AH499" s="10">
        <v>-130879620</v>
      </c>
      <c r="AI499" s="24" t="str">
        <f>VLOOKUP(Sales[[#This Row],[Store]],'Store lay bao  cao'!A:B,2,0)</f>
        <v>Lấy BC</v>
      </c>
      <c r="AJ499" s="24" t="str">
        <f>VLOOKUP(Sales[[#This Row],[Associate]],'Associate Status'!B:C,2,0)</f>
        <v>Retired</v>
      </c>
    </row>
    <row r="500" spans="1:36" x14ac:dyDescent="0.25">
      <c r="A500" s="7">
        <v>2024</v>
      </c>
      <c r="B500" s="8">
        <v>10</v>
      </c>
      <c r="C500" s="8">
        <v>40</v>
      </c>
      <c r="D500" s="8" t="s">
        <v>66</v>
      </c>
      <c r="E500" s="8" t="s">
        <v>34</v>
      </c>
      <c r="F500" s="8" t="s">
        <v>66</v>
      </c>
      <c r="G500" s="9">
        <v>-227522162</v>
      </c>
      <c r="H500" s="10">
        <v>-221028750</v>
      </c>
      <c r="I500" s="11">
        <v>45569</v>
      </c>
      <c r="J500" s="12">
        <v>210748</v>
      </c>
      <c r="K500" s="13" t="s">
        <v>695</v>
      </c>
      <c r="L500" s="14" t="s">
        <v>65</v>
      </c>
      <c r="M500" s="11" t="s">
        <v>15</v>
      </c>
      <c r="N500" s="14" t="s">
        <v>62</v>
      </c>
      <c r="O500" s="15">
        <v>5004</v>
      </c>
      <c r="P500" s="12">
        <v>-1</v>
      </c>
      <c r="Q500" s="13" t="s">
        <v>156</v>
      </c>
      <c r="R500" s="16">
        <v>-546295750</v>
      </c>
      <c r="S500" s="17">
        <v>-505829398</v>
      </c>
      <c r="T500" s="12">
        <v>9</v>
      </c>
      <c r="U500" s="18">
        <v>-50027083</v>
      </c>
      <c r="V500" s="19">
        <v>-54029250</v>
      </c>
      <c r="W500" s="13" t="s">
        <v>104</v>
      </c>
      <c r="X500" s="14" t="s">
        <v>1766</v>
      </c>
      <c r="Y500" s="13" t="s">
        <v>183</v>
      </c>
      <c r="Z500" s="14" t="s">
        <v>1768</v>
      </c>
      <c r="AA500" s="17">
        <v>17</v>
      </c>
      <c r="AB500" s="14" t="s">
        <v>1764</v>
      </c>
      <c r="AC500" s="17">
        <v>-600325000</v>
      </c>
      <c r="AD500" s="14" t="s">
        <v>108</v>
      </c>
      <c r="AE500" s="17">
        <v>-555856481</v>
      </c>
      <c r="AF500" s="14" t="s">
        <v>117</v>
      </c>
      <c r="AG500" s="20" t="s">
        <v>184</v>
      </c>
      <c r="AH500" s="10">
        <v>-278307236</v>
      </c>
      <c r="AI500" s="24" t="str">
        <f>VLOOKUP(Sales[[#This Row],[Store]],'Store lay bao  cao'!A:B,2,0)</f>
        <v>Lấy BC</v>
      </c>
      <c r="AJ500" s="24" t="str">
        <f>VLOOKUP(Sales[[#This Row],[Associate]],'Associate Status'!B:C,2,0)</f>
        <v>Retired</v>
      </c>
    </row>
    <row r="501" spans="1:36" x14ac:dyDescent="0.25">
      <c r="A501" s="7">
        <v>2024</v>
      </c>
      <c r="B501" s="8">
        <v>10</v>
      </c>
      <c r="C501" s="8">
        <v>40</v>
      </c>
      <c r="D501" s="8" t="s">
        <v>66</v>
      </c>
      <c r="E501" s="8" t="s">
        <v>53</v>
      </c>
      <c r="F501" s="8" t="s">
        <v>66</v>
      </c>
      <c r="G501" s="9">
        <v>-133747502</v>
      </c>
      <c r="H501" s="10">
        <v>-129930390</v>
      </c>
      <c r="I501" s="11">
        <v>45569</v>
      </c>
      <c r="J501" s="12">
        <v>210756</v>
      </c>
      <c r="K501" s="13" t="s">
        <v>695</v>
      </c>
      <c r="L501" s="14" t="s">
        <v>65</v>
      </c>
      <c r="M501" s="11" t="s">
        <v>15</v>
      </c>
      <c r="N501" s="14" t="s">
        <v>62</v>
      </c>
      <c r="O501" s="15">
        <v>5004</v>
      </c>
      <c r="P501" s="12">
        <v>-1</v>
      </c>
      <c r="Q501" s="13" t="s">
        <v>156</v>
      </c>
      <c r="R501" s="16">
        <v>-291939830</v>
      </c>
      <c r="S501" s="17">
        <v>-270314657</v>
      </c>
      <c r="T501" s="12">
        <v>9</v>
      </c>
      <c r="U501" s="18">
        <v>-26734417</v>
      </c>
      <c r="V501" s="19">
        <v>-28873170</v>
      </c>
      <c r="W501" s="13" t="s">
        <v>104</v>
      </c>
      <c r="X501" s="14" t="s">
        <v>1769</v>
      </c>
      <c r="Y501" s="13" t="s">
        <v>183</v>
      </c>
      <c r="Z501" s="14" t="s">
        <v>1770</v>
      </c>
      <c r="AA501" s="17">
        <v>17</v>
      </c>
      <c r="AB501" s="14" t="s">
        <v>1771</v>
      </c>
      <c r="AC501" s="17">
        <v>-320813000</v>
      </c>
      <c r="AD501" s="14" t="s">
        <v>108</v>
      </c>
      <c r="AE501" s="17">
        <v>-297049074</v>
      </c>
      <c r="AF501" s="14" t="s">
        <v>117</v>
      </c>
      <c r="AG501" s="21" t="s">
        <v>184</v>
      </c>
      <c r="AH501" s="10">
        <v>-136567155</v>
      </c>
      <c r="AI501" s="24" t="str">
        <f>VLOOKUP(Sales[[#This Row],[Store]],'Store lay bao  cao'!A:B,2,0)</f>
        <v>Lấy BC</v>
      </c>
      <c r="AJ501" s="24" t="str">
        <f>VLOOKUP(Sales[[#This Row],[Associate]],'Associate Status'!B:C,2,0)</f>
        <v>Retired</v>
      </c>
    </row>
    <row r="502" spans="1:36" x14ac:dyDescent="0.25">
      <c r="A502" s="7">
        <v>2024</v>
      </c>
      <c r="B502" s="8">
        <v>10</v>
      </c>
      <c r="C502" s="8">
        <v>40</v>
      </c>
      <c r="D502" s="8" t="s">
        <v>66</v>
      </c>
      <c r="E502" s="8" t="s">
        <v>53</v>
      </c>
      <c r="F502" s="8" t="s">
        <v>66</v>
      </c>
      <c r="G502" s="9">
        <v>-82461865</v>
      </c>
      <c r="H502" s="10">
        <v>-80108430</v>
      </c>
      <c r="I502" s="11">
        <v>45569</v>
      </c>
      <c r="J502" s="12">
        <v>210757</v>
      </c>
      <c r="K502" s="13" t="s">
        <v>695</v>
      </c>
      <c r="L502" s="14" t="s">
        <v>65</v>
      </c>
      <c r="M502" s="11" t="s">
        <v>15</v>
      </c>
      <c r="N502" s="14" t="s">
        <v>62</v>
      </c>
      <c r="O502" s="15">
        <v>5004</v>
      </c>
      <c r="P502" s="12">
        <v>-1</v>
      </c>
      <c r="Q502" s="13" t="s">
        <v>156</v>
      </c>
      <c r="R502" s="16">
        <v>-228182500</v>
      </c>
      <c r="S502" s="17">
        <v>-211280093</v>
      </c>
      <c r="T502" s="12">
        <v>9</v>
      </c>
      <c r="U502" s="18">
        <v>-20895833</v>
      </c>
      <c r="V502" s="19">
        <v>-22567500</v>
      </c>
      <c r="W502" s="13" t="s">
        <v>104</v>
      </c>
      <c r="X502" s="14" t="s">
        <v>1769</v>
      </c>
      <c r="Y502" s="13" t="s">
        <v>183</v>
      </c>
      <c r="Z502" s="14" t="s">
        <v>1772</v>
      </c>
      <c r="AA502" s="17">
        <v>17</v>
      </c>
      <c r="AB502" s="14" t="s">
        <v>1773</v>
      </c>
      <c r="AC502" s="17">
        <v>-250750000</v>
      </c>
      <c r="AD502" s="14" t="s">
        <v>108</v>
      </c>
      <c r="AE502" s="17">
        <v>-232175926</v>
      </c>
      <c r="AF502" s="14" t="s">
        <v>117</v>
      </c>
      <c r="AG502" s="20" t="s">
        <v>184</v>
      </c>
      <c r="AH502" s="10">
        <v>-128818228</v>
      </c>
      <c r="AI502" s="24" t="str">
        <f>VLOOKUP(Sales[[#This Row],[Store]],'Store lay bao  cao'!A:B,2,0)</f>
        <v>Lấy BC</v>
      </c>
      <c r="AJ502" s="24" t="str">
        <f>VLOOKUP(Sales[[#This Row],[Associate]],'Associate Status'!B:C,2,0)</f>
        <v>Retired</v>
      </c>
    </row>
    <row r="503" spans="1:36" x14ac:dyDescent="0.25">
      <c r="A503" s="7">
        <v>2024</v>
      </c>
      <c r="B503" s="8">
        <v>10</v>
      </c>
      <c r="C503" s="8">
        <v>40</v>
      </c>
      <c r="D503" s="8" t="s">
        <v>66</v>
      </c>
      <c r="E503" s="8" t="s">
        <v>53</v>
      </c>
      <c r="F503" s="8" t="s">
        <v>66</v>
      </c>
      <c r="G503" s="9">
        <v>-37818024</v>
      </c>
      <c r="H503" s="10">
        <v>-36738562.5</v>
      </c>
      <c r="I503" s="11">
        <v>45569</v>
      </c>
      <c r="J503" s="12">
        <v>210758</v>
      </c>
      <c r="K503" s="13" t="s">
        <v>695</v>
      </c>
      <c r="L503" s="14" t="s">
        <v>65</v>
      </c>
      <c r="M503" s="11" t="s">
        <v>15</v>
      </c>
      <c r="N503" s="14" t="s">
        <v>62</v>
      </c>
      <c r="O503" s="15">
        <v>5004</v>
      </c>
      <c r="P503" s="12">
        <v>-1</v>
      </c>
      <c r="Q503" s="13" t="s">
        <v>156</v>
      </c>
      <c r="R503" s="16">
        <v>-99998080</v>
      </c>
      <c r="S503" s="17">
        <v>-92590815</v>
      </c>
      <c r="T503" s="12">
        <v>9</v>
      </c>
      <c r="U503" s="18">
        <v>-9157333</v>
      </c>
      <c r="V503" s="19">
        <v>-9889920</v>
      </c>
      <c r="W503" s="13" t="s">
        <v>104</v>
      </c>
      <c r="X503" s="14" t="s">
        <v>1769</v>
      </c>
      <c r="Y503" s="13" t="s">
        <v>183</v>
      </c>
      <c r="Z503" s="14" t="s">
        <v>1774</v>
      </c>
      <c r="AA503" s="17">
        <v>17</v>
      </c>
      <c r="AB503" s="14" t="s">
        <v>1771</v>
      </c>
      <c r="AC503" s="17">
        <v>-109888000</v>
      </c>
      <c r="AD503" s="14" t="s">
        <v>108</v>
      </c>
      <c r="AE503" s="17">
        <v>-101748148</v>
      </c>
      <c r="AF503" s="14" t="s">
        <v>117</v>
      </c>
      <c r="AG503" s="21" t="s">
        <v>184</v>
      </c>
      <c r="AH503" s="10">
        <v>-54772791</v>
      </c>
      <c r="AI503" s="24" t="str">
        <f>VLOOKUP(Sales[[#This Row],[Store]],'Store lay bao  cao'!A:B,2,0)</f>
        <v>Lấy BC</v>
      </c>
      <c r="AJ503" s="24" t="str">
        <f>VLOOKUP(Sales[[#This Row],[Associate]],'Associate Status'!B:C,2,0)</f>
        <v>Retired</v>
      </c>
    </row>
    <row r="504" spans="1:36" x14ac:dyDescent="0.25">
      <c r="A504" s="7">
        <v>2024</v>
      </c>
      <c r="B504" s="8">
        <v>10</v>
      </c>
      <c r="C504" s="8">
        <v>40</v>
      </c>
      <c r="D504" s="8" t="s">
        <v>66</v>
      </c>
      <c r="E504" s="8" t="s">
        <v>43</v>
      </c>
      <c r="F504" s="8" t="s">
        <v>66</v>
      </c>
      <c r="G504" s="9">
        <v>-50423830</v>
      </c>
      <c r="H504" s="10">
        <v>-48984750</v>
      </c>
      <c r="I504" s="11">
        <v>45569</v>
      </c>
      <c r="J504" s="12">
        <v>210759</v>
      </c>
      <c r="K504" s="13" t="s">
        <v>695</v>
      </c>
      <c r="L504" s="14" t="s">
        <v>65</v>
      </c>
      <c r="M504" s="11" t="s">
        <v>15</v>
      </c>
      <c r="N504" s="14" t="s">
        <v>62</v>
      </c>
      <c r="O504" s="15">
        <v>5004</v>
      </c>
      <c r="P504" s="12">
        <v>-1</v>
      </c>
      <c r="Q504" s="13" t="s">
        <v>156</v>
      </c>
      <c r="R504" s="16">
        <v>-121070950</v>
      </c>
      <c r="S504" s="17">
        <v>-112102731</v>
      </c>
      <c r="T504" s="12">
        <v>9</v>
      </c>
      <c r="U504" s="18">
        <v>-11087083</v>
      </c>
      <c r="V504" s="19">
        <v>-11974050</v>
      </c>
      <c r="W504" s="13" t="s">
        <v>104</v>
      </c>
      <c r="X504" s="14" t="s">
        <v>1775</v>
      </c>
      <c r="Y504" s="13" t="s">
        <v>183</v>
      </c>
      <c r="Z504" s="14" t="s">
        <v>1776</v>
      </c>
      <c r="AA504" s="17">
        <v>17</v>
      </c>
      <c r="AB504" s="14" t="s">
        <v>1771</v>
      </c>
      <c r="AC504" s="17">
        <v>-133045000</v>
      </c>
      <c r="AD504" s="14">
        <v>53</v>
      </c>
      <c r="AE504" s="17">
        <v>-123189815</v>
      </c>
      <c r="AF504" s="14" t="s">
        <v>117</v>
      </c>
      <c r="AG504" s="20" t="s">
        <v>184</v>
      </c>
      <c r="AH504" s="10">
        <v>-61678901</v>
      </c>
      <c r="AI504" s="24" t="str">
        <f>VLOOKUP(Sales[[#This Row],[Store]],'Store lay bao  cao'!A:B,2,0)</f>
        <v>Lấy BC</v>
      </c>
      <c r="AJ504" s="24" t="str">
        <f>VLOOKUP(Sales[[#This Row],[Associate]],'Associate Status'!B:C,2,0)</f>
        <v>Retired</v>
      </c>
    </row>
    <row r="505" spans="1:36" x14ac:dyDescent="0.25">
      <c r="A505" s="7">
        <v>2024</v>
      </c>
      <c r="B505" s="8">
        <v>10</v>
      </c>
      <c r="C505" s="8">
        <v>40</v>
      </c>
      <c r="D505" s="8" t="s">
        <v>66</v>
      </c>
      <c r="E505" s="8" t="s">
        <v>43</v>
      </c>
      <c r="F505" s="8" t="s">
        <v>66</v>
      </c>
      <c r="G505" s="9">
        <v>35665636</v>
      </c>
      <c r="H505" s="10">
        <v>34647750</v>
      </c>
      <c r="I505" s="11">
        <v>45569</v>
      </c>
      <c r="J505" s="12">
        <v>210744</v>
      </c>
      <c r="K505" s="13" t="s">
        <v>695</v>
      </c>
      <c r="L505" s="14" t="s">
        <v>65</v>
      </c>
      <c r="M505" s="11" t="s">
        <v>15</v>
      </c>
      <c r="N505" s="14" t="s">
        <v>62</v>
      </c>
      <c r="O505" s="15">
        <v>5004</v>
      </c>
      <c r="P505" s="12">
        <v>1</v>
      </c>
      <c r="Q505" s="13" t="s">
        <v>156</v>
      </c>
      <c r="R505" s="16">
        <v>81926401.430000007</v>
      </c>
      <c r="S505" s="17">
        <v>75857779</v>
      </c>
      <c r="T505" s="12">
        <v>12.94</v>
      </c>
      <c r="U505" s="18">
        <v>11276480</v>
      </c>
      <c r="V505" s="19">
        <v>12178598.57</v>
      </c>
      <c r="W505" s="13" t="s">
        <v>104</v>
      </c>
      <c r="X505" s="14" t="s">
        <v>1762</v>
      </c>
      <c r="Y505" s="13" t="s">
        <v>183</v>
      </c>
      <c r="Z505" s="14" t="s">
        <v>1763</v>
      </c>
      <c r="AA505" s="17">
        <v>17</v>
      </c>
      <c r="AB505" s="14" t="s">
        <v>1764</v>
      </c>
      <c r="AC505" s="17">
        <v>94105000</v>
      </c>
      <c r="AD505" s="14" t="s">
        <v>108</v>
      </c>
      <c r="AE505" s="17">
        <v>87134259</v>
      </c>
      <c r="AF505" s="14" t="s">
        <v>117</v>
      </c>
      <c r="AG505" s="21" t="s">
        <v>184</v>
      </c>
      <c r="AH505" s="10">
        <v>40192143</v>
      </c>
      <c r="AI505" s="24" t="str">
        <f>VLOOKUP(Sales[[#This Row],[Store]],'Store lay bao  cao'!A:B,2,0)</f>
        <v>Lấy BC</v>
      </c>
      <c r="AJ505" s="24" t="str">
        <f>VLOOKUP(Sales[[#This Row],[Associate]],'Associate Status'!B:C,2,0)</f>
        <v>Retired</v>
      </c>
    </row>
    <row r="506" spans="1:36" x14ac:dyDescent="0.25">
      <c r="A506" s="7">
        <v>2024</v>
      </c>
      <c r="B506" s="8">
        <v>10</v>
      </c>
      <c r="C506" s="8">
        <v>40</v>
      </c>
      <c r="D506" s="8" t="s">
        <v>66</v>
      </c>
      <c r="E506" s="8" t="s">
        <v>43</v>
      </c>
      <c r="F506" s="8" t="s">
        <v>66</v>
      </c>
      <c r="G506" s="9">
        <v>177098333</v>
      </c>
      <c r="H506" s="10">
        <v>172044000</v>
      </c>
      <c r="I506" s="11">
        <v>45569</v>
      </c>
      <c r="J506" s="12">
        <v>210745</v>
      </c>
      <c r="K506" s="13" t="s">
        <v>695</v>
      </c>
      <c r="L506" s="14" t="s">
        <v>65</v>
      </c>
      <c r="M506" s="11" t="s">
        <v>15</v>
      </c>
      <c r="N506" s="14" t="s">
        <v>62</v>
      </c>
      <c r="O506" s="15">
        <v>5004</v>
      </c>
      <c r="P506" s="12">
        <v>1</v>
      </c>
      <c r="Q506" s="13" t="s">
        <v>156</v>
      </c>
      <c r="R506" s="16">
        <v>406803687.83999997</v>
      </c>
      <c r="S506" s="17">
        <v>376670081</v>
      </c>
      <c r="T506" s="12">
        <v>12.94</v>
      </c>
      <c r="U506" s="18">
        <v>55996585</v>
      </c>
      <c r="V506" s="19">
        <v>60476312.159999996</v>
      </c>
      <c r="W506" s="13" t="s">
        <v>104</v>
      </c>
      <c r="X506" s="14" t="s">
        <v>1762</v>
      </c>
      <c r="Y506" s="13" t="s">
        <v>183</v>
      </c>
      <c r="Z506" s="14" t="s">
        <v>1765</v>
      </c>
      <c r="AA506" s="17">
        <v>17</v>
      </c>
      <c r="AB506" s="14" t="s">
        <v>1764</v>
      </c>
      <c r="AC506" s="17">
        <v>467280000</v>
      </c>
      <c r="AD506" s="14" t="s">
        <v>108</v>
      </c>
      <c r="AE506" s="17">
        <v>432666667</v>
      </c>
      <c r="AF506" s="14" t="s">
        <v>117</v>
      </c>
      <c r="AG506" s="20" t="s">
        <v>184</v>
      </c>
      <c r="AH506" s="10">
        <v>199571748</v>
      </c>
      <c r="AI506" s="24" t="str">
        <f>VLOOKUP(Sales[[#This Row],[Store]],'Store lay bao  cao'!A:B,2,0)</f>
        <v>Lấy BC</v>
      </c>
      <c r="AJ506" s="24" t="str">
        <f>VLOOKUP(Sales[[#This Row],[Associate]],'Associate Status'!B:C,2,0)</f>
        <v>Retired</v>
      </c>
    </row>
    <row r="507" spans="1:36" x14ac:dyDescent="0.25">
      <c r="A507" s="7">
        <v>2024</v>
      </c>
      <c r="B507" s="8">
        <v>10</v>
      </c>
      <c r="C507" s="8">
        <v>40</v>
      </c>
      <c r="D507" s="8" t="s">
        <v>66</v>
      </c>
      <c r="E507" s="8" t="s">
        <v>34</v>
      </c>
      <c r="F507" s="8" t="s">
        <v>66</v>
      </c>
      <c r="G507" s="9">
        <v>106996908</v>
      </c>
      <c r="H507" s="10">
        <v>103943250</v>
      </c>
      <c r="I507" s="11">
        <v>45569</v>
      </c>
      <c r="J507" s="12">
        <v>210747</v>
      </c>
      <c r="K507" s="13" t="s">
        <v>695</v>
      </c>
      <c r="L507" s="14" t="s">
        <v>65</v>
      </c>
      <c r="M507" s="11" t="s">
        <v>15</v>
      </c>
      <c r="N507" s="14" t="s">
        <v>62</v>
      </c>
      <c r="O507" s="15">
        <v>5004</v>
      </c>
      <c r="P507" s="12">
        <v>1</v>
      </c>
      <c r="Q507" s="13" t="s">
        <v>156</v>
      </c>
      <c r="R507" s="16">
        <v>245777228.06999999</v>
      </c>
      <c r="S507" s="17">
        <v>227571507</v>
      </c>
      <c r="T507" s="12">
        <v>12.94</v>
      </c>
      <c r="U507" s="18">
        <v>33831270</v>
      </c>
      <c r="V507" s="19">
        <v>36537771.93</v>
      </c>
      <c r="W507" s="13" t="s">
        <v>104</v>
      </c>
      <c r="X507" s="14" t="s">
        <v>1766</v>
      </c>
      <c r="Y507" s="13" t="s">
        <v>183</v>
      </c>
      <c r="Z507" s="14" t="s">
        <v>1767</v>
      </c>
      <c r="AA507" s="17">
        <v>17</v>
      </c>
      <c r="AB507" s="14" t="s">
        <v>1764</v>
      </c>
      <c r="AC507" s="17">
        <v>282315000</v>
      </c>
      <c r="AD507" s="14" t="s">
        <v>108</v>
      </c>
      <c r="AE507" s="17">
        <v>261402778</v>
      </c>
      <c r="AF507" s="14" t="s">
        <v>117</v>
      </c>
      <c r="AG507" s="21" t="s">
        <v>184</v>
      </c>
      <c r="AH507" s="10">
        <v>120574599</v>
      </c>
      <c r="AI507" s="24" t="str">
        <f>VLOOKUP(Sales[[#This Row],[Store]],'Store lay bao  cao'!A:B,2,0)</f>
        <v>Lấy BC</v>
      </c>
      <c r="AJ507" s="24" t="str">
        <f>VLOOKUP(Sales[[#This Row],[Associate]],'Associate Status'!B:C,2,0)</f>
        <v>Retired</v>
      </c>
    </row>
    <row r="508" spans="1:36" x14ac:dyDescent="0.25">
      <c r="A508" s="7">
        <v>2024</v>
      </c>
      <c r="B508" s="8">
        <v>10</v>
      </c>
      <c r="C508" s="8">
        <v>40</v>
      </c>
      <c r="D508" s="8" t="s">
        <v>66</v>
      </c>
      <c r="E508" s="8" t="s">
        <v>34</v>
      </c>
      <c r="F508" s="8" t="s">
        <v>66</v>
      </c>
      <c r="G508" s="9">
        <v>227522162</v>
      </c>
      <c r="H508" s="10">
        <v>221028750</v>
      </c>
      <c r="I508" s="11">
        <v>45569</v>
      </c>
      <c r="J508" s="12">
        <v>210748</v>
      </c>
      <c r="K508" s="13" t="s">
        <v>695</v>
      </c>
      <c r="L508" s="14" t="s">
        <v>65</v>
      </c>
      <c r="M508" s="11" t="s">
        <v>15</v>
      </c>
      <c r="N508" s="14" t="s">
        <v>62</v>
      </c>
      <c r="O508" s="15">
        <v>5004</v>
      </c>
      <c r="P508" s="12">
        <v>1</v>
      </c>
      <c r="Q508" s="13" t="s">
        <v>156</v>
      </c>
      <c r="R508" s="16">
        <v>522629137.52999997</v>
      </c>
      <c r="S508" s="17">
        <v>483915868</v>
      </c>
      <c r="T508" s="12">
        <v>12.94</v>
      </c>
      <c r="U508" s="18">
        <v>71940613</v>
      </c>
      <c r="V508" s="19">
        <v>77695862.469999999</v>
      </c>
      <c r="W508" s="13" t="s">
        <v>104</v>
      </c>
      <c r="X508" s="14" t="s">
        <v>1766</v>
      </c>
      <c r="Y508" s="13" t="s">
        <v>183</v>
      </c>
      <c r="Z508" s="14" t="s">
        <v>1768</v>
      </c>
      <c r="AA508" s="17">
        <v>17</v>
      </c>
      <c r="AB508" s="14" t="s">
        <v>1764</v>
      </c>
      <c r="AC508" s="17">
        <v>600325000</v>
      </c>
      <c r="AD508" s="14" t="s">
        <v>108</v>
      </c>
      <c r="AE508" s="17">
        <v>555856481</v>
      </c>
      <c r="AF508" s="14" t="s">
        <v>117</v>
      </c>
      <c r="AG508" s="20" t="s">
        <v>184</v>
      </c>
      <c r="AH508" s="10">
        <v>256393706</v>
      </c>
      <c r="AI508" s="24" t="str">
        <f>VLOOKUP(Sales[[#This Row],[Store]],'Store lay bao  cao'!A:B,2,0)</f>
        <v>Lấy BC</v>
      </c>
      <c r="AJ508" s="24" t="str">
        <f>VLOOKUP(Sales[[#This Row],[Associate]],'Associate Status'!B:C,2,0)</f>
        <v>Retired</v>
      </c>
    </row>
    <row r="509" spans="1:36" x14ac:dyDescent="0.25">
      <c r="A509" s="7">
        <v>2024</v>
      </c>
      <c r="B509" s="8">
        <v>10</v>
      </c>
      <c r="C509" s="8">
        <v>40</v>
      </c>
      <c r="D509" s="8" t="s">
        <v>66</v>
      </c>
      <c r="E509" s="8" t="s">
        <v>53</v>
      </c>
      <c r="F509" s="8" t="s">
        <v>66</v>
      </c>
      <c r="G509" s="9">
        <v>133747502</v>
      </c>
      <c r="H509" s="10">
        <v>129930390</v>
      </c>
      <c r="I509" s="11">
        <v>45569</v>
      </c>
      <c r="J509" s="12">
        <v>210756</v>
      </c>
      <c r="K509" s="13" t="s">
        <v>695</v>
      </c>
      <c r="L509" s="14" t="s">
        <v>65</v>
      </c>
      <c r="M509" s="11" t="s">
        <v>15</v>
      </c>
      <c r="N509" s="14" t="s">
        <v>62</v>
      </c>
      <c r="O509" s="15">
        <v>5004</v>
      </c>
      <c r="P509" s="12">
        <v>1</v>
      </c>
      <c r="Q509" s="13" t="s">
        <v>156</v>
      </c>
      <c r="R509" s="16">
        <v>279292739.91000003</v>
      </c>
      <c r="S509" s="17">
        <v>258604389</v>
      </c>
      <c r="T509" s="12">
        <v>12.94</v>
      </c>
      <c r="U509" s="18">
        <v>38444685</v>
      </c>
      <c r="V509" s="19">
        <v>41520260.090000004</v>
      </c>
      <c r="W509" s="13" t="s">
        <v>104</v>
      </c>
      <c r="X509" s="14" t="s">
        <v>1769</v>
      </c>
      <c r="Y509" s="13" t="s">
        <v>183</v>
      </c>
      <c r="Z509" s="14" t="s">
        <v>1770</v>
      </c>
      <c r="AA509" s="17">
        <v>17</v>
      </c>
      <c r="AB509" s="14" t="s">
        <v>1771</v>
      </c>
      <c r="AC509" s="17">
        <v>320813000</v>
      </c>
      <c r="AD509" s="14" t="s">
        <v>108</v>
      </c>
      <c r="AE509" s="17">
        <v>297049074</v>
      </c>
      <c r="AF509" s="14" t="s">
        <v>117</v>
      </c>
      <c r="AG509" s="21" t="s">
        <v>184</v>
      </c>
      <c r="AH509" s="10">
        <v>124856887</v>
      </c>
      <c r="AI509" s="24" t="str">
        <f>VLOOKUP(Sales[[#This Row],[Store]],'Store lay bao  cao'!A:B,2,0)</f>
        <v>Lấy BC</v>
      </c>
      <c r="AJ509" s="24" t="str">
        <f>VLOOKUP(Sales[[#This Row],[Associate]],'Associate Status'!B:C,2,0)</f>
        <v>Retired</v>
      </c>
    </row>
    <row r="510" spans="1:36" x14ac:dyDescent="0.25">
      <c r="A510" s="7">
        <v>2024</v>
      </c>
      <c r="B510" s="8">
        <v>10</v>
      </c>
      <c r="C510" s="8">
        <v>40</v>
      </c>
      <c r="D510" s="8" t="s">
        <v>66</v>
      </c>
      <c r="E510" s="8" t="s">
        <v>53</v>
      </c>
      <c r="F510" s="8" t="s">
        <v>66</v>
      </c>
      <c r="G510" s="9">
        <v>37818024</v>
      </c>
      <c r="H510" s="10">
        <v>36738562.5</v>
      </c>
      <c r="I510" s="11">
        <v>45569</v>
      </c>
      <c r="J510" s="12">
        <v>210758</v>
      </c>
      <c r="K510" s="13" t="s">
        <v>695</v>
      </c>
      <c r="L510" s="14" t="s">
        <v>65</v>
      </c>
      <c r="M510" s="11" t="s">
        <v>15</v>
      </c>
      <c r="N510" s="14" t="s">
        <v>62</v>
      </c>
      <c r="O510" s="15">
        <v>5004</v>
      </c>
      <c r="P510" s="12">
        <v>1</v>
      </c>
      <c r="Q510" s="13" t="s">
        <v>156</v>
      </c>
      <c r="R510" s="16">
        <v>95665525.819999993</v>
      </c>
      <c r="S510" s="17">
        <v>88579191</v>
      </c>
      <c r="T510" s="12">
        <v>12.94</v>
      </c>
      <c r="U510" s="18">
        <v>13168958</v>
      </c>
      <c r="V510" s="19">
        <v>14222474.18</v>
      </c>
      <c r="W510" s="13" t="s">
        <v>104</v>
      </c>
      <c r="X510" s="14" t="s">
        <v>1769</v>
      </c>
      <c r="Y510" s="13" t="s">
        <v>183</v>
      </c>
      <c r="Z510" s="14" t="s">
        <v>1774</v>
      </c>
      <c r="AA510" s="17">
        <v>17</v>
      </c>
      <c r="AB510" s="14" t="s">
        <v>1771</v>
      </c>
      <c r="AC510" s="17">
        <v>109888000</v>
      </c>
      <c r="AD510" s="14" t="s">
        <v>108</v>
      </c>
      <c r="AE510" s="17">
        <v>101748148</v>
      </c>
      <c r="AF510" s="14" t="s">
        <v>117</v>
      </c>
      <c r="AG510" s="20" t="s">
        <v>184</v>
      </c>
      <c r="AH510" s="10">
        <v>50761167</v>
      </c>
      <c r="AI510" s="24" t="str">
        <f>VLOOKUP(Sales[[#This Row],[Store]],'Store lay bao  cao'!A:B,2,0)</f>
        <v>Lấy BC</v>
      </c>
      <c r="AJ510" s="24" t="str">
        <f>VLOOKUP(Sales[[#This Row],[Associate]],'Associate Status'!B:C,2,0)</f>
        <v>Retired</v>
      </c>
    </row>
    <row r="511" spans="1:36" x14ac:dyDescent="0.25">
      <c r="A511" s="7">
        <v>2024</v>
      </c>
      <c r="B511" s="8">
        <v>10</v>
      </c>
      <c r="C511" s="8">
        <v>40</v>
      </c>
      <c r="D511" s="8" t="s">
        <v>66</v>
      </c>
      <c r="E511" s="8" t="s">
        <v>53</v>
      </c>
      <c r="F511" s="8" t="s">
        <v>66</v>
      </c>
      <c r="G511" s="9">
        <v>82461865</v>
      </c>
      <c r="H511" s="10">
        <v>80108430</v>
      </c>
      <c r="I511" s="11">
        <v>45569</v>
      </c>
      <c r="J511" s="12">
        <v>210757</v>
      </c>
      <c r="K511" s="13" t="s">
        <v>695</v>
      </c>
      <c r="L511" s="14" t="s">
        <v>65</v>
      </c>
      <c r="M511" s="11" t="s">
        <v>15</v>
      </c>
      <c r="N511" s="14" t="s">
        <v>62</v>
      </c>
      <c r="O511" s="15">
        <v>5004</v>
      </c>
      <c r="P511" s="12">
        <v>1</v>
      </c>
      <c r="Q511" s="13" t="s">
        <v>156</v>
      </c>
      <c r="R511" s="16">
        <v>218297182.75</v>
      </c>
      <c r="S511" s="17">
        <v>202127021</v>
      </c>
      <c r="T511" s="12">
        <v>12.94</v>
      </c>
      <c r="U511" s="18">
        <v>30048905</v>
      </c>
      <c r="V511" s="19">
        <v>32452817.25</v>
      </c>
      <c r="W511" s="13" t="s">
        <v>104</v>
      </c>
      <c r="X511" s="14" t="s">
        <v>1769</v>
      </c>
      <c r="Y511" s="13" t="s">
        <v>183</v>
      </c>
      <c r="Z511" s="14" t="s">
        <v>1772</v>
      </c>
      <c r="AA511" s="17">
        <v>17</v>
      </c>
      <c r="AB511" s="14" t="s">
        <v>1773</v>
      </c>
      <c r="AC511" s="17">
        <v>250750000</v>
      </c>
      <c r="AD511" s="14" t="s">
        <v>108</v>
      </c>
      <c r="AE511" s="17">
        <v>232175926</v>
      </c>
      <c r="AF511" s="14" t="s">
        <v>117</v>
      </c>
      <c r="AG511" s="21" t="s">
        <v>184</v>
      </c>
      <c r="AH511" s="10">
        <v>119665156</v>
      </c>
      <c r="AI511" s="24" t="str">
        <f>VLOOKUP(Sales[[#This Row],[Store]],'Store lay bao  cao'!A:B,2,0)</f>
        <v>Lấy BC</v>
      </c>
      <c r="AJ511" s="24" t="str">
        <f>VLOOKUP(Sales[[#This Row],[Associate]],'Associate Status'!B:C,2,0)</f>
        <v>Retired</v>
      </c>
    </row>
    <row r="512" spans="1:36" x14ac:dyDescent="0.25">
      <c r="A512" s="7">
        <v>2024</v>
      </c>
      <c r="B512" s="8">
        <v>10</v>
      </c>
      <c r="C512" s="8">
        <v>40</v>
      </c>
      <c r="D512" s="8" t="s">
        <v>66</v>
      </c>
      <c r="E512" s="8" t="s">
        <v>43</v>
      </c>
      <c r="F512" s="8" t="s">
        <v>66</v>
      </c>
      <c r="G512" s="9">
        <v>50423830</v>
      </c>
      <c r="H512" s="10">
        <v>48984750</v>
      </c>
      <c r="I512" s="11">
        <v>45569</v>
      </c>
      <c r="J512" s="12">
        <v>210759</v>
      </c>
      <c r="K512" s="13" t="s">
        <v>695</v>
      </c>
      <c r="L512" s="14" t="s">
        <v>65</v>
      </c>
      <c r="M512" s="11" t="s">
        <v>15</v>
      </c>
      <c r="N512" s="14" t="s">
        <v>62</v>
      </c>
      <c r="O512" s="15">
        <v>5004</v>
      </c>
      <c r="P512" s="12">
        <v>1</v>
      </c>
      <c r="Q512" s="13" t="s">
        <v>156</v>
      </c>
      <c r="R512" s="16">
        <v>115826582.19</v>
      </c>
      <c r="S512" s="17">
        <v>107246835</v>
      </c>
      <c r="T512" s="12">
        <v>12.94</v>
      </c>
      <c r="U512" s="18">
        <v>15942979</v>
      </c>
      <c r="V512" s="19">
        <v>17218417.809999999</v>
      </c>
      <c r="W512" s="13" t="s">
        <v>104</v>
      </c>
      <c r="X512" s="14" t="s">
        <v>1775</v>
      </c>
      <c r="Y512" s="13" t="s">
        <v>183</v>
      </c>
      <c r="Z512" s="14" t="s">
        <v>1776</v>
      </c>
      <c r="AA512" s="17">
        <v>17</v>
      </c>
      <c r="AB512" s="14" t="s">
        <v>1771</v>
      </c>
      <c r="AC512" s="17">
        <v>133045000</v>
      </c>
      <c r="AD512" s="14">
        <v>53</v>
      </c>
      <c r="AE512" s="17">
        <v>123189815</v>
      </c>
      <c r="AF512" s="14" t="s">
        <v>117</v>
      </c>
      <c r="AG512" s="20" t="s">
        <v>184</v>
      </c>
      <c r="AH512" s="10">
        <v>56823005</v>
      </c>
      <c r="AI512" s="24" t="str">
        <f>VLOOKUP(Sales[[#This Row],[Store]],'Store lay bao  cao'!A:B,2,0)</f>
        <v>Lấy BC</v>
      </c>
      <c r="AJ512" s="24" t="str">
        <f>VLOOKUP(Sales[[#This Row],[Associate]],'Associate Status'!B:C,2,0)</f>
        <v>Retired</v>
      </c>
    </row>
    <row r="513" spans="1:36" x14ac:dyDescent="0.25">
      <c r="A513" s="7">
        <v>2024</v>
      </c>
      <c r="B513" s="8">
        <v>10</v>
      </c>
      <c r="C513" s="8">
        <v>40</v>
      </c>
      <c r="D513" s="8" t="s">
        <v>63</v>
      </c>
      <c r="E513" s="8" t="s">
        <v>34</v>
      </c>
      <c r="F513" s="8" t="s">
        <v>63</v>
      </c>
      <c r="G513" s="9">
        <v>108935436</v>
      </c>
      <c r="H513" s="10">
        <v>107527500</v>
      </c>
      <c r="I513" s="11">
        <v>45570</v>
      </c>
      <c r="J513" s="12">
        <v>209320</v>
      </c>
      <c r="K513" s="13" t="s">
        <v>1832</v>
      </c>
      <c r="L513" s="14" t="s">
        <v>65</v>
      </c>
      <c r="M513" s="11" t="s">
        <v>17</v>
      </c>
      <c r="N513" s="14" t="s">
        <v>62</v>
      </c>
      <c r="O513" s="15">
        <v>8664</v>
      </c>
      <c r="P513" s="12">
        <v>1</v>
      </c>
      <c r="Q513" s="13" t="s">
        <v>101</v>
      </c>
      <c r="R513" s="16">
        <v>272580000</v>
      </c>
      <c r="S513" s="17">
        <v>252388889</v>
      </c>
      <c r="T513" s="12">
        <v>0</v>
      </c>
      <c r="U513" s="18">
        <v>0</v>
      </c>
      <c r="V513" s="19">
        <v>0</v>
      </c>
      <c r="W513" s="13" t="s">
        <v>140</v>
      </c>
      <c r="X513" s="14" t="s">
        <v>1833</v>
      </c>
      <c r="Y513" s="13" t="s">
        <v>367</v>
      </c>
      <c r="Z513" s="14" t="s">
        <v>1834</v>
      </c>
      <c r="AA513" s="17">
        <v>13</v>
      </c>
      <c r="AB513" s="14" t="s">
        <v>173</v>
      </c>
      <c r="AC513" s="17">
        <v>272580000</v>
      </c>
      <c r="AD513" s="14" t="s">
        <v>108</v>
      </c>
      <c r="AE513" s="17">
        <v>252388889</v>
      </c>
      <c r="AF513" s="14" t="s">
        <v>125</v>
      </c>
      <c r="AG513" s="21" t="s">
        <v>368</v>
      </c>
      <c r="AH513" s="10">
        <v>143453453</v>
      </c>
      <c r="AI513" s="24" t="str">
        <f>VLOOKUP(Sales[[#This Row],[Store]],'Store lay bao  cao'!A:B,2,0)</f>
        <v>Lấy BC</v>
      </c>
      <c r="AJ513" s="24" t="str">
        <f>VLOOKUP(Sales[[#This Row],[Associate]],'Associate Status'!B:C,2,0)</f>
        <v>Active</v>
      </c>
    </row>
    <row r="514" spans="1:36" x14ac:dyDescent="0.25">
      <c r="A514" s="7">
        <v>2024</v>
      </c>
      <c r="B514" s="8">
        <v>10</v>
      </c>
      <c r="C514" s="8">
        <v>42</v>
      </c>
      <c r="D514" s="8" t="s">
        <v>60</v>
      </c>
      <c r="E514" s="8" t="s">
        <v>37</v>
      </c>
      <c r="F514" s="8" t="s">
        <v>60</v>
      </c>
      <c r="G514" s="9">
        <v>3553967</v>
      </c>
      <c r="H514" s="10">
        <v>3306000</v>
      </c>
      <c r="I514" s="11">
        <v>45583</v>
      </c>
      <c r="J514" s="12">
        <v>208273</v>
      </c>
      <c r="K514" s="13" t="s">
        <v>1835</v>
      </c>
      <c r="L514" s="14" t="s">
        <v>50</v>
      </c>
      <c r="M514" s="11" t="s">
        <v>17</v>
      </c>
      <c r="N514" s="14" t="s">
        <v>11</v>
      </c>
      <c r="O514" s="15">
        <v>8695</v>
      </c>
      <c r="P514" s="12">
        <v>1</v>
      </c>
      <c r="Q514" s="13" t="s">
        <v>102</v>
      </c>
      <c r="R514" s="16">
        <v>10580000</v>
      </c>
      <c r="S514" s="17">
        <v>9796296</v>
      </c>
      <c r="T514" s="12">
        <v>0</v>
      </c>
      <c r="U514" s="18">
        <v>0</v>
      </c>
      <c r="V514" s="19">
        <v>0</v>
      </c>
      <c r="W514" s="13" t="s">
        <v>140</v>
      </c>
      <c r="X514" s="14" t="s">
        <v>1836</v>
      </c>
      <c r="Y514" s="13" t="s">
        <v>187</v>
      </c>
      <c r="Z514" s="14" t="s">
        <v>1837</v>
      </c>
      <c r="AA514" s="17">
        <v>13</v>
      </c>
      <c r="AB514" s="14" t="s">
        <v>173</v>
      </c>
      <c r="AC514" s="17">
        <v>10580000</v>
      </c>
      <c r="AD514" s="14" t="s">
        <v>108</v>
      </c>
      <c r="AE514" s="17">
        <v>9796296</v>
      </c>
      <c r="AF514" s="14" t="s">
        <v>121</v>
      </c>
      <c r="AG514" s="20" t="s">
        <v>188</v>
      </c>
      <c r="AH514" s="10">
        <v>6242329</v>
      </c>
      <c r="AI514" s="24" t="str">
        <f>VLOOKUP(Sales[[#This Row],[Store]],'Store lay bao  cao'!A:B,2,0)</f>
        <v>Lấy BC</v>
      </c>
      <c r="AJ514" s="24" t="str">
        <f>VLOOKUP(Sales[[#This Row],[Associate]],'Associate Status'!B:C,2,0)</f>
        <v>Active</v>
      </c>
    </row>
    <row r="515" spans="1:36" ht="26.25" x14ac:dyDescent="0.25">
      <c r="A515" s="7">
        <v>2024</v>
      </c>
      <c r="B515" s="8">
        <v>10</v>
      </c>
      <c r="C515" s="8">
        <v>43</v>
      </c>
      <c r="D515" s="8" t="s">
        <v>63</v>
      </c>
      <c r="E515" s="8" t="s">
        <v>37</v>
      </c>
      <c r="F515" s="8" t="s">
        <v>63</v>
      </c>
      <c r="G515" s="9">
        <v>2204274</v>
      </c>
      <c r="H515" s="10">
        <v>2140714.7999999998</v>
      </c>
      <c r="I515" s="11">
        <v>45587</v>
      </c>
      <c r="J515" s="12">
        <v>205008</v>
      </c>
      <c r="K515" s="13" t="s">
        <v>1838</v>
      </c>
      <c r="L515" s="14" t="s">
        <v>47</v>
      </c>
      <c r="M515" s="11" t="s">
        <v>21</v>
      </c>
      <c r="N515" s="14" t="s">
        <v>62</v>
      </c>
      <c r="O515" s="15">
        <v>7933</v>
      </c>
      <c r="P515" s="12">
        <v>1</v>
      </c>
      <c r="Q515" s="13" t="s">
        <v>101</v>
      </c>
      <c r="R515" s="16">
        <v>12845000</v>
      </c>
      <c r="S515" s="17">
        <v>11893519</v>
      </c>
      <c r="T515" s="12">
        <v>0</v>
      </c>
      <c r="U515" s="18">
        <v>0</v>
      </c>
      <c r="V515" s="19">
        <v>0</v>
      </c>
      <c r="W515" s="13" t="s">
        <v>160</v>
      </c>
      <c r="X515" s="23" t="s">
        <v>1486</v>
      </c>
      <c r="Y515" s="13" t="s">
        <v>1373</v>
      </c>
      <c r="Z515" s="14">
        <v>11</v>
      </c>
      <c r="AA515" s="17">
        <v>18</v>
      </c>
      <c r="AB515" s="14" t="s">
        <v>341</v>
      </c>
      <c r="AC515" s="17">
        <v>12845000</v>
      </c>
      <c r="AD515" s="14" t="s">
        <v>924</v>
      </c>
      <c r="AE515" s="17">
        <v>11893519</v>
      </c>
      <c r="AF515" s="14" t="s">
        <v>540</v>
      </c>
      <c r="AG515" s="21" t="s">
        <v>1374</v>
      </c>
      <c r="AH515" s="10">
        <v>9689245</v>
      </c>
      <c r="AI515" s="24" t="str">
        <f>VLOOKUP(Sales[[#This Row],[Store]],'Store lay bao  cao'!A:B,2,0)</f>
        <v>Lấy BC</v>
      </c>
      <c r="AJ515" s="24" t="str">
        <f>VLOOKUP(Sales[[#This Row],[Associate]],'Associate Status'!B:C,2,0)</f>
        <v>Active</v>
      </c>
    </row>
    <row r="516" spans="1:36" x14ac:dyDescent="0.25">
      <c r="A516" s="7">
        <v>2024</v>
      </c>
      <c r="B516" s="8">
        <v>10</v>
      </c>
      <c r="C516" s="8">
        <v>43</v>
      </c>
      <c r="D516" s="8" t="s">
        <v>60</v>
      </c>
      <c r="E516" s="8" t="s">
        <v>34</v>
      </c>
      <c r="F516" s="8" t="s">
        <v>60</v>
      </c>
      <c r="G516" s="9">
        <v>4166199</v>
      </c>
      <c r="H516" s="10">
        <v>3876000</v>
      </c>
      <c r="I516" s="11">
        <v>45590</v>
      </c>
      <c r="J516" s="12">
        <v>208330</v>
      </c>
      <c r="K516" s="13" t="s">
        <v>1839</v>
      </c>
      <c r="L516" s="14" t="s">
        <v>50</v>
      </c>
      <c r="M516" s="11" t="s">
        <v>15</v>
      </c>
      <c r="N516" s="14" t="s">
        <v>11</v>
      </c>
      <c r="O516" s="15">
        <v>5103</v>
      </c>
      <c r="P516" s="12">
        <v>1</v>
      </c>
      <c r="Q516" s="13" t="s">
        <v>101</v>
      </c>
      <c r="R516" s="16">
        <v>12404000</v>
      </c>
      <c r="S516" s="17">
        <v>11485185</v>
      </c>
      <c r="T516" s="12">
        <v>0</v>
      </c>
      <c r="U516" s="18">
        <v>0</v>
      </c>
      <c r="V516" s="19">
        <v>0</v>
      </c>
      <c r="W516" s="13" t="s">
        <v>104</v>
      </c>
      <c r="X516" s="14" t="s">
        <v>1840</v>
      </c>
      <c r="Y516" s="13" t="s">
        <v>225</v>
      </c>
      <c r="Z516" s="14" t="s">
        <v>1841</v>
      </c>
      <c r="AA516" s="17">
        <v>14</v>
      </c>
      <c r="AB516" s="14" t="s">
        <v>161</v>
      </c>
      <c r="AC516" s="17">
        <v>12404000</v>
      </c>
      <c r="AD516" s="14" t="s">
        <v>108</v>
      </c>
      <c r="AE516" s="17">
        <v>11485185</v>
      </c>
      <c r="AF516" s="14" t="s">
        <v>2595</v>
      </c>
      <c r="AG516" s="20" t="s">
        <v>463</v>
      </c>
      <c r="AH516" s="10">
        <v>7318986</v>
      </c>
      <c r="AI516" s="24" t="str">
        <f>VLOOKUP(Sales[[#This Row],[Store]],'Store lay bao  cao'!A:B,2,0)</f>
        <v>Lấy BC</v>
      </c>
      <c r="AJ516" s="24" t="e">
        <f>VLOOKUP(Sales[[#This Row],[Associate]],'Associate Status'!B:C,2,0)</f>
        <v>#N/A</v>
      </c>
    </row>
    <row r="517" spans="1:36" x14ac:dyDescent="0.25">
      <c r="A517" s="7">
        <v>2024</v>
      </c>
      <c r="B517" s="8">
        <v>10</v>
      </c>
      <c r="C517" s="8">
        <v>43</v>
      </c>
      <c r="D517" s="8" t="s">
        <v>52</v>
      </c>
      <c r="E517" s="8" t="s">
        <v>43</v>
      </c>
      <c r="F517" s="8" t="s">
        <v>52</v>
      </c>
      <c r="G517" s="9">
        <v>5605583</v>
      </c>
      <c r="H517" s="10">
        <v>5049000</v>
      </c>
      <c r="I517" s="11">
        <v>45590</v>
      </c>
      <c r="J517" s="12">
        <v>182180</v>
      </c>
      <c r="K517" s="13" t="s">
        <v>703</v>
      </c>
      <c r="L517" s="14" t="s">
        <v>50</v>
      </c>
      <c r="M517" s="11" t="s">
        <v>15</v>
      </c>
      <c r="N517" s="14" t="s">
        <v>11</v>
      </c>
      <c r="O517" s="15">
        <v>5102</v>
      </c>
      <c r="P517" s="12">
        <v>1</v>
      </c>
      <c r="Q517" s="13" t="s">
        <v>101</v>
      </c>
      <c r="R517" s="16">
        <v>16157000</v>
      </c>
      <c r="S517" s="17">
        <v>14960185</v>
      </c>
      <c r="T517" s="12">
        <v>0</v>
      </c>
      <c r="U517" s="18">
        <v>0</v>
      </c>
      <c r="V517" s="19">
        <v>0</v>
      </c>
      <c r="W517" s="13" t="s">
        <v>104</v>
      </c>
      <c r="X517" s="14" t="s">
        <v>1842</v>
      </c>
      <c r="Y517" s="13" t="s">
        <v>225</v>
      </c>
      <c r="Z517" s="14" t="s">
        <v>915</v>
      </c>
      <c r="AA517" s="17">
        <v>13</v>
      </c>
      <c r="AB517" s="14" t="s">
        <v>802</v>
      </c>
      <c r="AC517" s="17">
        <v>16157000</v>
      </c>
      <c r="AD517" s="14">
        <v>11</v>
      </c>
      <c r="AE517" s="17">
        <v>14960185</v>
      </c>
      <c r="AF517" s="14" t="s">
        <v>2595</v>
      </c>
      <c r="AG517" s="21" t="s">
        <v>463</v>
      </c>
      <c r="AH517" s="10">
        <v>9354602</v>
      </c>
      <c r="AI517" s="24" t="str">
        <f>VLOOKUP(Sales[[#This Row],[Store]],'Store lay bao  cao'!A:B,2,0)</f>
        <v>Lấy BC</v>
      </c>
      <c r="AJ517" s="24" t="e">
        <f>VLOOKUP(Sales[[#This Row],[Associate]],'Associate Status'!B:C,2,0)</f>
        <v>#N/A</v>
      </c>
    </row>
    <row r="518" spans="1:36" x14ac:dyDescent="0.25">
      <c r="A518" s="7">
        <v>2024</v>
      </c>
      <c r="B518" s="8">
        <v>10</v>
      </c>
      <c r="C518" s="8">
        <v>43</v>
      </c>
      <c r="D518" s="8" t="s">
        <v>60</v>
      </c>
      <c r="E518" s="8" t="s">
        <v>37</v>
      </c>
      <c r="F518" s="8" t="s">
        <v>60</v>
      </c>
      <c r="G518" s="9">
        <v>4655984</v>
      </c>
      <c r="H518" s="10">
        <v>4332000</v>
      </c>
      <c r="I518" s="11">
        <v>45590</v>
      </c>
      <c r="J518" s="12">
        <v>208282</v>
      </c>
      <c r="K518" s="13" t="s">
        <v>703</v>
      </c>
      <c r="L518" s="14" t="s">
        <v>50</v>
      </c>
      <c r="M518" s="11" t="s">
        <v>15</v>
      </c>
      <c r="N518" s="14" t="s">
        <v>11</v>
      </c>
      <c r="O518" s="15">
        <v>5102</v>
      </c>
      <c r="P518" s="12">
        <v>1</v>
      </c>
      <c r="Q518" s="13" t="s">
        <v>101</v>
      </c>
      <c r="R518" s="16">
        <v>13863000</v>
      </c>
      <c r="S518" s="17">
        <v>12836111</v>
      </c>
      <c r="T518" s="12">
        <v>0</v>
      </c>
      <c r="U518" s="18">
        <v>0</v>
      </c>
      <c r="V518" s="19">
        <v>0</v>
      </c>
      <c r="W518" s="13" t="s">
        <v>104</v>
      </c>
      <c r="X518" s="14" t="s">
        <v>1843</v>
      </c>
      <c r="Y518" s="13" t="s">
        <v>225</v>
      </c>
      <c r="Z518" s="14" t="s">
        <v>1088</v>
      </c>
      <c r="AA518" s="17">
        <v>13</v>
      </c>
      <c r="AB518" s="14" t="s">
        <v>161</v>
      </c>
      <c r="AC518" s="17">
        <v>13863000</v>
      </c>
      <c r="AD518" s="14" t="s">
        <v>108</v>
      </c>
      <c r="AE518" s="17">
        <v>12836111</v>
      </c>
      <c r="AF518" s="14" t="s">
        <v>2595</v>
      </c>
      <c r="AG518" s="20" t="s">
        <v>463</v>
      </c>
      <c r="AH518" s="10">
        <v>8180127</v>
      </c>
      <c r="AI518" s="24" t="str">
        <f>VLOOKUP(Sales[[#This Row],[Store]],'Store lay bao  cao'!A:B,2,0)</f>
        <v>Lấy BC</v>
      </c>
      <c r="AJ518" s="24" t="e">
        <f>VLOOKUP(Sales[[#This Row],[Associate]],'Associate Status'!B:C,2,0)</f>
        <v>#N/A</v>
      </c>
    </row>
    <row r="519" spans="1:36" x14ac:dyDescent="0.25">
      <c r="A519" s="7">
        <v>2024</v>
      </c>
      <c r="B519" s="8">
        <v>10</v>
      </c>
      <c r="C519" s="8">
        <v>43</v>
      </c>
      <c r="D519" s="8" t="s">
        <v>60</v>
      </c>
      <c r="E519" s="8" t="s">
        <v>37</v>
      </c>
      <c r="F519" s="8" t="s">
        <v>60</v>
      </c>
      <c r="G519" s="9">
        <v>3651924</v>
      </c>
      <c r="H519" s="10">
        <v>3397200</v>
      </c>
      <c r="I519" s="11">
        <v>45590</v>
      </c>
      <c r="J519" s="12">
        <v>208292</v>
      </c>
      <c r="K519" s="13" t="s">
        <v>703</v>
      </c>
      <c r="L519" s="14" t="s">
        <v>50</v>
      </c>
      <c r="M519" s="11" t="s">
        <v>15</v>
      </c>
      <c r="N519" s="14" t="s">
        <v>11</v>
      </c>
      <c r="O519" s="15">
        <v>5102</v>
      </c>
      <c r="P519" s="12">
        <v>1</v>
      </c>
      <c r="Q519" s="13" t="s">
        <v>101</v>
      </c>
      <c r="R519" s="16">
        <v>10872000</v>
      </c>
      <c r="S519" s="17">
        <v>10066667</v>
      </c>
      <c r="T519" s="12">
        <v>0</v>
      </c>
      <c r="U519" s="18">
        <v>0</v>
      </c>
      <c r="V519" s="19">
        <v>0</v>
      </c>
      <c r="W519" s="13" t="s">
        <v>104</v>
      </c>
      <c r="X519" s="14" t="s">
        <v>1844</v>
      </c>
      <c r="Y519" s="13" t="s">
        <v>225</v>
      </c>
      <c r="Z519" s="14" t="s">
        <v>1845</v>
      </c>
      <c r="AA519" s="17">
        <v>13</v>
      </c>
      <c r="AB519" s="14" t="s">
        <v>1846</v>
      </c>
      <c r="AC519" s="17">
        <v>10872000</v>
      </c>
      <c r="AD519" s="14" t="s">
        <v>108</v>
      </c>
      <c r="AE519" s="17">
        <v>10066667</v>
      </c>
      <c r="AF519" s="14" t="s">
        <v>2595</v>
      </c>
      <c r="AG519" s="21" t="s">
        <v>463</v>
      </c>
      <c r="AH519" s="10">
        <v>6414743</v>
      </c>
      <c r="AI519" s="24" t="str">
        <f>VLOOKUP(Sales[[#This Row],[Store]],'Store lay bao  cao'!A:B,2,0)</f>
        <v>Lấy BC</v>
      </c>
      <c r="AJ519" s="24" t="e">
        <f>VLOOKUP(Sales[[#This Row],[Associate]],'Associate Status'!B:C,2,0)</f>
        <v>#N/A</v>
      </c>
    </row>
    <row r="520" spans="1:36" x14ac:dyDescent="0.25">
      <c r="A520" s="7">
        <v>2024</v>
      </c>
      <c r="B520" s="8">
        <v>10</v>
      </c>
      <c r="C520" s="8">
        <v>43</v>
      </c>
      <c r="D520" s="8" t="s">
        <v>52</v>
      </c>
      <c r="E520" s="8" t="s">
        <v>37</v>
      </c>
      <c r="F520" s="8" t="s">
        <v>52</v>
      </c>
      <c r="G520" s="9">
        <v>4706292</v>
      </c>
      <c r="H520" s="10">
        <v>4239000</v>
      </c>
      <c r="I520" s="11">
        <v>45590</v>
      </c>
      <c r="J520" s="12">
        <v>182207</v>
      </c>
      <c r="K520" s="13" t="s">
        <v>703</v>
      </c>
      <c r="L520" s="14" t="s">
        <v>50</v>
      </c>
      <c r="M520" s="11" t="s">
        <v>15</v>
      </c>
      <c r="N520" s="14" t="s">
        <v>11</v>
      </c>
      <c r="O520" s="15">
        <v>5102</v>
      </c>
      <c r="P520" s="12">
        <v>1</v>
      </c>
      <c r="Q520" s="13" t="s">
        <v>101</v>
      </c>
      <c r="R520" s="16">
        <v>15687000</v>
      </c>
      <c r="S520" s="17">
        <v>14525000</v>
      </c>
      <c r="T520" s="12">
        <v>0</v>
      </c>
      <c r="U520" s="18">
        <v>0</v>
      </c>
      <c r="V520" s="19">
        <v>0</v>
      </c>
      <c r="W520" s="13" t="s">
        <v>104</v>
      </c>
      <c r="X520" s="14" t="s">
        <v>1847</v>
      </c>
      <c r="Y520" s="13" t="s">
        <v>225</v>
      </c>
      <c r="Z520" s="14" t="s">
        <v>1848</v>
      </c>
      <c r="AA520" s="17">
        <v>13</v>
      </c>
      <c r="AB520" s="14" t="s">
        <v>1849</v>
      </c>
      <c r="AC520" s="17">
        <v>15687000</v>
      </c>
      <c r="AD520" s="14" t="s">
        <v>108</v>
      </c>
      <c r="AE520" s="17">
        <v>14525000</v>
      </c>
      <c r="AF520" s="14" t="s">
        <v>2595</v>
      </c>
      <c r="AG520" s="20" t="s">
        <v>463</v>
      </c>
      <c r="AH520" s="10">
        <v>9818708</v>
      </c>
      <c r="AI520" s="24" t="str">
        <f>VLOOKUP(Sales[[#This Row],[Store]],'Store lay bao  cao'!A:B,2,0)</f>
        <v>Lấy BC</v>
      </c>
      <c r="AJ520" s="24" t="e">
        <f>VLOOKUP(Sales[[#This Row],[Associate]],'Associate Status'!B:C,2,0)</f>
        <v>#N/A</v>
      </c>
    </row>
    <row r="521" spans="1:36" x14ac:dyDescent="0.25">
      <c r="A521" s="7">
        <v>2024</v>
      </c>
      <c r="B521" s="8">
        <v>10</v>
      </c>
      <c r="C521" s="8">
        <v>44</v>
      </c>
      <c r="D521" s="8" t="s">
        <v>66</v>
      </c>
      <c r="E521" s="8" t="s">
        <v>34</v>
      </c>
      <c r="F521" s="8" t="s">
        <v>66</v>
      </c>
      <c r="G521" s="9">
        <v>297616497</v>
      </c>
      <c r="H521" s="10">
        <v>285545250</v>
      </c>
      <c r="I521" s="11">
        <v>45595</v>
      </c>
      <c r="J521" s="12">
        <v>211202</v>
      </c>
      <c r="K521" s="13" t="s">
        <v>705</v>
      </c>
      <c r="L521" s="14" t="s">
        <v>65</v>
      </c>
      <c r="M521" s="11" t="s">
        <v>15</v>
      </c>
      <c r="N521" s="14" t="s">
        <v>62</v>
      </c>
      <c r="O521" s="15">
        <v>5128</v>
      </c>
      <c r="P521" s="12">
        <v>1</v>
      </c>
      <c r="Q521" s="13" t="s">
        <v>175</v>
      </c>
      <c r="R521" s="16">
        <v>697999500</v>
      </c>
      <c r="S521" s="17">
        <v>646295833</v>
      </c>
      <c r="T521" s="12">
        <v>10</v>
      </c>
      <c r="U521" s="18">
        <v>71810648</v>
      </c>
      <c r="V521" s="19">
        <v>77555500</v>
      </c>
      <c r="W521" s="13" t="s">
        <v>104</v>
      </c>
      <c r="X521" s="14" t="s">
        <v>1766</v>
      </c>
      <c r="Y521" s="13" t="s">
        <v>183</v>
      </c>
      <c r="Z521" s="14" t="s">
        <v>1851</v>
      </c>
      <c r="AA521" s="17">
        <v>19</v>
      </c>
      <c r="AB521" s="14" t="s">
        <v>1852</v>
      </c>
      <c r="AC521" s="17">
        <v>775555000</v>
      </c>
      <c r="AD521" s="14" t="s">
        <v>108</v>
      </c>
      <c r="AE521" s="17">
        <v>718106481</v>
      </c>
      <c r="AF521" s="14" t="s">
        <v>106</v>
      </c>
      <c r="AG521" s="21" t="s">
        <v>184</v>
      </c>
      <c r="AH521" s="10">
        <v>348679336</v>
      </c>
      <c r="AI521" s="24" t="str">
        <f>VLOOKUP(Sales[[#This Row],[Store]],'Store lay bao  cao'!A:B,2,0)</f>
        <v>Lấy BC</v>
      </c>
      <c r="AJ521" s="24" t="str">
        <f>VLOOKUP(Sales[[#This Row],[Associate]],'Associate Status'!B:C,2,0)</f>
        <v>Active</v>
      </c>
    </row>
    <row r="522" spans="1:36" x14ac:dyDescent="0.25">
      <c r="A522" s="7">
        <v>2024</v>
      </c>
      <c r="B522" s="8">
        <v>10</v>
      </c>
      <c r="C522" s="8">
        <v>44</v>
      </c>
      <c r="D522" s="8" t="s">
        <v>52</v>
      </c>
      <c r="E522" s="8" t="s">
        <v>34</v>
      </c>
      <c r="F522" s="8" t="s">
        <v>52</v>
      </c>
      <c r="G522" s="9">
        <v>108790221</v>
      </c>
      <c r="H522" s="10">
        <v>101426250</v>
      </c>
      <c r="I522" s="11">
        <v>45595</v>
      </c>
      <c r="J522" s="12">
        <v>182560</v>
      </c>
      <c r="K522" s="13" t="s">
        <v>704</v>
      </c>
      <c r="L522" s="14" t="s">
        <v>44</v>
      </c>
      <c r="M522" s="11" t="s">
        <v>15</v>
      </c>
      <c r="N522" s="14" t="s">
        <v>11</v>
      </c>
      <c r="O522" s="15">
        <v>5125</v>
      </c>
      <c r="P522" s="12">
        <v>1</v>
      </c>
      <c r="Q522" s="13" t="s">
        <v>175</v>
      </c>
      <c r="R522" s="16">
        <v>270900000</v>
      </c>
      <c r="S522" s="17">
        <v>250833333</v>
      </c>
      <c r="T522" s="12">
        <v>0</v>
      </c>
      <c r="U522" s="18">
        <v>0</v>
      </c>
      <c r="V522" s="19">
        <v>0</v>
      </c>
      <c r="W522" s="13" t="s">
        <v>104</v>
      </c>
      <c r="X522" s="14" t="s">
        <v>1677</v>
      </c>
      <c r="Y522" s="13" t="s">
        <v>826</v>
      </c>
      <c r="Z522" s="14" t="s">
        <v>1678</v>
      </c>
      <c r="AA522" s="17">
        <v>17</v>
      </c>
      <c r="AB522" s="14" t="s">
        <v>1679</v>
      </c>
      <c r="AC522" s="17">
        <v>270900000</v>
      </c>
      <c r="AD522" s="14" t="s">
        <v>108</v>
      </c>
      <c r="AE522" s="17">
        <v>250833333</v>
      </c>
      <c r="AF522" s="14" t="s">
        <v>136</v>
      </c>
      <c r="AG522" s="20" t="s">
        <v>1670</v>
      </c>
      <c r="AH522" s="10">
        <v>142043112</v>
      </c>
      <c r="AI522" s="24" t="str">
        <f>VLOOKUP(Sales[[#This Row],[Store]],'Store lay bao  cao'!A:B,2,0)</f>
        <v>Lấy BC</v>
      </c>
      <c r="AJ522" s="24" t="str">
        <f>VLOOKUP(Sales[[#This Row],[Associate]],'Associate Status'!B:C,2,0)</f>
        <v>Active</v>
      </c>
    </row>
    <row r="523" spans="1:36" x14ac:dyDescent="0.25">
      <c r="A523" s="7">
        <v>2024</v>
      </c>
      <c r="B523" s="8">
        <v>11</v>
      </c>
      <c r="C523" s="8">
        <v>44</v>
      </c>
      <c r="D523" s="8" t="s">
        <v>60</v>
      </c>
      <c r="E523" s="8" t="s">
        <v>43</v>
      </c>
      <c r="F523" s="8" t="s">
        <v>60</v>
      </c>
      <c r="G523" s="9">
        <v>3177199</v>
      </c>
      <c r="H523" s="10">
        <v>2374050</v>
      </c>
      <c r="I523" s="11">
        <v>45598</v>
      </c>
      <c r="J523" s="12">
        <v>202748</v>
      </c>
      <c r="K523" s="13" t="s">
        <v>1853</v>
      </c>
      <c r="L523" s="14" t="s">
        <v>19</v>
      </c>
      <c r="M523" s="11" t="s">
        <v>17</v>
      </c>
      <c r="N523" s="14" t="s">
        <v>62</v>
      </c>
      <c r="O523" s="15">
        <v>8736</v>
      </c>
      <c r="P523" s="12">
        <v>1</v>
      </c>
      <c r="Q523" s="13" t="s">
        <v>101</v>
      </c>
      <c r="R523" s="16">
        <v>7867000</v>
      </c>
      <c r="S523" s="17">
        <v>7284259</v>
      </c>
      <c r="T523" s="12">
        <v>0</v>
      </c>
      <c r="U523" s="18">
        <v>0</v>
      </c>
      <c r="V523" s="19">
        <v>0</v>
      </c>
      <c r="W523" s="13" t="s">
        <v>140</v>
      </c>
      <c r="X523" s="14" t="s">
        <v>1854</v>
      </c>
      <c r="Y523" s="13" t="s">
        <v>103</v>
      </c>
      <c r="Z523" s="14" t="s">
        <v>1855</v>
      </c>
      <c r="AA523" s="17">
        <v>12</v>
      </c>
      <c r="AB523" s="14" t="s">
        <v>1856</v>
      </c>
      <c r="AC523" s="17">
        <v>7867000</v>
      </c>
      <c r="AD523" s="14">
        <v>52</v>
      </c>
      <c r="AE523" s="17">
        <v>7284259</v>
      </c>
      <c r="AF523" s="14" t="s">
        <v>121</v>
      </c>
      <c r="AG523" s="21"/>
      <c r="AH523" s="10">
        <v>4107060</v>
      </c>
      <c r="AI523" s="24" t="str">
        <f>VLOOKUP(Sales[[#This Row],[Store]],'Store lay bao  cao'!A:B,2,0)</f>
        <v>Lấy BC</v>
      </c>
      <c r="AJ523" s="24" t="str">
        <f>VLOOKUP(Sales[[#This Row],[Associate]],'Associate Status'!B:C,2,0)</f>
        <v>Active</v>
      </c>
    </row>
    <row r="524" spans="1:36" x14ac:dyDescent="0.25">
      <c r="A524" s="7">
        <v>2024</v>
      </c>
      <c r="B524" s="8">
        <v>11</v>
      </c>
      <c r="C524" s="8">
        <v>44</v>
      </c>
      <c r="D524" s="8" t="s">
        <v>20</v>
      </c>
      <c r="E524" s="8" t="s">
        <v>12</v>
      </c>
      <c r="F524" s="8" t="s">
        <v>20</v>
      </c>
      <c r="G524" s="9">
        <v>3841200</v>
      </c>
      <c r="H524" s="10">
        <v>3841200</v>
      </c>
      <c r="I524" s="11">
        <v>45598</v>
      </c>
      <c r="J524" s="12">
        <v>37103</v>
      </c>
      <c r="K524" s="13" t="s">
        <v>1857</v>
      </c>
      <c r="L524" s="14" t="s">
        <v>19</v>
      </c>
      <c r="M524" s="11" t="s">
        <v>17</v>
      </c>
      <c r="N524" s="14" t="s">
        <v>11</v>
      </c>
      <c r="O524" s="15">
        <v>8735</v>
      </c>
      <c r="P524" s="12">
        <v>1</v>
      </c>
      <c r="Q524" s="13" t="s">
        <v>101</v>
      </c>
      <c r="R524" s="16">
        <v>14367000</v>
      </c>
      <c r="S524" s="17">
        <v>13302778</v>
      </c>
      <c r="T524" s="12">
        <v>0</v>
      </c>
      <c r="U524" s="18">
        <v>0</v>
      </c>
      <c r="V524" s="19">
        <v>0</v>
      </c>
      <c r="W524" s="13" t="s">
        <v>140</v>
      </c>
      <c r="X524" s="14" t="s">
        <v>1858</v>
      </c>
      <c r="Y524" s="13" t="s">
        <v>103</v>
      </c>
      <c r="Z524" s="14" t="s">
        <v>1859</v>
      </c>
      <c r="AA524" s="17">
        <v>12</v>
      </c>
      <c r="AB524" s="14" t="s">
        <v>220</v>
      </c>
      <c r="AC524" s="17">
        <v>14367000</v>
      </c>
      <c r="AD524" s="14">
        <v>10</v>
      </c>
      <c r="AE524" s="17">
        <v>13302778</v>
      </c>
      <c r="AF524" s="14" t="s">
        <v>121</v>
      </c>
      <c r="AG524" s="20"/>
      <c r="AH524" s="10">
        <v>9461578</v>
      </c>
      <c r="AI524" s="24" t="str">
        <f>VLOOKUP(Sales[[#This Row],[Store]],'Store lay bao  cao'!A:B,2,0)</f>
        <v>Lấy BC</v>
      </c>
      <c r="AJ524" s="24" t="str">
        <f>VLOOKUP(Sales[[#This Row],[Associate]],'Associate Status'!B:C,2,0)</f>
        <v>Active</v>
      </c>
    </row>
    <row r="525" spans="1:36" x14ac:dyDescent="0.25">
      <c r="A525" s="7">
        <v>2024</v>
      </c>
      <c r="B525" s="8">
        <v>11</v>
      </c>
      <c r="C525" s="8">
        <v>44</v>
      </c>
      <c r="D525" s="8" t="s">
        <v>60</v>
      </c>
      <c r="E525" s="8" t="s">
        <v>43</v>
      </c>
      <c r="F525" s="8" t="s">
        <v>60</v>
      </c>
      <c r="G525" s="9">
        <v>10478376</v>
      </c>
      <c r="H525" s="10">
        <v>11088495</v>
      </c>
      <c r="I525" s="11">
        <v>45598</v>
      </c>
      <c r="J525" s="12">
        <v>206888</v>
      </c>
      <c r="K525" s="13" t="s">
        <v>1860</v>
      </c>
      <c r="L525" s="14" t="s">
        <v>58</v>
      </c>
      <c r="M525" s="11" t="s">
        <v>17</v>
      </c>
      <c r="N525" s="14" t="s">
        <v>11</v>
      </c>
      <c r="O525" s="15">
        <v>8737</v>
      </c>
      <c r="P525" s="12">
        <v>1</v>
      </c>
      <c r="Q525" s="13" t="s">
        <v>101</v>
      </c>
      <c r="R525" s="16">
        <v>28910400</v>
      </c>
      <c r="S525" s="17">
        <v>26768889</v>
      </c>
      <c r="T525" s="12">
        <v>5</v>
      </c>
      <c r="U525" s="18">
        <v>1408889</v>
      </c>
      <c r="V525" s="19">
        <v>1521600</v>
      </c>
      <c r="W525" s="13" t="s">
        <v>140</v>
      </c>
      <c r="X525" s="14" t="s">
        <v>1861</v>
      </c>
      <c r="Y525" s="13" t="s">
        <v>316</v>
      </c>
      <c r="Z525" s="14" t="s">
        <v>1862</v>
      </c>
      <c r="AA525" s="17">
        <v>16</v>
      </c>
      <c r="AB525" s="14" t="s">
        <v>788</v>
      </c>
      <c r="AC525" s="17">
        <v>30432000</v>
      </c>
      <c r="AD525" s="14">
        <v>13</v>
      </c>
      <c r="AE525" s="17">
        <v>28177778</v>
      </c>
      <c r="AF525" s="14" t="s">
        <v>125</v>
      </c>
      <c r="AG525" s="21" t="s">
        <v>317</v>
      </c>
      <c r="AH525" s="10">
        <v>16290513</v>
      </c>
      <c r="AI525" s="24" t="str">
        <f>VLOOKUP(Sales[[#This Row],[Store]],'Store lay bao  cao'!A:B,2,0)</f>
        <v>Lấy BC</v>
      </c>
      <c r="AJ525" s="24" t="str">
        <f>VLOOKUP(Sales[[#This Row],[Associate]],'Associate Status'!B:C,2,0)</f>
        <v>Active</v>
      </c>
    </row>
    <row r="526" spans="1:36" x14ac:dyDescent="0.25">
      <c r="A526" s="7">
        <v>2024</v>
      </c>
      <c r="B526" s="8">
        <v>11</v>
      </c>
      <c r="C526" s="8">
        <v>44</v>
      </c>
      <c r="D526" s="8" t="s">
        <v>60</v>
      </c>
      <c r="E526" s="8" t="s">
        <v>43</v>
      </c>
      <c r="F526" s="8" t="s">
        <v>60</v>
      </c>
      <c r="G526" s="9">
        <v>8958612</v>
      </c>
      <c r="H526" s="10">
        <v>9480240</v>
      </c>
      <c r="I526" s="11">
        <v>45598</v>
      </c>
      <c r="J526" s="12">
        <v>206889</v>
      </c>
      <c r="K526" s="13" t="s">
        <v>1860</v>
      </c>
      <c r="L526" s="14" t="s">
        <v>58</v>
      </c>
      <c r="M526" s="11" t="s">
        <v>17</v>
      </c>
      <c r="N526" s="14" t="s">
        <v>11</v>
      </c>
      <c r="O526" s="15">
        <v>8737</v>
      </c>
      <c r="P526" s="12">
        <v>1</v>
      </c>
      <c r="Q526" s="13" t="s">
        <v>101</v>
      </c>
      <c r="R526" s="16">
        <v>24716150</v>
      </c>
      <c r="S526" s="17">
        <v>22885324</v>
      </c>
      <c r="T526" s="12">
        <v>5</v>
      </c>
      <c r="U526" s="18">
        <v>1204491</v>
      </c>
      <c r="V526" s="19">
        <v>1300850</v>
      </c>
      <c r="W526" s="13" t="s">
        <v>140</v>
      </c>
      <c r="X526" s="14" t="s">
        <v>1863</v>
      </c>
      <c r="Y526" s="13" t="s">
        <v>316</v>
      </c>
      <c r="Z526" s="14" t="s">
        <v>1864</v>
      </c>
      <c r="AA526" s="17">
        <v>16</v>
      </c>
      <c r="AB526" s="14" t="s">
        <v>788</v>
      </c>
      <c r="AC526" s="17">
        <v>26017000</v>
      </c>
      <c r="AD526" s="14">
        <v>10</v>
      </c>
      <c r="AE526" s="17">
        <v>24089815</v>
      </c>
      <c r="AF526" s="14" t="s">
        <v>125</v>
      </c>
      <c r="AG526" s="20" t="s">
        <v>317</v>
      </c>
      <c r="AH526" s="10">
        <v>13926712</v>
      </c>
      <c r="AI526" s="24" t="str">
        <f>VLOOKUP(Sales[[#This Row],[Store]],'Store lay bao  cao'!A:B,2,0)</f>
        <v>Lấy BC</v>
      </c>
      <c r="AJ526" s="24" t="str">
        <f>VLOOKUP(Sales[[#This Row],[Associate]],'Associate Status'!B:C,2,0)</f>
        <v>Active</v>
      </c>
    </row>
    <row r="527" spans="1:36" x14ac:dyDescent="0.25">
      <c r="A527" s="7">
        <v>2024</v>
      </c>
      <c r="B527" s="8">
        <v>11</v>
      </c>
      <c r="C527" s="8">
        <v>44</v>
      </c>
      <c r="D527" s="8" t="s">
        <v>60</v>
      </c>
      <c r="E527" s="8" t="s">
        <v>43</v>
      </c>
      <c r="F527" s="8" t="s">
        <v>60</v>
      </c>
      <c r="G527" s="9">
        <v>11998140</v>
      </c>
      <c r="H527" s="10">
        <v>12696750</v>
      </c>
      <c r="I527" s="11">
        <v>45598</v>
      </c>
      <c r="J527" s="12">
        <v>206891</v>
      </c>
      <c r="K527" s="13" t="s">
        <v>1860</v>
      </c>
      <c r="L527" s="14" t="s">
        <v>58</v>
      </c>
      <c r="M527" s="11" t="s">
        <v>17</v>
      </c>
      <c r="N527" s="14" t="s">
        <v>11</v>
      </c>
      <c r="O527" s="15">
        <v>8737</v>
      </c>
      <c r="P527" s="12">
        <v>1</v>
      </c>
      <c r="Q527" s="13" t="s">
        <v>101</v>
      </c>
      <c r="R527" s="16">
        <v>33102750</v>
      </c>
      <c r="S527" s="17">
        <v>30650694</v>
      </c>
      <c r="T527" s="12">
        <v>5</v>
      </c>
      <c r="U527" s="18">
        <v>1613194</v>
      </c>
      <c r="V527" s="19">
        <v>1742250</v>
      </c>
      <c r="W527" s="13" t="s">
        <v>140</v>
      </c>
      <c r="X527" s="14" t="s">
        <v>1865</v>
      </c>
      <c r="Y527" s="13" t="s">
        <v>316</v>
      </c>
      <c r="Z527" s="14" t="s">
        <v>1866</v>
      </c>
      <c r="AA527" s="17">
        <v>16</v>
      </c>
      <c r="AB527" s="14" t="s">
        <v>607</v>
      </c>
      <c r="AC527" s="17">
        <v>34845000</v>
      </c>
      <c r="AD527" s="14">
        <v>11</v>
      </c>
      <c r="AE527" s="17">
        <v>32263889</v>
      </c>
      <c r="AF527" s="14" t="s">
        <v>125</v>
      </c>
      <c r="AG527" s="21" t="s">
        <v>317</v>
      </c>
      <c r="AH527" s="10">
        <v>18652554</v>
      </c>
      <c r="AI527" s="24" t="str">
        <f>VLOOKUP(Sales[[#This Row],[Store]],'Store lay bao  cao'!A:B,2,0)</f>
        <v>Lấy BC</v>
      </c>
      <c r="AJ527" s="24" t="str">
        <f>VLOOKUP(Sales[[#This Row],[Associate]],'Associate Status'!B:C,2,0)</f>
        <v>Active</v>
      </c>
    </row>
    <row r="528" spans="1:36" x14ac:dyDescent="0.25">
      <c r="A528" s="7">
        <v>2024</v>
      </c>
      <c r="B528" s="8">
        <v>11</v>
      </c>
      <c r="C528" s="8">
        <v>44</v>
      </c>
      <c r="D528" s="8" t="s">
        <v>60</v>
      </c>
      <c r="E528" s="8" t="s">
        <v>34</v>
      </c>
      <c r="F528" s="8" t="s">
        <v>60</v>
      </c>
      <c r="G528" s="9">
        <v>34839743</v>
      </c>
      <c r="H528" s="10">
        <v>34902450</v>
      </c>
      <c r="I528" s="11">
        <v>45599</v>
      </c>
      <c r="J528" s="12">
        <v>202695</v>
      </c>
      <c r="K528" s="13" t="s">
        <v>1867</v>
      </c>
      <c r="L528" s="14" t="s">
        <v>58</v>
      </c>
      <c r="M528" s="11" t="s">
        <v>28</v>
      </c>
      <c r="N528" s="14" t="s">
        <v>11</v>
      </c>
      <c r="O528" s="15">
        <v>2288</v>
      </c>
      <c r="P528" s="12">
        <v>1</v>
      </c>
      <c r="Q528" s="13" t="s">
        <v>175</v>
      </c>
      <c r="R528" s="16">
        <v>90995750</v>
      </c>
      <c r="S528" s="17">
        <v>84255324</v>
      </c>
      <c r="T528" s="12">
        <v>5</v>
      </c>
      <c r="U528" s="18">
        <v>4434491</v>
      </c>
      <c r="V528" s="19">
        <v>4789250</v>
      </c>
      <c r="W528" s="13" t="s">
        <v>1225</v>
      </c>
      <c r="X528" s="14" t="s">
        <v>1868</v>
      </c>
      <c r="Y528" s="13" t="s">
        <v>185</v>
      </c>
      <c r="Z528" s="14" t="s">
        <v>1869</v>
      </c>
      <c r="AA528" s="17">
        <v>12</v>
      </c>
      <c r="AB528" s="14" t="s">
        <v>1498</v>
      </c>
      <c r="AC528" s="17">
        <v>95785000</v>
      </c>
      <c r="AD528" s="14" t="s">
        <v>128</v>
      </c>
      <c r="AE528" s="17">
        <v>88689815</v>
      </c>
      <c r="AF528" s="14" t="s">
        <v>139</v>
      </c>
      <c r="AG528" s="20" t="s">
        <v>186</v>
      </c>
      <c r="AH528" s="10">
        <v>49415581</v>
      </c>
      <c r="AI528" s="24" t="str">
        <f>VLOOKUP(Sales[[#This Row],[Store]],'Store lay bao  cao'!A:B,2,0)</f>
        <v>Lấy BC</v>
      </c>
      <c r="AJ528" s="24" t="str">
        <f>VLOOKUP(Sales[[#This Row],[Associate]],'Associate Status'!B:C,2,0)</f>
        <v>Active</v>
      </c>
    </row>
    <row r="529" spans="1:36" x14ac:dyDescent="0.25">
      <c r="A529" s="7">
        <v>2024</v>
      </c>
      <c r="B529" s="8">
        <v>11</v>
      </c>
      <c r="C529" s="8">
        <v>44</v>
      </c>
      <c r="D529" s="8" t="s">
        <v>63</v>
      </c>
      <c r="E529" s="8" t="s">
        <v>43</v>
      </c>
      <c r="F529" s="8" t="s">
        <v>63</v>
      </c>
      <c r="G529" s="9">
        <v>65899215</v>
      </c>
      <c r="H529" s="10">
        <v>65047500</v>
      </c>
      <c r="I529" s="11">
        <v>45599</v>
      </c>
      <c r="J529" s="12">
        <v>209310</v>
      </c>
      <c r="K529" s="13" t="s">
        <v>1870</v>
      </c>
      <c r="L529" s="14" t="s">
        <v>65</v>
      </c>
      <c r="M529" s="11" t="s">
        <v>17</v>
      </c>
      <c r="N529" s="14" t="s">
        <v>62</v>
      </c>
      <c r="O529" s="15">
        <v>8739</v>
      </c>
      <c r="P529" s="12">
        <v>1</v>
      </c>
      <c r="Q529" s="13" t="s">
        <v>101</v>
      </c>
      <c r="R529" s="16">
        <v>168740000</v>
      </c>
      <c r="S529" s="17">
        <v>156240741</v>
      </c>
      <c r="T529" s="12">
        <v>0</v>
      </c>
      <c r="U529" s="18">
        <v>0</v>
      </c>
      <c r="V529" s="19">
        <v>0</v>
      </c>
      <c r="W529" s="13" t="s">
        <v>427</v>
      </c>
      <c r="X529" s="14" t="s">
        <v>1871</v>
      </c>
      <c r="Y529" s="13" t="s">
        <v>828</v>
      </c>
      <c r="Z529" s="14" t="s">
        <v>1715</v>
      </c>
      <c r="AA529" s="17">
        <v>12</v>
      </c>
      <c r="AB529" s="14" t="s">
        <v>173</v>
      </c>
      <c r="AC529" s="17">
        <v>168740000</v>
      </c>
      <c r="AD529" s="14">
        <v>54</v>
      </c>
      <c r="AE529" s="17">
        <v>156240741</v>
      </c>
      <c r="AF529" s="14" t="s">
        <v>885</v>
      </c>
      <c r="AG529" s="21" t="s">
        <v>829</v>
      </c>
      <c r="AH529" s="10">
        <v>90341526</v>
      </c>
      <c r="AI529" s="24" t="str">
        <f>VLOOKUP(Sales[[#This Row],[Store]],'Store lay bao  cao'!A:B,2,0)</f>
        <v>Lấy BC</v>
      </c>
      <c r="AJ529" s="24" t="str">
        <f>VLOOKUP(Sales[[#This Row],[Associate]],'Associate Status'!B:C,2,0)</f>
        <v>Retired</v>
      </c>
    </row>
    <row r="530" spans="1:36" x14ac:dyDescent="0.25">
      <c r="A530" s="7">
        <v>2024</v>
      </c>
      <c r="B530" s="8">
        <v>11</v>
      </c>
      <c r="C530" s="8">
        <v>44</v>
      </c>
      <c r="D530" s="8" t="s">
        <v>63</v>
      </c>
      <c r="E530" s="8" t="s">
        <v>43</v>
      </c>
      <c r="F530" s="8" t="s">
        <v>63</v>
      </c>
      <c r="G530" s="9">
        <v>65899215</v>
      </c>
      <c r="H530" s="10">
        <v>65047500</v>
      </c>
      <c r="I530" s="11">
        <v>45599</v>
      </c>
      <c r="J530" s="12">
        <v>209310</v>
      </c>
      <c r="K530" s="13" t="s">
        <v>1872</v>
      </c>
      <c r="L530" s="14" t="s">
        <v>65</v>
      </c>
      <c r="M530" s="11" t="s">
        <v>17</v>
      </c>
      <c r="N530" s="14" t="s">
        <v>62</v>
      </c>
      <c r="O530" s="15">
        <v>8741</v>
      </c>
      <c r="P530" s="12">
        <v>1</v>
      </c>
      <c r="Q530" s="13" t="s">
        <v>101</v>
      </c>
      <c r="R530" s="16">
        <v>168740000</v>
      </c>
      <c r="S530" s="17">
        <v>156240741</v>
      </c>
      <c r="T530" s="12">
        <v>0</v>
      </c>
      <c r="U530" s="18">
        <v>0</v>
      </c>
      <c r="V530" s="19">
        <v>0</v>
      </c>
      <c r="W530" s="13" t="s">
        <v>427</v>
      </c>
      <c r="X530" s="14" t="s">
        <v>1871</v>
      </c>
      <c r="Y530" s="13" t="s">
        <v>185</v>
      </c>
      <c r="Z530" s="14" t="s">
        <v>1715</v>
      </c>
      <c r="AA530" s="17">
        <v>12</v>
      </c>
      <c r="AB530" s="14" t="s">
        <v>173</v>
      </c>
      <c r="AC530" s="17">
        <v>168740000</v>
      </c>
      <c r="AD530" s="14">
        <v>54</v>
      </c>
      <c r="AE530" s="17">
        <v>156240741</v>
      </c>
      <c r="AF530" s="14" t="s">
        <v>885</v>
      </c>
      <c r="AG530" s="20" t="s">
        <v>186</v>
      </c>
      <c r="AH530" s="10">
        <v>90341526</v>
      </c>
      <c r="AI530" s="24" t="str">
        <f>VLOOKUP(Sales[[#This Row],[Store]],'Store lay bao  cao'!A:B,2,0)</f>
        <v>Lấy BC</v>
      </c>
      <c r="AJ530" s="24" t="str">
        <f>VLOOKUP(Sales[[#This Row],[Associate]],'Associate Status'!B:C,2,0)</f>
        <v>Retired</v>
      </c>
    </row>
    <row r="531" spans="1:36" x14ac:dyDescent="0.25">
      <c r="A531" s="7">
        <v>2024</v>
      </c>
      <c r="B531" s="8">
        <v>11</v>
      </c>
      <c r="C531" s="8">
        <v>44</v>
      </c>
      <c r="D531" s="8" t="s">
        <v>63</v>
      </c>
      <c r="E531" s="8" t="s">
        <v>43</v>
      </c>
      <c r="F531" s="8" t="s">
        <v>63</v>
      </c>
      <c r="G531" s="9">
        <v>-65899215</v>
      </c>
      <c r="H531" s="10">
        <v>-65047500</v>
      </c>
      <c r="I531" s="11">
        <v>45599</v>
      </c>
      <c r="J531" s="12">
        <v>209310</v>
      </c>
      <c r="K531" s="13" t="s">
        <v>1873</v>
      </c>
      <c r="L531" s="14" t="s">
        <v>65</v>
      </c>
      <c r="M531" s="11" t="s">
        <v>17</v>
      </c>
      <c r="N531" s="14" t="s">
        <v>62</v>
      </c>
      <c r="O531" s="15">
        <v>8740</v>
      </c>
      <c r="P531" s="12">
        <v>-1</v>
      </c>
      <c r="Q531" s="13" t="s">
        <v>101</v>
      </c>
      <c r="R531" s="16">
        <v>-168740000</v>
      </c>
      <c r="S531" s="17">
        <v>-156240741</v>
      </c>
      <c r="T531" s="12">
        <v>0</v>
      </c>
      <c r="U531" s="18">
        <v>0</v>
      </c>
      <c r="V531" s="19">
        <v>0</v>
      </c>
      <c r="W531" s="13" t="s">
        <v>427</v>
      </c>
      <c r="X531" s="14" t="s">
        <v>1871</v>
      </c>
      <c r="Y531" s="13" t="s">
        <v>828</v>
      </c>
      <c r="Z531" s="14" t="s">
        <v>1715</v>
      </c>
      <c r="AA531" s="17">
        <v>12</v>
      </c>
      <c r="AB531" s="14" t="s">
        <v>173</v>
      </c>
      <c r="AC531" s="17">
        <v>-168740000</v>
      </c>
      <c r="AD531" s="14">
        <v>54</v>
      </c>
      <c r="AE531" s="17">
        <v>-156240741</v>
      </c>
      <c r="AF531" s="14" t="s">
        <v>885</v>
      </c>
      <c r="AG531" s="21" t="s">
        <v>829</v>
      </c>
      <c r="AH531" s="10">
        <v>-90341526</v>
      </c>
      <c r="AI531" s="24" t="str">
        <f>VLOOKUP(Sales[[#This Row],[Store]],'Store lay bao  cao'!A:B,2,0)</f>
        <v>Lấy BC</v>
      </c>
      <c r="AJ531" s="24" t="str">
        <f>VLOOKUP(Sales[[#This Row],[Associate]],'Associate Status'!B:C,2,0)</f>
        <v>Retired</v>
      </c>
    </row>
    <row r="532" spans="1:36" x14ac:dyDescent="0.25">
      <c r="A532" s="7">
        <v>2024</v>
      </c>
      <c r="B532" s="8">
        <v>11</v>
      </c>
      <c r="C532" s="8">
        <v>45</v>
      </c>
      <c r="D532" s="8" t="s">
        <v>63</v>
      </c>
      <c r="E532" s="8" t="s">
        <v>43</v>
      </c>
      <c r="F532" s="8" t="s">
        <v>63</v>
      </c>
      <c r="G532" s="9">
        <v>54618107</v>
      </c>
      <c r="H532" s="10">
        <v>43884000</v>
      </c>
      <c r="I532" s="11">
        <v>45602</v>
      </c>
      <c r="J532" s="12">
        <v>210772</v>
      </c>
      <c r="K532" s="13" t="s">
        <v>1874</v>
      </c>
      <c r="L532" s="14" t="s">
        <v>59</v>
      </c>
      <c r="M532" s="11" t="s">
        <v>17</v>
      </c>
      <c r="N532" s="14" t="s">
        <v>11</v>
      </c>
      <c r="O532" s="15">
        <v>8746</v>
      </c>
      <c r="P532" s="12">
        <v>1</v>
      </c>
      <c r="Q532" s="13" t="s">
        <v>101</v>
      </c>
      <c r="R532" s="16">
        <v>133560000</v>
      </c>
      <c r="S532" s="17">
        <v>123666667</v>
      </c>
      <c r="T532" s="12">
        <v>0</v>
      </c>
      <c r="U532" s="18">
        <v>0</v>
      </c>
      <c r="V532" s="19">
        <v>0</v>
      </c>
      <c r="W532" s="13" t="s">
        <v>427</v>
      </c>
      <c r="X532" s="14" t="s">
        <v>1875</v>
      </c>
      <c r="Y532" s="13" t="s">
        <v>1219</v>
      </c>
      <c r="Z532" s="14" t="s">
        <v>1876</v>
      </c>
      <c r="AA532" s="17">
        <v>13</v>
      </c>
      <c r="AB532" s="14" t="s">
        <v>1877</v>
      </c>
      <c r="AC532" s="17">
        <v>133560000</v>
      </c>
      <c r="AD532" s="14">
        <v>7</v>
      </c>
      <c r="AE532" s="17">
        <v>123666667</v>
      </c>
      <c r="AF532" s="14" t="s">
        <v>1338</v>
      </c>
      <c r="AG532" s="20" t="s">
        <v>1878</v>
      </c>
      <c r="AH532" s="10">
        <v>69048560</v>
      </c>
      <c r="AI532" s="24" t="str">
        <f>VLOOKUP(Sales[[#This Row],[Store]],'Store lay bao  cao'!A:B,2,0)</f>
        <v>Lấy BC</v>
      </c>
      <c r="AJ532" s="24" t="str">
        <f>VLOOKUP(Sales[[#This Row],[Associate]],'Associate Status'!B:C,2,0)</f>
        <v>Active</v>
      </c>
    </row>
    <row r="533" spans="1:36" x14ac:dyDescent="0.25">
      <c r="A533" s="7">
        <v>2024</v>
      </c>
      <c r="B533" s="8">
        <v>11</v>
      </c>
      <c r="C533" s="8">
        <v>45</v>
      </c>
      <c r="D533" s="8" t="s">
        <v>52</v>
      </c>
      <c r="E533" s="8" t="s">
        <v>53</v>
      </c>
      <c r="F533" s="8" t="s">
        <v>52</v>
      </c>
      <c r="G533" s="9">
        <v>3383734</v>
      </c>
      <c r="H533" s="10">
        <v>3435750</v>
      </c>
      <c r="I533" s="11">
        <v>45602</v>
      </c>
      <c r="J533" s="12">
        <v>182206</v>
      </c>
      <c r="K533" s="13" t="s">
        <v>1879</v>
      </c>
      <c r="L533" s="14" t="s">
        <v>50</v>
      </c>
      <c r="M533" s="11" t="s">
        <v>21</v>
      </c>
      <c r="N533" s="14" t="s">
        <v>11</v>
      </c>
      <c r="O533" s="15">
        <v>7991</v>
      </c>
      <c r="P533" s="12">
        <v>1</v>
      </c>
      <c r="Q533" s="13" t="s">
        <v>101</v>
      </c>
      <c r="R533" s="16">
        <v>10995000</v>
      </c>
      <c r="S533" s="17">
        <v>10180556</v>
      </c>
      <c r="T533" s="12">
        <v>0</v>
      </c>
      <c r="U533" s="18">
        <v>0</v>
      </c>
      <c r="V533" s="19">
        <v>0</v>
      </c>
      <c r="W533" s="13" t="s">
        <v>160</v>
      </c>
      <c r="X533" s="14" t="s">
        <v>1342</v>
      </c>
      <c r="Y533" s="13" t="s">
        <v>196</v>
      </c>
      <c r="Z533" s="14" t="s">
        <v>1343</v>
      </c>
      <c r="AA533" s="17">
        <v>15</v>
      </c>
      <c r="AB533" s="14" t="s">
        <v>1344</v>
      </c>
      <c r="AC533" s="17">
        <v>10995000</v>
      </c>
      <c r="AD533" s="14" t="s">
        <v>108</v>
      </c>
      <c r="AE533" s="17">
        <v>10180556</v>
      </c>
      <c r="AF533" s="14" t="s">
        <v>898</v>
      </c>
      <c r="AG533" s="21" t="s">
        <v>197</v>
      </c>
      <c r="AH533" s="10">
        <v>6796822</v>
      </c>
      <c r="AI533" s="24" t="str">
        <f>VLOOKUP(Sales[[#This Row],[Store]],'Store lay bao  cao'!A:B,2,0)</f>
        <v>Lấy BC</v>
      </c>
      <c r="AJ533" s="24" t="str">
        <f>VLOOKUP(Sales[[#This Row],[Associate]],'Associate Status'!B:C,2,0)</f>
        <v>Retired</v>
      </c>
    </row>
    <row r="534" spans="1:36" x14ac:dyDescent="0.25">
      <c r="A534" s="7">
        <v>2024</v>
      </c>
      <c r="B534" s="8">
        <v>11</v>
      </c>
      <c r="C534" s="8">
        <v>45</v>
      </c>
      <c r="D534" s="8" t="s">
        <v>60</v>
      </c>
      <c r="E534" s="8" t="s">
        <v>37</v>
      </c>
      <c r="F534" s="8" t="s">
        <v>60</v>
      </c>
      <c r="G534" s="9">
        <v>2427460</v>
      </c>
      <c r="H534" s="10">
        <v>2257200</v>
      </c>
      <c r="I534" s="11">
        <v>45602</v>
      </c>
      <c r="J534" s="12">
        <v>208302</v>
      </c>
      <c r="K534" s="13" t="s">
        <v>1879</v>
      </c>
      <c r="L534" s="14" t="s">
        <v>50</v>
      </c>
      <c r="M534" s="11" t="s">
        <v>21</v>
      </c>
      <c r="N534" s="14" t="s">
        <v>11</v>
      </c>
      <c r="O534" s="15">
        <v>7991</v>
      </c>
      <c r="P534" s="12">
        <v>1</v>
      </c>
      <c r="Q534" s="13" t="s">
        <v>101</v>
      </c>
      <c r="R534" s="16">
        <v>7224000</v>
      </c>
      <c r="S534" s="17">
        <v>6688889</v>
      </c>
      <c r="T534" s="12">
        <v>0</v>
      </c>
      <c r="U534" s="18">
        <v>0</v>
      </c>
      <c r="V534" s="19">
        <v>0</v>
      </c>
      <c r="W534" s="13" t="s">
        <v>160</v>
      </c>
      <c r="X534" s="14" t="s">
        <v>1880</v>
      </c>
      <c r="Y534" s="13" t="s">
        <v>196</v>
      </c>
      <c r="Z534" s="14" t="s">
        <v>1881</v>
      </c>
      <c r="AA534" s="17">
        <v>15</v>
      </c>
      <c r="AB534" s="14" t="s">
        <v>1741</v>
      </c>
      <c r="AC534" s="17">
        <v>7224000</v>
      </c>
      <c r="AD534" s="14" t="s">
        <v>108</v>
      </c>
      <c r="AE534" s="17">
        <v>6688889</v>
      </c>
      <c r="AF534" s="14" t="s">
        <v>898</v>
      </c>
      <c r="AG534" s="20" t="s">
        <v>197</v>
      </c>
      <c r="AH534" s="10">
        <v>4261429</v>
      </c>
      <c r="AI534" s="24" t="str">
        <f>VLOOKUP(Sales[[#This Row],[Store]],'Store lay bao  cao'!A:B,2,0)</f>
        <v>Lấy BC</v>
      </c>
      <c r="AJ534" s="24" t="str">
        <f>VLOOKUP(Sales[[#This Row],[Associate]],'Associate Status'!B:C,2,0)</f>
        <v>Retired</v>
      </c>
    </row>
    <row r="535" spans="1:36" x14ac:dyDescent="0.25">
      <c r="A535" s="7">
        <v>2024</v>
      </c>
      <c r="B535" s="8">
        <v>11</v>
      </c>
      <c r="C535" s="8">
        <v>45</v>
      </c>
      <c r="D535" s="8" t="s">
        <v>52</v>
      </c>
      <c r="E535" s="8" t="s">
        <v>37</v>
      </c>
      <c r="F535" s="8" t="s">
        <v>52</v>
      </c>
      <c r="G535" s="9">
        <v>5860382</v>
      </c>
      <c r="H535" s="10">
        <v>5278500</v>
      </c>
      <c r="I535" s="11">
        <v>45602</v>
      </c>
      <c r="J535" s="12">
        <v>182224</v>
      </c>
      <c r="K535" s="13" t="s">
        <v>1879</v>
      </c>
      <c r="L535" s="14" t="s">
        <v>50</v>
      </c>
      <c r="M535" s="11" t="s">
        <v>21</v>
      </c>
      <c r="N535" s="14" t="s">
        <v>11</v>
      </c>
      <c r="O535" s="15">
        <v>7991</v>
      </c>
      <c r="P535" s="12">
        <v>1</v>
      </c>
      <c r="Q535" s="13" t="s">
        <v>101</v>
      </c>
      <c r="R535" s="16">
        <v>16892000</v>
      </c>
      <c r="S535" s="17">
        <v>15640741</v>
      </c>
      <c r="T535" s="12">
        <v>0</v>
      </c>
      <c r="U535" s="18">
        <v>0</v>
      </c>
      <c r="V535" s="19">
        <v>0</v>
      </c>
      <c r="W535" s="13" t="s">
        <v>160</v>
      </c>
      <c r="X535" s="14" t="s">
        <v>1071</v>
      </c>
      <c r="Y535" s="13" t="s">
        <v>196</v>
      </c>
      <c r="Z535" s="14" t="s">
        <v>896</v>
      </c>
      <c r="AA535" s="17">
        <v>15</v>
      </c>
      <c r="AB535" s="14" t="s">
        <v>1072</v>
      </c>
      <c r="AC535" s="17">
        <v>16892000</v>
      </c>
      <c r="AD535" s="14" t="s">
        <v>108</v>
      </c>
      <c r="AE535" s="17">
        <v>15640741</v>
      </c>
      <c r="AF535" s="14" t="s">
        <v>898</v>
      </c>
      <c r="AG535" s="21" t="s">
        <v>197</v>
      </c>
      <c r="AH535" s="10">
        <v>9780359</v>
      </c>
      <c r="AI535" s="24" t="str">
        <f>VLOOKUP(Sales[[#This Row],[Store]],'Store lay bao  cao'!A:B,2,0)</f>
        <v>Lấy BC</v>
      </c>
      <c r="AJ535" s="24" t="str">
        <f>VLOOKUP(Sales[[#This Row],[Associate]],'Associate Status'!B:C,2,0)</f>
        <v>Retired</v>
      </c>
    </row>
    <row r="536" spans="1:36" x14ac:dyDescent="0.25">
      <c r="A536" s="7">
        <v>2024</v>
      </c>
      <c r="B536" s="8">
        <v>11</v>
      </c>
      <c r="C536" s="8">
        <v>45</v>
      </c>
      <c r="D536" s="8" t="s">
        <v>63</v>
      </c>
      <c r="E536" s="8" t="s">
        <v>37</v>
      </c>
      <c r="F536" s="8" t="s">
        <v>63</v>
      </c>
      <c r="G536" s="9">
        <v>1494675</v>
      </c>
      <c r="H536" s="10">
        <v>1376173.8</v>
      </c>
      <c r="I536" s="11">
        <v>45602</v>
      </c>
      <c r="J536" s="12">
        <v>205011</v>
      </c>
      <c r="K536" s="13" t="s">
        <v>1879</v>
      </c>
      <c r="L536" s="14" t="s">
        <v>47</v>
      </c>
      <c r="M536" s="11" t="s">
        <v>21</v>
      </c>
      <c r="N536" s="14" t="s">
        <v>62</v>
      </c>
      <c r="O536" s="15">
        <v>7991</v>
      </c>
      <c r="P536" s="12">
        <v>1</v>
      </c>
      <c r="Q536" s="13" t="s">
        <v>101</v>
      </c>
      <c r="R536" s="16">
        <v>8258000</v>
      </c>
      <c r="S536" s="17">
        <v>7646296</v>
      </c>
      <c r="T536" s="12">
        <v>0</v>
      </c>
      <c r="U536" s="18">
        <v>0</v>
      </c>
      <c r="V536" s="19">
        <v>0</v>
      </c>
      <c r="W536" s="13" t="s">
        <v>160</v>
      </c>
      <c r="X536" s="14" t="s">
        <v>1486</v>
      </c>
      <c r="Y536" s="13" t="s">
        <v>196</v>
      </c>
      <c r="Z536" s="14">
        <v>14</v>
      </c>
      <c r="AA536" s="17">
        <v>15</v>
      </c>
      <c r="AB536" s="14" t="s">
        <v>341</v>
      </c>
      <c r="AC536" s="17">
        <v>8258000</v>
      </c>
      <c r="AD536" s="14" t="s">
        <v>924</v>
      </c>
      <c r="AE536" s="17">
        <v>7646296</v>
      </c>
      <c r="AF536" s="14" t="s">
        <v>898</v>
      </c>
      <c r="AG536" s="20" t="s">
        <v>197</v>
      </c>
      <c r="AH536" s="10">
        <v>6151621</v>
      </c>
      <c r="AI536" s="24" t="str">
        <f>VLOOKUP(Sales[[#This Row],[Store]],'Store lay bao  cao'!A:B,2,0)</f>
        <v>Lấy BC</v>
      </c>
      <c r="AJ536" s="24" t="str">
        <f>VLOOKUP(Sales[[#This Row],[Associate]],'Associate Status'!B:C,2,0)</f>
        <v>Retired</v>
      </c>
    </row>
    <row r="537" spans="1:36" x14ac:dyDescent="0.25">
      <c r="A537" s="7">
        <v>2024</v>
      </c>
      <c r="B537" s="8">
        <v>11</v>
      </c>
      <c r="C537" s="8">
        <v>45</v>
      </c>
      <c r="D537" s="8" t="s">
        <v>66</v>
      </c>
      <c r="E537" s="8" t="s">
        <v>34</v>
      </c>
      <c r="F537" s="8" t="s">
        <v>66</v>
      </c>
      <c r="G537" s="9">
        <v>115808928</v>
      </c>
      <c r="H537" s="10">
        <v>111111750</v>
      </c>
      <c r="I537" s="11">
        <v>45604</v>
      </c>
      <c r="J537" s="12">
        <v>211217</v>
      </c>
      <c r="K537" s="13" t="s">
        <v>1882</v>
      </c>
      <c r="L537" s="14" t="s">
        <v>65</v>
      </c>
      <c r="M537" s="11" t="s">
        <v>17</v>
      </c>
      <c r="N537" s="14" t="s">
        <v>62</v>
      </c>
      <c r="O537" s="15">
        <v>8767</v>
      </c>
      <c r="P537" s="12">
        <v>1</v>
      </c>
      <c r="Q537" s="13" t="s">
        <v>101</v>
      </c>
      <c r="R537" s="16">
        <v>286695750</v>
      </c>
      <c r="S537" s="17">
        <v>265459028</v>
      </c>
      <c r="T537" s="12">
        <v>5</v>
      </c>
      <c r="U537" s="18">
        <v>13971528</v>
      </c>
      <c r="V537" s="19">
        <v>15089250</v>
      </c>
      <c r="W537" s="13" t="s">
        <v>140</v>
      </c>
      <c r="X537" s="14" t="s">
        <v>1883</v>
      </c>
      <c r="Y537" s="13" t="s">
        <v>474</v>
      </c>
      <c r="Z537" s="14" t="s">
        <v>1884</v>
      </c>
      <c r="AA537" s="17">
        <v>20</v>
      </c>
      <c r="AB537" s="14" t="s">
        <v>1852</v>
      </c>
      <c r="AC537" s="17">
        <v>301785000</v>
      </c>
      <c r="AD537" s="14" t="s">
        <v>108</v>
      </c>
      <c r="AE537" s="17">
        <v>279430556</v>
      </c>
      <c r="AF537" s="14" t="s">
        <v>117</v>
      </c>
      <c r="AG537" s="21" t="s">
        <v>475</v>
      </c>
      <c r="AH537" s="10">
        <v>149650100</v>
      </c>
      <c r="AI537" s="24" t="str">
        <f>VLOOKUP(Sales[[#This Row],[Store]],'Store lay bao  cao'!A:B,2,0)</f>
        <v>Lấy BC</v>
      </c>
      <c r="AJ537" s="24" t="str">
        <f>VLOOKUP(Sales[[#This Row],[Associate]],'Associate Status'!B:C,2,0)</f>
        <v>Retired</v>
      </c>
    </row>
    <row r="538" spans="1:36" x14ac:dyDescent="0.25">
      <c r="A538" s="7">
        <v>2024</v>
      </c>
      <c r="B538" s="8">
        <v>11</v>
      </c>
      <c r="C538" s="8">
        <v>45</v>
      </c>
      <c r="D538" s="8" t="s">
        <v>60</v>
      </c>
      <c r="E538" s="8" t="s">
        <v>43</v>
      </c>
      <c r="F538" s="8" t="s">
        <v>60</v>
      </c>
      <c r="G538" s="9">
        <v>1491338</v>
      </c>
      <c r="H538" s="10">
        <v>1114350</v>
      </c>
      <c r="I538" s="11">
        <v>45606</v>
      </c>
      <c r="J538" s="12">
        <v>202790</v>
      </c>
      <c r="K538" s="13" t="s">
        <v>706</v>
      </c>
      <c r="L538" s="14" t="s">
        <v>19</v>
      </c>
      <c r="M538" s="11" t="s">
        <v>15</v>
      </c>
      <c r="N538" s="14" t="s">
        <v>62</v>
      </c>
      <c r="O538" s="15">
        <v>5183</v>
      </c>
      <c r="P538" s="12">
        <v>1</v>
      </c>
      <c r="Q538" s="13" t="s">
        <v>101</v>
      </c>
      <c r="R538" s="16">
        <v>3693000</v>
      </c>
      <c r="S538" s="17">
        <v>3419444</v>
      </c>
      <c r="T538" s="12">
        <v>0</v>
      </c>
      <c r="U538" s="18">
        <v>0</v>
      </c>
      <c r="V538" s="19">
        <v>0</v>
      </c>
      <c r="W538" s="13" t="s">
        <v>104</v>
      </c>
      <c r="X538" s="14" t="s">
        <v>1885</v>
      </c>
      <c r="Y538" s="13" t="s">
        <v>1296</v>
      </c>
      <c r="Z538" s="14" t="s">
        <v>1886</v>
      </c>
      <c r="AA538" s="17">
        <v>16</v>
      </c>
      <c r="AB538" s="14" t="s">
        <v>1887</v>
      </c>
      <c r="AC538" s="17">
        <v>3693000</v>
      </c>
      <c r="AD538" s="14">
        <v>51</v>
      </c>
      <c r="AE538" s="17">
        <v>3419444</v>
      </c>
      <c r="AF538" s="14" t="s">
        <v>1221</v>
      </c>
      <c r="AG538" s="20" t="s">
        <v>1297</v>
      </c>
      <c r="AH538" s="10">
        <v>1928106</v>
      </c>
      <c r="AI538" s="24" t="str">
        <f>VLOOKUP(Sales[[#This Row],[Store]],'Store lay bao  cao'!A:B,2,0)</f>
        <v>Lấy BC</v>
      </c>
      <c r="AJ538" s="24" t="str">
        <f>VLOOKUP(Sales[[#This Row],[Associate]],'Associate Status'!B:C,2,0)</f>
        <v>Retired</v>
      </c>
    </row>
    <row r="539" spans="1:36" x14ac:dyDescent="0.25">
      <c r="A539" s="7">
        <v>2024</v>
      </c>
      <c r="B539" s="8">
        <v>11</v>
      </c>
      <c r="C539" s="8">
        <v>45</v>
      </c>
      <c r="D539" s="8" t="s">
        <v>60</v>
      </c>
      <c r="E539" s="8" t="s">
        <v>43</v>
      </c>
      <c r="F539" s="8" t="s">
        <v>60</v>
      </c>
      <c r="G539" s="9">
        <v>3177198</v>
      </c>
      <c r="H539" s="10">
        <v>2374050</v>
      </c>
      <c r="I539" s="11">
        <v>45606</v>
      </c>
      <c r="J539" s="12">
        <v>202814</v>
      </c>
      <c r="K539" s="13" t="s">
        <v>706</v>
      </c>
      <c r="L539" s="14" t="s">
        <v>19</v>
      </c>
      <c r="M539" s="11" t="s">
        <v>15</v>
      </c>
      <c r="N539" s="14" t="s">
        <v>62</v>
      </c>
      <c r="O539" s="15">
        <v>5183</v>
      </c>
      <c r="P539" s="12">
        <v>1</v>
      </c>
      <c r="Q539" s="13" t="s">
        <v>101</v>
      </c>
      <c r="R539" s="16">
        <v>7867000</v>
      </c>
      <c r="S539" s="17">
        <v>7284259</v>
      </c>
      <c r="T539" s="12">
        <v>0</v>
      </c>
      <c r="U539" s="18">
        <v>0</v>
      </c>
      <c r="V539" s="19">
        <v>0</v>
      </c>
      <c r="W539" s="13" t="s">
        <v>104</v>
      </c>
      <c r="X539" s="14" t="s">
        <v>1888</v>
      </c>
      <c r="Y539" s="13" t="s">
        <v>1296</v>
      </c>
      <c r="Z539" s="14" t="s">
        <v>1889</v>
      </c>
      <c r="AA539" s="17">
        <v>16</v>
      </c>
      <c r="AB539" s="14" t="s">
        <v>1890</v>
      </c>
      <c r="AC539" s="17">
        <v>7867000</v>
      </c>
      <c r="AD539" s="14">
        <v>51</v>
      </c>
      <c r="AE539" s="17">
        <v>7284259</v>
      </c>
      <c r="AF539" s="14" t="s">
        <v>1221</v>
      </c>
      <c r="AG539" s="21" t="s">
        <v>1297</v>
      </c>
      <c r="AH539" s="10">
        <v>4107061</v>
      </c>
      <c r="AI539" s="24" t="str">
        <f>VLOOKUP(Sales[[#This Row],[Store]],'Store lay bao  cao'!A:B,2,0)</f>
        <v>Lấy BC</v>
      </c>
      <c r="AJ539" s="24" t="str">
        <f>VLOOKUP(Sales[[#This Row],[Associate]],'Associate Status'!B:C,2,0)</f>
        <v>Retired</v>
      </c>
    </row>
    <row r="540" spans="1:36" x14ac:dyDescent="0.25">
      <c r="A540" s="7">
        <v>2024</v>
      </c>
      <c r="B540" s="8">
        <v>11</v>
      </c>
      <c r="C540" s="8">
        <v>46</v>
      </c>
      <c r="D540" s="8" t="s">
        <v>63</v>
      </c>
      <c r="E540" s="8" t="s">
        <v>43</v>
      </c>
      <c r="F540" s="8" t="s">
        <v>63</v>
      </c>
      <c r="G540" s="9">
        <v>534860867</v>
      </c>
      <c r="H540" s="10">
        <v>543455000</v>
      </c>
      <c r="I540" s="11">
        <v>45607</v>
      </c>
      <c r="J540" s="12">
        <v>205079</v>
      </c>
      <c r="K540" s="13" t="s">
        <v>707</v>
      </c>
      <c r="L540" s="14" t="s">
        <v>55</v>
      </c>
      <c r="M540" s="11" t="s">
        <v>15</v>
      </c>
      <c r="N540" s="14" t="s">
        <v>62</v>
      </c>
      <c r="O540" s="15">
        <v>5190</v>
      </c>
      <c r="P540" s="12">
        <v>1</v>
      </c>
      <c r="Q540" s="13" t="s">
        <v>110</v>
      </c>
      <c r="R540" s="16">
        <v>700004821.12</v>
      </c>
      <c r="S540" s="17">
        <v>648152612</v>
      </c>
      <c r="T540" s="12">
        <v>19.5</v>
      </c>
      <c r="U540" s="18">
        <v>156965906</v>
      </c>
      <c r="V540" s="19">
        <v>169523178.88</v>
      </c>
      <c r="W540" s="13" t="s">
        <v>104</v>
      </c>
      <c r="X540" s="14" t="s">
        <v>1891</v>
      </c>
      <c r="Y540" s="13" t="s">
        <v>274</v>
      </c>
      <c r="Z540" s="14" t="s">
        <v>1892</v>
      </c>
      <c r="AA540" s="17">
        <v>14</v>
      </c>
      <c r="AB540" s="14" t="s">
        <v>1893</v>
      </c>
      <c r="AC540" s="17">
        <v>869528000</v>
      </c>
      <c r="AD540" s="14" t="s">
        <v>108</v>
      </c>
      <c r="AE540" s="17">
        <v>805118519</v>
      </c>
      <c r="AF540" s="14" t="s">
        <v>2594</v>
      </c>
      <c r="AG540" s="20" t="s">
        <v>275</v>
      </c>
      <c r="AH540" s="10">
        <v>113291745</v>
      </c>
      <c r="AI540" s="24" t="str">
        <f>VLOOKUP(Sales[[#This Row],[Store]],'Store lay bao  cao'!A:B,2,0)</f>
        <v>Lấy BC</v>
      </c>
      <c r="AJ540" s="24" t="e">
        <f>VLOOKUP(Sales[[#This Row],[Associate]],'Associate Status'!B:C,2,0)</f>
        <v>#N/A</v>
      </c>
    </row>
    <row r="541" spans="1:36" x14ac:dyDescent="0.25">
      <c r="A541" s="7">
        <v>2024</v>
      </c>
      <c r="B541" s="8">
        <v>11</v>
      </c>
      <c r="C541" s="8">
        <v>46</v>
      </c>
      <c r="D541" s="8" t="s">
        <v>63</v>
      </c>
      <c r="E541" s="8" t="s">
        <v>34</v>
      </c>
      <c r="F541" s="8" t="s">
        <v>63</v>
      </c>
      <c r="G541" s="9">
        <v>510376</v>
      </c>
      <c r="H541" s="10">
        <v>484209.3</v>
      </c>
      <c r="I541" s="11">
        <v>45612</v>
      </c>
      <c r="J541" s="12">
        <v>205058</v>
      </c>
      <c r="K541" s="13" t="s">
        <v>1894</v>
      </c>
      <c r="L541" s="14" t="s">
        <v>47</v>
      </c>
      <c r="M541" s="11" t="s">
        <v>21</v>
      </c>
      <c r="N541" s="14" t="s">
        <v>62</v>
      </c>
      <c r="O541" s="15">
        <v>8038</v>
      </c>
      <c r="P541" s="12">
        <v>1</v>
      </c>
      <c r="Q541" s="13" t="s">
        <v>101</v>
      </c>
      <c r="R541" s="16">
        <v>2906000</v>
      </c>
      <c r="S541" s="17">
        <v>2690741</v>
      </c>
      <c r="T541" s="12">
        <v>0</v>
      </c>
      <c r="U541" s="18">
        <v>0</v>
      </c>
      <c r="V541" s="19">
        <v>0</v>
      </c>
      <c r="W541" s="13" t="s">
        <v>160</v>
      </c>
      <c r="X541" s="14" t="s">
        <v>1513</v>
      </c>
      <c r="Y541" s="13" t="s">
        <v>958</v>
      </c>
      <c r="Z541" s="14">
        <v>61</v>
      </c>
      <c r="AA541" s="17">
        <v>18</v>
      </c>
      <c r="AB541" s="14" t="s">
        <v>194</v>
      </c>
      <c r="AC541" s="17">
        <v>2906000</v>
      </c>
      <c r="AD541" s="14" t="s">
        <v>924</v>
      </c>
      <c r="AE541" s="17">
        <v>2690741</v>
      </c>
      <c r="AF541" s="14" t="s">
        <v>898</v>
      </c>
      <c r="AG541" s="21" t="s">
        <v>1220</v>
      </c>
      <c r="AH541" s="10">
        <v>2180365</v>
      </c>
      <c r="AI541" s="24" t="str">
        <f>VLOOKUP(Sales[[#This Row],[Store]],'Store lay bao  cao'!A:B,2,0)</f>
        <v>Lấy BC</v>
      </c>
      <c r="AJ541" s="24" t="str">
        <f>VLOOKUP(Sales[[#This Row],[Associate]],'Associate Status'!B:C,2,0)</f>
        <v>Retired</v>
      </c>
    </row>
    <row r="542" spans="1:36" x14ac:dyDescent="0.25">
      <c r="A542" s="7">
        <v>2024</v>
      </c>
      <c r="B542" s="8">
        <v>11</v>
      </c>
      <c r="C542" s="8">
        <v>46</v>
      </c>
      <c r="D542" s="8" t="s">
        <v>60</v>
      </c>
      <c r="E542" s="8" t="s">
        <v>34</v>
      </c>
      <c r="F542" s="8" t="s">
        <v>60</v>
      </c>
      <c r="G542" s="9">
        <v>4533539</v>
      </c>
      <c r="H542" s="10">
        <v>4218000</v>
      </c>
      <c r="I542" s="11">
        <v>45613</v>
      </c>
      <c r="J542" s="12">
        <v>208326</v>
      </c>
      <c r="K542" s="13" t="s">
        <v>711</v>
      </c>
      <c r="L542" s="14" t="s">
        <v>50</v>
      </c>
      <c r="M542" s="11" t="s">
        <v>15</v>
      </c>
      <c r="N542" s="14" t="s">
        <v>11</v>
      </c>
      <c r="O542" s="15">
        <v>5206</v>
      </c>
      <c r="P542" s="12">
        <v>1</v>
      </c>
      <c r="Q542" s="13" t="s">
        <v>144</v>
      </c>
      <c r="R542" s="16">
        <v>13498000</v>
      </c>
      <c r="S542" s="17">
        <v>12498148</v>
      </c>
      <c r="T542" s="12">
        <v>0</v>
      </c>
      <c r="U542" s="18">
        <v>0</v>
      </c>
      <c r="V542" s="19">
        <v>0</v>
      </c>
      <c r="W542" s="13" t="s">
        <v>104</v>
      </c>
      <c r="X542" s="14" t="s">
        <v>1895</v>
      </c>
      <c r="Y542" s="13" t="s">
        <v>241</v>
      </c>
      <c r="Z542" s="14" t="s">
        <v>1896</v>
      </c>
      <c r="AA542" s="17">
        <v>15</v>
      </c>
      <c r="AB542" s="14" t="s">
        <v>1897</v>
      </c>
      <c r="AC542" s="17">
        <v>13498000</v>
      </c>
      <c r="AD542" s="14" t="s">
        <v>108</v>
      </c>
      <c r="AE542" s="17">
        <v>12498148</v>
      </c>
      <c r="AF542" s="14" t="s">
        <v>136</v>
      </c>
      <c r="AG542" s="20" t="s">
        <v>242</v>
      </c>
      <c r="AH542" s="10">
        <v>7964609</v>
      </c>
      <c r="AI542" s="24" t="str">
        <f>VLOOKUP(Sales[[#This Row],[Store]],'Store lay bao  cao'!A:B,2,0)</f>
        <v>Lấy BC</v>
      </c>
      <c r="AJ542" s="24" t="str">
        <f>VLOOKUP(Sales[[#This Row],[Associate]],'Associate Status'!B:C,2,0)</f>
        <v>Active</v>
      </c>
    </row>
    <row r="543" spans="1:36" x14ac:dyDescent="0.25">
      <c r="A543" s="7">
        <v>2024</v>
      </c>
      <c r="B543" s="8">
        <v>11</v>
      </c>
      <c r="C543" s="8">
        <v>47</v>
      </c>
      <c r="D543" s="8" t="s">
        <v>52</v>
      </c>
      <c r="E543" s="8" t="s">
        <v>43</v>
      </c>
      <c r="F543" s="8" t="s">
        <v>52</v>
      </c>
      <c r="G543" s="9">
        <v>2098346</v>
      </c>
      <c r="H543" s="10">
        <v>1890000</v>
      </c>
      <c r="I543" s="11">
        <v>45614</v>
      </c>
      <c r="J543" s="12">
        <v>182164</v>
      </c>
      <c r="K543" s="13" t="s">
        <v>709</v>
      </c>
      <c r="L543" s="14" t="s">
        <v>50</v>
      </c>
      <c r="M543" s="11" t="s">
        <v>15</v>
      </c>
      <c r="N543" s="14" t="s">
        <v>11</v>
      </c>
      <c r="O543" s="15">
        <v>5214</v>
      </c>
      <c r="P543" s="12">
        <v>1</v>
      </c>
      <c r="Q543" s="13" t="s">
        <v>144</v>
      </c>
      <c r="R543" s="16">
        <v>6048000</v>
      </c>
      <c r="S543" s="17">
        <v>5600000</v>
      </c>
      <c r="T543" s="12">
        <v>0</v>
      </c>
      <c r="U543" s="18">
        <v>0</v>
      </c>
      <c r="V543" s="19">
        <v>0</v>
      </c>
      <c r="W543" s="13" t="s">
        <v>104</v>
      </c>
      <c r="X543" s="14" t="s">
        <v>1898</v>
      </c>
      <c r="Y543" s="13" t="s">
        <v>196</v>
      </c>
      <c r="Z543" s="14" t="s">
        <v>1200</v>
      </c>
      <c r="AA543" s="17">
        <v>17</v>
      </c>
      <c r="AB543" s="14" t="s">
        <v>1075</v>
      </c>
      <c r="AC543" s="17">
        <v>6048000</v>
      </c>
      <c r="AD543" s="14">
        <v>12</v>
      </c>
      <c r="AE543" s="17">
        <v>5600000</v>
      </c>
      <c r="AF543" s="14" t="s">
        <v>1221</v>
      </c>
      <c r="AG543" s="21" t="s">
        <v>197</v>
      </c>
      <c r="AH543" s="10">
        <v>3501654</v>
      </c>
      <c r="AI543" s="24" t="str">
        <f>VLOOKUP(Sales[[#This Row],[Store]],'Store lay bao  cao'!A:B,2,0)</f>
        <v>Lấy BC</v>
      </c>
      <c r="AJ543" s="24" t="str">
        <f>VLOOKUP(Sales[[#This Row],[Associate]],'Associate Status'!B:C,2,0)</f>
        <v>Retired</v>
      </c>
    </row>
    <row r="544" spans="1:36" x14ac:dyDescent="0.25">
      <c r="A544" s="7">
        <v>2024</v>
      </c>
      <c r="B544" s="8">
        <v>11</v>
      </c>
      <c r="C544" s="8">
        <v>47</v>
      </c>
      <c r="D544" s="8" t="s">
        <v>66</v>
      </c>
      <c r="E544" s="8" t="s">
        <v>34</v>
      </c>
      <c r="F544" s="8" t="s">
        <v>66</v>
      </c>
      <c r="G544" s="9">
        <v>167015282</v>
      </c>
      <c r="H544" s="10">
        <v>158901750</v>
      </c>
      <c r="I544" s="11">
        <v>45614</v>
      </c>
      <c r="J544" s="12">
        <v>211110</v>
      </c>
      <c r="K544" s="13" t="s">
        <v>708</v>
      </c>
      <c r="L544" s="14" t="s">
        <v>65</v>
      </c>
      <c r="M544" s="11" t="s">
        <v>15</v>
      </c>
      <c r="N544" s="14" t="s">
        <v>62</v>
      </c>
      <c r="O544" s="15">
        <v>5210</v>
      </c>
      <c r="P544" s="12">
        <v>1</v>
      </c>
      <c r="Q544" s="13" t="s">
        <v>102</v>
      </c>
      <c r="R544" s="16">
        <v>410005750</v>
      </c>
      <c r="S544" s="17">
        <v>379634954</v>
      </c>
      <c r="T544" s="12">
        <v>5</v>
      </c>
      <c r="U544" s="18">
        <v>19980787</v>
      </c>
      <c r="V544" s="19">
        <v>21579250</v>
      </c>
      <c r="W544" s="13" t="s">
        <v>104</v>
      </c>
      <c r="X544" s="14" t="s">
        <v>1899</v>
      </c>
      <c r="Y544" s="13" t="s">
        <v>984</v>
      </c>
      <c r="Z544" s="14" t="s">
        <v>1900</v>
      </c>
      <c r="AA544" s="17">
        <v>11</v>
      </c>
      <c r="AB544" s="14" t="s">
        <v>774</v>
      </c>
      <c r="AC544" s="17">
        <v>431585000</v>
      </c>
      <c r="AD544" s="14" t="s">
        <v>108</v>
      </c>
      <c r="AE544" s="17">
        <v>399615741</v>
      </c>
      <c r="AF544" s="14" t="s">
        <v>2594</v>
      </c>
      <c r="AG544" s="20" t="s">
        <v>985</v>
      </c>
      <c r="AH544" s="10">
        <v>212619672</v>
      </c>
      <c r="AI544" s="24" t="str">
        <f>VLOOKUP(Sales[[#This Row],[Store]],'Store lay bao  cao'!A:B,2,0)</f>
        <v>Lấy BC</v>
      </c>
      <c r="AJ544" s="24" t="e">
        <f>VLOOKUP(Sales[[#This Row],[Associate]],'Associate Status'!B:C,2,0)</f>
        <v>#N/A</v>
      </c>
    </row>
    <row r="545" spans="1:36" x14ac:dyDescent="0.25">
      <c r="A545" s="7">
        <v>2024</v>
      </c>
      <c r="B545" s="8">
        <v>11</v>
      </c>
      <c r="C545" s="8">
        <v>47</v>
      </c>
      <c r="D545" s="8" t="s">
        <v>60</v>
      </c>
      <c r="E545" s="8" t="s">
        <v>43</v>
      </c>
      <c r="F545" s="8" t="s">
        <v>60</v>
      </c>
      <c r="G545" s="9">
        <v>6095032</v>
      </c>
      <c r="H545" s="10">
        <v>4554300</v>
      </c>
      <c r="I545" s="11">
        <v>45614</v>
      </c>
      <c r="J545" s="12">
        <v>202788</v>
      </c>
      <c r="K545" s="13" t="s">
        <v>710</v>
      </c>
      <c r="L545" s="14" t="s">
        <v>19</v>
      </c>
      <c r="M545" s="11" t="s">
        <v>15</v>
      </c>
      <c r="N545" s="14" t="s">
        <v>62</v>
      </c>
      <c r="O545" s="15">
        <v>5213</v>
      </c>
      <c r="P545" s="12">
        <v>1</v>
      </c>
      <c r="Q545" s="13" t="s">
        <v>144</v>
      </c>
      <c r="R545" s="16">
        <v>13582800</v>
      </c>
      <c r="S545" s="17">
        <v>12576667</v>
      </c>
      <c r="T545" s="12">
        <v>10</v>
      </c>
      <c r="U545" s="18">
        <v>1397407</v>
      </c>
      <c r="V545" s="19">
        <v>1509200</v>
      </c>
      <c r="W545" s="13" t="s">
        <v>104</v>
      </c>
      <c r="X545" s="14" t="s">
        <v>1901</v>
      </c>
      <c r="Y545" s="13" t="s">
        <v>105</v>
      </c>
      <c r="Z545" s="14" t="s">
        <v>1902</v>
      </c>
      <c r="AA545" s="17">
        <v>17</v>
      </c>
      <c r="AB545" s="14" t="s">
        <v>220</v>
      </c>
      <c r="AC545" s="17">
        <v>15092000</v>
      </c>
      <c r="AD545" s="14">
        <v>60</v>
      </c>
      <c r="AE545" s="17">
        <v>13974074</v>
      </c>
      <c r="AF545" s="14" t="s">
        <v>352</v>
      </c>
      <c r="AG545" s="21" t="s">
        <v>107</v>
      </c>
      <c r="AH545" s="10">
        <v>6481635</v>
      </c>
      <c r="AI545" s="24" t="str">
        <f>VLOOKUP(Sales[[#This Row],[Store]],'Store lay bao  cao'!A:B,2,0)</f>
        <v>Lấy BC</v>
      </c>
      <c r="AJ545" s="24" t="str">
        <f>VLOOKUP(Sales[[#This Row],[Associate]],'Associate Status'!B:C,2,0)</f>
        <v>Retired</v>
      </c>
    </row>
    <row r="546" spans="1:36" x14ac:dyDescent="0.25">
      <c r="A546" s="7">
        <v>2024</v>
      </c>
      <c r="B546" s="8">
        <v>11</v>
      </c>
      <c r="C546" s="8">
        <v>47</v>
      </c>
      <c r="D546" s="8" t="s">
        <v>18</v>
      </c>
      <c r="E546" s="8" t="s">
        <v>12</v>
      </c>
      <c r="F546" s="8" t="s">
        <v>18</v>
      </c>
      <c r="G546" s="9">
        <v>4114521</v>
      </c>
      <c r="H546" s="10">
        <v>4114520.73</v>
      </c>
      <c r="I546" s="11">
        <v>45618</v>
      </c>
      <c r="J546" s="12">
        <v>30051</v>
      </c>
      <c r="K546" s="13" t="s">
        <v>712</v>
      </c>
      <c r="L546" s="14" t="s">
        <v>19</v>
      </c>
      <c r="M546" s="11" t="s">
        <v>15</v>
      </c>
      <c r="N546" s="14" t="s">
        <v>11</v>
      </c>
      <c r="O546" s="15">
        <v>5227</v>
      </c>
      <c r="P546" s="12">
        <v>1</v>
      </c>
      <c r="Q546" s="13" t="s">
        <v>101</v>
      </c>
      <c r="R546" s="16">
        <v>14689000</v>
      </c>
      <c r="S546" s="17">
        <v>13600926</v>
      </c>
      <c r="T546" s="12">
        <v>0</v>
      </c>
      <c r="U546" s="18">
        <v>0</v>
      </c>
      <c r="V546" s="19">
        <v>0</v>
      </c>
      <c r="W546" s="13" t="s">
        <v>135</v>
      </c>
      <c r="X546" s="14" t="s">
        <v>1903</v>
      </c>
      <c r="Y546" s="13" t="s">
        <v>225</v>
      </c>
      <c r="Z546" s="14" t="s">
        <v>1904</v>
      </c>
      <c r="AA546" s="17">
        <v>12</v>
      </c>
      <c r="AB546" s="14" t="s">
        <v>220</v>
      </c>
      <c r="AC546" s="17">
        <v>14689000</v>
      </c>
      <c r="AD546" s="14">
        <v>10</v>
      </c>
      <c r="AE546" s="17">
        <v>13600926</v>
      </c>
      <c r="AF546" s="14" t="s">
        <v>106</v>
      </c>
      <c r="AG546" s="20" t="s">
        <v>463</v>
      </c>
      <c r="AH546" s="10">
        <v>9486405</v>
      </c>
      <c r="AI546" s="24" t="str">
        <f>VLOOKUP(Sales[[#This Row],[Store]],'Store lay bao  cao'!A:B,2,0)</f>
        <v>Lấy BC</v>
      </c>
      <c r="AJ546" s="24" t="str">
        <f>VLOOKUP(Sales[[#This Row],[Associate]],'Associate Status'!B:C,2,0)</f>
        <v>Active</v>
      </c>
    </row>
    <row r="547" spans="1:36" x14ac:dyDescent="0.25">
      <c r="A547" s="7">
        <v>2024</v>
      </c>
      <c r="B547" s="8">
        <v>11</v>
      </c>
      <c r="C547" s="8">
        <v>47</v>
      </c>
      <c r="D547" s="8" t="s">
        <v>60</v>
      </c>
      <c r="E547" s="8" t="s">
        <v>43</v>
      </c>
      <c r="F547" s="8" t="s">
        <v>60</v>
      </c>
      <c r="G547" s="9">
        <v>4020128</v>
      </c>
      <c r="H547" s="10">
        <v>3003900</v>
      </c>
      <c r="I547" s="11">
        <v>45618</v>
      </c>
      <c r="J547" s="12">
        <v>202798</v>
      </c>
      <c r="K547" s="13" t="s">
        <v>712</v>
      </c>
      <c r="L547" s="14" t="s">
        <v>19</v>
      </c>
      <c r="M547" s="11" t="s">
        <v>15</v>
      </c>
      <c r="N547" s="14" t="s">
        <v>62</v>
      </c>
      <c r="O547" s="15">
        <v>5227</v>
      </c>
      <c r="P547" s="12">
        <v>1</v>
      </c>
      <c r="Q547" s="13" t="s">
        <v>101</v>
      </c>
      <c r="R547" s="16">
        <v>9955000</v>
      </c>
      <c r="S547" s="17">
        <v>9217593</v>
      </c>
      <c r="T547" s="12">
        <v>0</v>
      </c>
      <c r="U547" s="18">
        <v>0</v>
      </c>
      <c r="V547" s="19">
        <v>0</v>
      </c>
      <c r="W547" s="13" t="s">
        <v>135</v>
      </c>
      <c r="X547" s="14" t="s">
        <v>1905</v>
      </c>
      <c r="Y547" s="13" t="s">
        <v>225</v>
      </c>
      <c r="Z547" s="14" t="s">
        <v>1906</v>
      </c>
      <c r="AA547" s="17">
        <v>12</v>
      </c>
      <c r="AB547" s="14" t="s">
        <v>220</v>
      </c>
      <c r="AC547" s="17">
        <v>9955000</v>
      </c>
      <c r="AD547" s="14">
        <v>53</v>
      </c>
      <c r="AE547" s="17">
        <v>9217593</v>
      </c>
      <c r="AF547" s="14" t="s">
        <v>106</v>
      </c>
      <c r="AG547" s="21" t="s">
        <v>463</v>
      </c>
      <c r="AH547" s="10">
        <v>5197465</v>
      </c>
      <c r="AI547" s="24" t="str">
        <f>VLOOKUP(Sales[[#This Row],[Store]],'Store lay bao  cao'!A:B,2,0)</f>
        <v>Lấy BC</v>
      </c>
      <c r="AJ547" s="24" t="str">
        <f>VLOOKUP(Sales[[#This Row],[Associate]],'Associate Status'!B:C,2,0)</f>
        <v>Active</v>
      </c>
    </row>
    <row r="548" spans="1:36" x14ac:dyDescent="0.25">
      <c r="A548" s="7">
        <v>2024</v>
      </c>
      <c r="B548" s="8">
        <v>11</v>
      </c>
      <c r="C548" s="8">
        <v>47</v>
      </c>
      <c r="D548" s="8" t="s">
        <v>52</v>
      </c>
      <c r="E548" s="8" t="s">
        <v>43</v>
      </c>
      <c r="F548" s="8" t="s">
        <v>52</v>
      </c>
      <c r="G548" s="9">
        <v>4646339</v>
      </c>
      <c r="H548" s="10">
        <v>4185000</v>
      </c>
      <c r="I548" s="11">
        <v>45618</v>
      </c>
      <c r="J548" s="12">
        <v>182183</v>
      </c>
      <c r="K548" s="13" t="s">
        <v>712</v>
      </c>
      <c r="L548" s="14" t="s">
        <v>50</v>
      </c>
      <c r="M548" s="11" t="s">
        <v>15</v>
      </c>
      <c r="N548" s="14" t="s">
        <v>11</v>
      </c>
      <c r="O548" s="15">
        <v>5227</v>
      </c>
      <c r="P548" s="12">
        <v>1</v>
      </c>
      <c r="Q548" s="13" t="s">
        <v>101</v>
      </c>
      <c r="R548" s="16">
        <v>13392000</v>
      </c>
      <c r="S548" s="17">
        <v>12400000</v>
      </c>
      <c r="T548" s="12">
        <v>0</v>
      </c>
      <c r="U548" s="18">
        <v>0</v>
      </c>
      <c r="V548" s="19">
        <v>0</v>
      </c>
      <c r="W548" s="13" t="s">
        <v>135</v>
      </c>
      <c r="X548" s="14" t="s">
        <v>1907</v>
      </c>
      <c r="Y548" s="13" t="s">
        <v>225</v>
      </c>
      <c r="Z548" s="14" t="s">
        <v>1908</v>
      </c>
      <c r="AA548" s="17">
        <v>12</v>
      </c>
      <c r="AB548" s="14" t="s">
        <v>1909</v>
      </c>
      <c r="AC548" s="17">
        <v>13392000</v>
      </c>
      <c r="AD548" s="14">
        <v>10</v>
      </c>
      <c r="AE548" s="17">
        <v>12400000</v>
      </c>
      <c r="AF548" s="14" t="s">
        <v>106</v>
      </c>
      <c r="AG548" s="20" t="s">
        <v>463</v>
      </c>
      <c r="AH548" s="10">
        <v>7753661</v>
      </c>
      <c r="AI548" s="24" t="str">
        <f>VLOOKUP(Sales[[#This Row],[Store]],'Store lay bao  cao'!A:B,2,0)</f>
        <v>Lấy BC</v>
      </c>
      <c r="AJ548" s="24" t="str">
        <f>VLOOKUP(Sales[[#This Row],[Associate]],'Associate Status'!B:C,2,0)</f>
        <v>Active</v>
      </c>
    </row>
    <row r="549" spans="1:36" x14ac:dyDescent="0.25">
      <c r="A549" s="7">
        <v>2024</v>
      </c>
      <c r="B549" s="8">
        <v>11</v>
      </c>
      <c r="C549" s="8">
        <v>47</v>
      </c>
      <c r="D549" s="8" t="s">
        <v>63</v>
      </c>
      <c r="E549" s="8" t="s">
        <v>34</v>
      </c>
      <c r="F549" s="8" t="s">
        <v>63</v>
      </c>
      <c r="G549" s="9">
        <v>94141735</v>
      </c>
      <c r="H549" s="10">
        <v>92925000</v>
      </c>
      <c r="I549" s="11">
        <v>45620</v>
      </c>
      <c r="J549" s="12">
        <v>209326</v>
      </c>
      <c r="K549" s="13" t="s">
        <v>1910</v>
      </c>
      <c r="L549" s="14" t="s">
        <v>65</v>
      </c>
      <c r="M549" s="11" t="s">
        <v>15</v>
      </c>
      <c r="N549" s="14" t="s">
        <v>62</v>
      </c>
      <c r="O549" s="15">
        <v>5253</v>
      </c>
      <c r="P549" s="12">
        <v>1</v>
      </c>
      <c r="Q549" s="13" t="s">
        <v>102</v>
      </c>
      <c r="R549" s="16">
        <v>225040750</v>
      </c>
      <c r="S549" s="17">
        <v>208371065</v>
      </c>
      <c r="T549" s="12">
        <v>5</v>
      </c>
      <c r="U549" s="18">
        <v>10966898</v>
      </c>
      <c r="V549" s="19">
        <v>11844250</v>
      </c>
      <c r="W549" s="13" t="s">
        <v>135</v>
      </c>
      <c r="X549" s="14" t="s">
        <v>1911</v>
      </c>
      <c r="Y549" s="13" t="s">
        <v>148</v>
      </c>
      <c r="Z549" s="14" t="s">
        <v>1912</v>
      </c>
      <c r="AA549" s="17">
        <v>17</v>
      </c>
      <c r="AB549" s="14" t="s">
        <v>173</v>
      </c>
      <c r="AC549" s="17">
        <v>236885000</v>
      </c>
      <c r="AD549" s="14" t="s">
        <v>108</v>
      </c>
      <c r="AE549" s="17">
        <v>219337963</v>
      </c>
      <c r="AF549" s="14" t="s">
        <v>352</v>
      </c>
      <c r="AG549" s="21" t="s">
        <v>149</v>
      </c>
      <c r="AH549" s="10">
        <v>114229330</v>
      </c>
      <c r="AI549" s="24" t="str">
        <f>VLOOKUP(Sales[[#This Row],[Store]],'Store lay bao  cao'!A:B,2,0)</f>
        <v>Lấy BC</v>
      </c>
      <c r="AJ549" s="24" t="str">
        <f>VLOOKUP(Sales[[#This Row],[Associate]],'Associate Status'!B:C,2,0)</f>
        <v>Retired</v>
      </c>
    </row>
    <row r="550" spans="1:36" x14ac:dyDescent="0.25">
      <c r="A550" s="7">
        <v>2024</v>
      </c>
      <c r="B550" s="8">
        <v>11</v>
      </c>
      <c r="C550" s="8">
        <v>47</v>
      </c>
      <c r="D550" s="8" t="s">
        <v>66</v>
      </c>
      <c r="E550" s="8" t="s">
        <v>43</v>
      </c>
      <c r="F550" s="8" t="s">
        <v>66</v>
      </c>
      <c r="G550" s="9">
        <v>288899694</v>
      </c>
      <c r="H550" s="10">
        <v>277182000</v>
      </c>
      <c r="I550" s="11">
        <v>45620</v>
      </c>
      <c r="J550" s="12">
        <v>211201</v>
      </c>
      <c r="K550" s="13" t="s">
        <v>1913</v>
      </c>
      <c r="L550" s="14" t="s">
        <v>65</v>
      </c>
      <c r="M550" s="11" t="s">
        <v>17</v>
      </c>
      <c r="N550" s="14" t="s">
        <v>62</v>
      </c>
      <c r="O550" s="15">
        <v>8825</v>
      </c>
      <c r="P550" s="12">
        <v>1</v>
      </c>
      <c r="Q550" s="13" t="s">
        <v>110</v>
      </c>
      <c r="R550" s="16">
        <v>752840000</v>
      </c>
      <c r="S550" s="17">
        <v>697074074</v>
      </c>
      <c r="T550" s="12">
        <v>0</v>
      </c>
      <c r="U550" s="18">
        <v>0</v>
      </c>
      <c r="V550" s="19">
        <v>0</v>
      </c>
      <c r="W550" s="13" t="s">
        <v>427</v>
      </c>
      <c r="X550" s="14" t="s">
        <v>1914</v>
      </c>
      <c r="Y550" s="13" t="s">
        <v>363</v>
      </c>
      <c r="Z550" s="14" t="s">
        <v>1915</v>
      </c>
      <c r="AA550" s="17">
        <v>20</v>
      </c>
      <c r="AB550" s="14" t="s">
        <v>1852</v>
      </c>
      <c r="AC550" s="17">
        <v>752840000</v>
      </c>
      <c r="AD550" s="14">
        <v>53</v>
      </c>
      <c r="AE550" s="17">
        <v>697074074</v>
      </c>
      <c r="AF550" s="14" t="s">
        <v>117</v>
      </c>
      <c r="AG550" s="20" t="s">
        <v>364</v>
      </c>
      <c r="AH550" s="10">
        <v>408174380</v>
      </c>
      <c r="AI550" s="24" t="str">
        <f>VLOOKUP(Sales[[#This Row],[Store]],'Store lay bao  cao'!A:B,2,0)</f>
        <v>Lấy BC</v>
      </c>
      <c r="AJ550" s="24" t="str">
        <f>VLOOKUP(Sales[[#This Row],[Associate]],'Associate Status'!B:C,2,0)</f>
        <v>Retired</v>
      </c>
    </row>
    <row r="551" spans="1:36" x14ac:dyDescent="0.25">
      <c r="A551" s="7">
        <v>2024</v>
      </c>
      <c r="B551" s="8">
        <v>11</v>
      </c>
      <c r="C551" s="8">
        <v>48</v>
      </c>
      <c r="D551" s="8" t="s">
        <v>60</v>
      </c>
      <c r="E551" s="8" t="s">
        <v>43</v>
      </c>
      <c r="F551" s="8" t="s">
        <v>60</v>
      </c>
      <c r="G551" s="9">
        <v>97079781</v>
      </c>
      <c r="H551" s="10">
        <v>93919375</v>
      </c>
      <c r="I551" s="11">
        <v>45622</v>
      </c>
      <c r="J551" s="12">
        <v>205100</v>
      </c>
      <c r="K551" s="13" t="s">
        <v>714</v>
      </c>
      <c r="L551" s="14" t="s">
        <v>64</v>
      </c>
      <c r="M551" s="11" t="s">
        <v>15</v>
      </c>
      <c r="N551" s="14" t="s">
        <v>62</v>
      </c>
      <c r="O551" s="15">
        <v>5267</v>
      </c>
      <c r="P551" s="12">
        <v>1</v>
      </c>
      <c r="Q551" s="13" t="s">
        <v>144</v>
      </c>
      <c r="R551" s="16">
        <v>235550000</v>
      </c>
      <c r="S551" s="17">
        <v>218101852</v>
      </c>
      <c r="T551" s="12">
        <v>0</v>
      </c>
      <c r="U551" s="18">
        <v>0</v>
      </c>
      <c r="V551" s="19">
        <v>0</v>
      </c>
      <c r="W551" s="13" t="s">
        <v>104</v>
      </c>
      <c r="X551" s="14" t="s">
        <v>1616</v>
      </c>
      <c r="Y551" s="13" t="s">
        <v>171</v>
      </c>
      <c r="Z551" s="14" t="s">
        <v>1617</v>
      </c>
      <c r="AA551" s="17">
        <v>14</v>
      </c>
      <c r="AB551" s="14" t="s">
        <v>1578</v>
      </c>
      <c r="AC551" s="17">
        <v>235550000</v>
      </c>
      <c r="AD551" s="14">
        <v>14</v>
      </c>
      <c r="AE551" s="17">
        <v>218101852</v>
      </c>
      <c r="AF551" s="14" t="s">
        <v>109</v>
      </c>
      <c r="AG551" s="21" t="s">
        <v>172</v>
      </c>
      <c r="AH551" s="10">
        <v>121022071</v>
      </c>
      <c r="AI551" s="24" t="str">
        <f>VLOOKUP(Sales[[#This Row],[Store]],'Store lay bao  cao'!A:B,2,0)</f>
        <v>Lấy BC</v>
      </c>
      <c r="AJ551" s="24" t="str">
        <f>VLOOKUP(Sales[[#This Row],[Associate]],'Associate Status'!B:C,2,0)</f>
        <v>Active</v>
      </c>
    </row>
    <row r="552" spans="1:36" x14ac:dyDescent="0.25">
      <c r="A552" s="7">
        <v>2024</v>
      </c>
      <c r="B552" s="8">
        <v>11</v>
      </c>
      <c r="C552" s="8">
        <v>48</v>
      </c>
      <c r="D552" s="8" t="s">
        <v>63</v>
      </c>
      <c r="E552" s="8" t="s">
        <v>34</v>
      </c>
      <c r="F552" s="8" t="s">
        <v>63</v>
      </c>
      <c r="G552" s="9">
        <v>103555910</v>
      </c>
      <c r="H552" s="10">
        <v>102217500</v>
      </c>
      <c r="I552" s="11">
        <v>45622</v>
      </c>
      <c r="J552" s="12">
        <v>209316</v>
      </c>
      <c r="K552" s="13" t="s">
        <v>714</v>
      </c>
      <c r="L552" s="14" t="s">
        <v>65</v>
      </c>
      <c r="M552" s="11" t="s">
        <v>15</v>
      </c>
      <c r="N552" s="14" t="s">
        <v>62</v>
      </c>
      <c r="O552" s="15">
        <v>5267</v>
      </c>
      <c r="P552" s="12">
        <v>1</v>
      </c>
      <c r="Q552" s="13" t="s">
        <v>144</v>
      </c>
      <c r="R552" s="16">
        <v>259600000</v>
      </c>
      <c r="S552" s="17">
        <v>240370370</v>
      </c>
      <c r="T552" s="12">
        <v>0</v>
      </c>
      <c r="U552" s="18">
        <v>0</v>
      </c>
      <c r="V552" s="19">
        <v>0</v>
      </c>
      <c r="W552" s="13" t="s">
        <v>104</v>
      </c>
      <c r="X552" s="14" t="s">
        <v>1916</v>
      </c>
      <c r="Y552" s="13" t="s">
        <v>171</v>
      </c>
      <c r="Z552" s="14" t="s">
        <v>1917</v>
      </c>
      <c r="AA552" s="17">
        <v>14</v>
      </c>
      <c r="AB552" s="14" t="s">
        <v>173</v>
      </c>
      <c r="AC552" s="17">
        <v>259600000</v>
      </c>
      <c r="AD552" s="14" t="s">
        <v>108</v>
      </c>
      <c r="AE552" s="17">
        <v>240370370</v>
      </c>
      <c r="AF552" s="14" t="s">
        <v>109</v>
      </c>
      <c r="AG552" s="20" t="s">
        <v>172</v>
      </c>
      <c r="AH552" s="10">
        <v>136814460</v>
      </c>
      <c r="AI552" s="24" t="str">
        <f>VLOOKUP(Sales[[#This Row],[Store]],'Store lay bao  cao'!A:B,2,0)</f>
        <v>Lấy BC</v>
      </c>
      <c r="AJ552" s="24" t="str">
        <f>VLOOKUP(Sales[[#This Row],[Associate]],'Associate Status'!B:C,2,0)</f>
        <v>Active</v>
      </c>
    </row>
    <row r="553" spans="1:36" x14ac:dyDescent="0.25">
      <c r="A553" s="7">
        <v>2024</v>
      </c>
      <c r="B553" s="8">
        <v>11</v>
      </c>
      <c r="C553" s="8">
        <v>48</v>
      </c>
      <c r="D553" s="8" t="s">
        <v>63</v>
      </c>
      <c r="E553" s="8" t="s">
        <v>43</v>
      </c>
      <c r="F553" s="8" t="s">
        <v>63</v>
      </c>
      <c r="G553" s="9">
        <v>49088190</v>
      </c>
      <c r="H553" s="10">
        <v>48453750</v>
      </c>
      <c r="I553" s="11">
        <v>45622</v>
      </c>
      <c r="J553" s="12">
        <v>209291</v>
      </c>
      <c r="K553" s="13" t="s">
        <v>714</v>
      </c>
      <c r="L553" s="14" t="s">
        <v>65</v>
      </c>
      <c r="M553" s="11" t="s">
        <v>15</v>
      </c>
      <c r="N553" s="14" t="s">
        <v>62</v>
      </c>
      <c r="O553" s="15">
        <v>5267</v>
      </c>
      <c r="P553" s="12">
        <v>1</v>
      </c>
      <c r="Q553" s="13" t="s">
        <v>144</v>
      </c>
      <c r="R553" s="16">
        <v>128177500</v>
      </c>
      <c r="S553" s="17">
        <v>118682870</v>
      </c>
      <c r="T553" s="12">
        <v>0</v>
      </c>
      <c r="U553" s="18">
        <v>0</v>
      </c>
      <c r="V553" s="19">
        <v>0</v>
      </c>
      <c r="W553" s="13" t="s">
        <v>104</v>
      </c>
      <c r="X553" s="14" t="s">
        <v>1918</v>
      </c>
      <c r="Y553" s="13" t="s">
        <v>171</v>
      </c>
      <c r="Z553" s="14" t="s">
        <v>1919</v>
      </c>
      <c r="AA553" s="17">
        <v>14</v>
      </c>
      <c r="AB553" s="14" t="s">
        <v>173</v>
      </c>
      <c r="AC553" s="17">
        <v>128177500</v>
      </c>
      <c r="AD553" s="14">
        <v>54</v>
      </c>
      <c r="AE553" s="17">
        <v>118682870</v>
      </c>
      <c r="AF553" s="14" t="s">
        <v>109</v>
      </c>
      <c r="AG553" s="21" t="s">
        <v>172</v>
      </c>
      <c r="AH553" s="10">
        <v>69594680</v>
      </c>
      <c r="AI553" s="24" t="str">
        <f>VLOOKUP(Sales[[#This Row],[Store]],'Store lay bao  cao'!A:B,2,0)</f>
        <v>Lấy BC</v>
      </c>
      <c r="AJ553" s="24" t="str">
        <f>VLOOKUP(Sales[[#This Row],[Associate]],'Associate Status'!B:C,2,0)</f>
        <v>Active</v>
      </c>
    </row>
    <row r="554" spans="1:36" x14ac:dyDescent="0.25">
      <c r="A554" s="7">
        <v>2024</v>
      </c>
      <c r="B554" s="8">
        <v>11</v>
      </c>
      <c r="C554" s="8">
        <v>48</v>
      </c>
      <c r="D554" s="8" t="s">
        <v>66</v>
      </c>
      <c r="E554" s="8" t="s">
        <v>34</v>
      </c>
      <c r="F554" s="8" t="s">
        <v>66</v>
      </c>
      <c r="G554" s="9">
        <v>72224924</v>
      </c>
      <c r="H554" s="10">
        <v>69295500</v>
      </c>
      <c r="I554" s="11">
        <v>45622</v>
      </c>
      <c r="J554" s="12">
        <v>211203</v>
      </c>
      <c r="K554" s="13" t="s">
        <v>714</v>
      </c>
      <c r="L554" s="14" t="s">
        <v>65</v>
      </c>
      <c r="M554" s="11" t="s">
        <v>15</v>
      </c>
      <c r="N554" s="14" t="s">
        <v>62</v>
      </c>
      <c r="O554" s="15">
        <v>5267</v>
      </c>
      <c r="P554" s="12">
        <v>1</v>
      </c>
      <c r="Q554" s="13" t="s">
        <v>144</v>
      </c>
      <c r="R554" s="16">
        <v>188210000</v>
      </c>
      <c r="S554" s="17">
        <v>174268519</v>
      </c>
      <c r="T554" s="12">
        <v>0</v>
      </c>
      <c r="U554" s="18">
        <v>0</v>
      </c>
      <c r="V554" s="19">
        <v>0</v>
      </c>
      <c r="W554" s="13" t="s">
        <v>104</v>
      </c>
      <c r="X554" s="14" t="s">
        <v>1766</v>
      </c>
      <c r="Y554" s="13" t="s">
        <v>171</v>
      </c>
      <c r="Z554" s="14" t="s">
        <v>1920</v>
      </c>
      <c r="AA554" s="17">
        <v>14</v>
      </c>
      <c r="AB554" s="14" t="s">
        <v>1852</v>
      </c>
      <c r="AC554" s="17">
        <v>188210000</v>
      </c>
      <c r="AD554" s="14" t="s">
        <v>108</v>
      </c>
      <c r="AE554" s="17">
        <v>174268519</v>
      </c>
      <c r="AF554" s="14" t="s">
        <v>109</v>
      </c>
      <c r="AG554" s="20" t="s">
        <v>172</v>
      </c>
      <c r="AH554" s="10">
        <v>102043595</v>
      </c>
      <c r="AI554" s="24" t="str">
        <f>VLOOKUP(Sales[[#This Row],[Store]],'Store lay bao  cao'!A:B,2,0)</f>
        <v>Lấy BC</v>
      </c>
      <c r="AJ554" s="24" t="str">
        <f>VLOOKUP(Sales[[#This Row],[Associate]],'Associate Status'!B:C,2,0)</f>
        <v>Active</v>
      </c>
    </row>
    <row r="555" spans="1:36" x14ac:dyDescent="0.25">
      <c r="A555" s="7">
        <v>2024</v>
      </c>
      <c r="B555" s="8">
        <v>11</v>
      </c>
      <c r="C555" s="8">
        <v>48</v>
      </c>
      <c r="D555" s="8" t="s">
        <v>66</v>
      </c>
      <c r="E555" s="8" t="s">
        <v>37</v>
      </c>
      <c r="F555" s="8" t="s">
        <v>66</v>
      </c>
      <c r="G555" s="9">
        <v>129342662</v>
      </c>
      <c r="H555" s="10">
        <v>123059250</v>
      </c>
      <c r="I555" s="11">
        <v>45623</v>
      </c>
      <c r="J555" s="12">
        <v>210753</v>
      </c>
      <c r="K555" s="13" t="s">
        <v>716</v>
      </c>
      <c r="L555" s="14" t="s">
        <v>65</v>
      </c>
      <c r="M555" s="11" t="s">
        <v>15</v>
      </c>
      <c r="N555" s="14" t="s">
        <v>62</v>
      </c>
      <c r="O555" s="15">
        <v>5283</v>
      </c>
      <c r="P555" s="12">
        <v>1</v>
      </c>
      <c r="Q555" s="13" t="s">
        <v>110</v>
      </c>
      <c r="R555" s="16">
        <v>317523250</v>
      </c>
      <c r="S555" s="17">
        <v>294003009</v>
      </c>
      <c r="T555" s="12">
        <v>5</v>
      </c>
      <c r="U555" s="18">
        <v>15473843</v>
      </c>
      <c r="V555" s="19">
        <v>16711750</v>
      </c>
      <c r="W555" s="13" t="s">
        <v>104</v>
      </c>
      <c r="X555" s="14" t="s">
        <v>1921</v>
      </c>
      <c r="Y555" s="13" t="s">
        <v>148</v>
      </c>
      <c r="Z555" s="14" t="s">
        <v>1922</v>
      </c>
      <c r="AA555" s="17">
        <v>15</v>
      </c>
      <c r="AB555" s="14" t="s">
        <v>1923</v>
      </c>
      <c r="AC555" s="17">
        <v>334235000</v>
      </c>
      <c r="AD555" s="14" t="s">
        <v>108</v>
      </c>
      <c r="AE555" s="17">
        <v>309476852</v>
      </c>
      <c r="AF555" s="14" t="s">
        <v>109</v>
      </c>
      <c r="AG555" s="21" t="s">
        <v>149</v>
      </c>
      <c r="AH555" s="10">
        <v>164660347</v>
      </c>
      <c r="AI555" s="24" t="str">
        <f>VLOOKUP(Sales[[#This Row],[Store]],'Store lay bao  cao'!A:B,2,0)</f>
        <v>Lấy BC</v>
      </c>
      <c r="AJ555" s="24" t="str">
        <f>VLOOKUP(Sales[[#This Row],[Associate]],'Associate Status'!B:C,2,0)</f>
        <v>Active</v>
      </c>
    </row>
    <row r="556" spans="1:36" x14ac:dyDescent="0.25">
      <c r="A556" s="7">
        <v>2024</v>
      </c>
      <c r="B556" s="8">
        <v>11</v>
      </c>
      <c r="C556" s="8">
        <v>48</v>
      </c>
      <c r="D556" s="8" t="s">
        <v>63</v>
      </c>
      <c r="E556" s="8" t="s">
        <v>43</v>
      </c>
      <c r="F556" s="8" t="s">
        <v>63</v>
      </c>
      <c r="G556" s="9">
        <v>76658270</v>
      </c>
      <c r="H556" s="10">
        <v>75667500</v>
      </c>
      <c r="I556" s="11">
        <v>45623</v>
      </c>
      <c r="J556" s="12">
        <v>209314</v>
      </c>
      <c r="K556" s="13" t="s">
        <v>716</v>
      </c>
      <c r="L556" s="14" t="s">
        <v>65</v>
      </c>
      <c r="M556" s="11" t="s">
        <v>15</v>
      </c>
      <c r="N556" s="14" t="s">
        <v>62</v>
      </c>
      <c r="O556" s="15">
        <v>5283</v>
      </c>
      <c r="P556" s="12">
        <v>1</v>
      </c>
      <c r="Q556" s="13" t="s">
        <v>110</v>
      </c>
      <c r="R556" s="16">
        <v>191130500</v>
      </c>
      <c r="S556" s="17">
        <v>176972685</v>
      </c>
      <c r="T556" s="12">
        <v>5</v>
      </c>
      <c r="U556" s="18">
        <v>9314352</v>
      </c>
      <c r="V556" s="19">
        <v>10059500</v>
      </c>
      <c r="W556" s="13" t="s">
        <v>104</v>
      </c>
      <c r="X556" s="14" t="s">
        <v>1924</v>
      </c>
      <c r="Y556" s="13" t="s">
        <v>148</v>
      </c>
      <c r="Z556" s="14" t="s">
        <v>1925</v>
      </c>
      <c r="AA556" s="17">
        <v>15</v>
      </c>
      <c r="AB556" s="14" t="s">
        <v>173</v>
      </c>
      <c r="AC556" s="17">
        <v>201190000</v>
      </c>
      <c r="AD556" s="14">
        <v>51</v>
      </c>
      <c r="AE556" s="17">
        <v>186287037</v>
      </c>
      <c r="AF556" s="14" t="s">
        <v>352</v>
      </c>
      <c r="AG556" s="20" t="s">
        <v>149</v>
      </c>
      <c r="AH556" s="10">
        <v>100314415</v>
      </c>
      <c r="AI556" s="24" t="str">
        <f>VLOOKUP(Sales[[#This Row],[Store]],'Store lay bao  cao'!A:B,2,0)</f>
        <v>Lấy BC</v>
      </c>
      <c r="AJ556" s="24" t="str">
        <f>VLOOKUP(Sales[[#This Row],[Associate]],'Associate Status'!B:C,2,0)</f>
        <v>Retired</v>
      </c>
    </row>
    <row r="557" spans="1:36" x14ac:dyDescent="0.25">
      <c r="A557" s="7">
        <v>2024</v>
      </c>
      <c r="B557" s="8">
        <v>11</v>
      </c>
      <c r="C557" s="8">
        <v>48</v>
      </c>
      <c r="D557" s="8" t="s">
        <v>60</v>
      </c>
      <c r="E557" s="8" t="s">
        <v>43</v>
      </c>
      <c r="F557" s="8" t="s">
        <v>60</v>
      </c>
      <c r="G557" s="9">
        <v>3371720</v>
      </c>
      <c r="H557" s="10">
        <v>2519400</v>
      </c>
      <c r="I557" s="11">
        <v>45623</v>
      </c>
      <c r="J557" s="12">
        <v>202812</v>
      </c>
      <c r="K557" s="13" t="s">
        <v>715</v>
      </c>
      <c r="L557" s="14" t="s">
        <v>19</v>
      </c>
      <c r="M557" s="11" t="s">
        <v>15</v>
      </c>
      <c r="N557" s="14" t="s">
        <v>62</v>
      </c>
      <c r="O557" s="15">
        <v>5278</v>
      </c>
      <c r="P557" s="12">
        <v>1</v>
      </c>
      <c r="Q557" s="13" t="s">
        <v>101</v>
      </c>
      <c r="R557" s="16">
        <v>8349000</v>
      </c>
      <c r="S557" s="17">
        <v>7730556</v>
      </c>
      <c r="T557" s="12">
        <v>0</v>
      </c>
      <c r="U557" s="18">
        <v>0</v>
      </c>
      <c r="V557" s="19">
        <v>0</v>
      </c>
      <c r="W557" s="13" t="s">
        <v>104</v>
      </c>
      <c r="X557" s="14" t="s">
        <v>1926</v>
      </c>
      <c r="Y557" s="13" t="s">
        <v>627</v>
      </c>
      <c r="Z557" s="14" t="s">
        <v>1927</v>
      </c>
      <c r="AA557" s="17">
        <v>12</v>
      </c>
      <c r="AB557" s="14" t="s">
        <v>1161</v>
      </c>
      <c r="AC557" s="17">
        <v>8349000</v>
      </c>
      <c r="AD557" s="14">
        <v>51</v>
      </c>
      <c r="AE557" s="17">
        <v>7730556</v>
      </c>
      <c r="AF557" s="14" t="s">
        <v>136</v>
      </c>
      <c r="AG557" s="21" t="s">
        <v>628</v>
      </c>
      <c r="AH557" s="10">
        <v>4358836</v>
      </c>
      <c r="AI557" s="24" t="str">
        <f>VLOOKUP(Sales[[#This Row],[Store]],'Store lay bao  cao'!A:B,2,0)</f>
        <v>Lấy BC</v>
      </c>
      <c r="AJ557" s="24" t="str">
        <f>VLOOKUP(Sales[[#This Row],[Associate]],'Associate Status'!B:C,2,0)</f>
        <v>Active</v>
      </c>
    </row>
    <row r="558" spans="1:36" ht="77.25" x14ac:dyDescent="0.25">
      <c r="A558" s="7">
        <v>2024</v>
      </c>
      <c r="B558" s="8">
        <v>11</v>
      </c>
      <c r="C558" s="8">
        <v>48</v>
      </c>
      <c r="D558" s="8" t="s">
        <v>60</v>
      </c>
      <c r="E558" s="8" t="s">
        <v>34</v>
      </c>
      <c r="F558" s="8" t="s">
        <v>60</v>
      </c>
      <c r="G558" s="9">
        <v>4533539</v>
      </c>
      <c r="H558" s="10">
        <v>4218000</v>
      </c>
      <c r="I558" s="11">
        <v>45623</v>
      </c>
      <c r="J558" s="12">
        <v>208327</v>
      </c>
      <c r="K558" s="13" t="s">
        <v>1928</v>
      </c>
      <c r="L558" s="14" t="s">
        <v>50</v>
      </c>
      <c r="M558" s="11" t="s">
        <v>21</v>
      </c>
      <c r="N558" s="14" t="s">
        <v>11</v>
      </c>
      <c r="O558" s="15">
        <v>8166</v>
      </c>
      <c r="P558" s="12">
        <v>1</v>
      </c>
      <c r="Q558" s="13" t="s">
        <v>101</v>
      </c>
      <c r="R558" s="16">
        <v>12823100</v>
      </c>
      <c r="S558" s="17">
        <v>11873241</v>
      </c>
      <c r="T558" s="12">
        <v>5</v>
      </c>
      <c r="U558" s="18">
        <v>624907</v>
      </c>
      <c r="V558" s="19">
        <v>674900</v>
      </c>
      <c r="W558" s="13" t="s">
        <v>160</v>
      </c>
      <c r="X558" s="23" t="s">
        <v>1929</v>
      </c>
      <c r="Y558" s="13" t="s">
        <v>249</v>
      </c>
      <c r="Z558" s="14" t="s">
        <v>1896</v>
      </c>
      <c r="AA558" s="17">
        <v>20</v>
      </c>
      <c r="AB558" s="14" t="s">
        <v>137</v>
      </c>
      <c r="AC558" s="17">
        <v>13498000</v>
      </c>
      <c r="AD558" s="14" t="s">
        <v>108</v>
      </c>
      <c r="AE558" s="17">
        <v>12498148</v>
      </c>
      <c r="AF558" s="14" t="s">
        <v>1456</v>
      </c>
      <c r="AG558" s="20" t="s">
        <v>250</v>
      </c>
      <c r="AH558" s="10">
        <v>7339702</v>
      </c>
      <c r="AI558" s="24" t="str">
        <f>VLOOKUP(Sales[[#This Row],[Store]],'Store lay bao  cao'!A:B,2,0)</f>
        <v>Lấy BC</v>
      </c>
      <c r="AJ558" s="24" t="e">
        <f>VLOOKUP(Sales[[#This Row],[Associate]],'Associate Status'!B:C,2,0)</f>
        <v>#N/A</v>
      </c>
    </row>
    <row r="559" spans="1:36" x14ac:dyDescent="0.25">
      <c r="A559" s="7">
        <v>2024</v>
      </c>
      <c r="B559" s="8">
        <v>11</v>
      </c>
      <c r="C559" s="8">
        <v>48</v>
      </c>
      <c r="D559" s="8" t="s">
        <v>66</v>
      </c>
      <c r="E559" s="8" t="s">
        <v>53</v>
      </c>
      <c r="F559" s="8" t="s">
        <v>66</v>
      </c>
      <c r="G559" s="9">
        <v>142307780</v>
      </c>
      <c r="H559" s="10">
        <v>137396250</v>
      </c>
      <c r="I559" s="11">
        <v>45624</v>
      </c>
      <c r="J559" s="12">
        <v>212079</v>
      </c>
      <c r="K559" s="13" t="s">
        <v>717</v>
      </c>
      <c r="L559" s="14" t="s">
        <v>65</v>
      </c>
      <c r="M559" s="11" t="s">
        <v>15</v>
      </c>
      <c r="N559" s="14" t="s">
        <v>62</v>
      </c>
      <c r="O559" s="15">
        <v>5293</v>
      </c>
      <c r="P559" s="12">
        <v>1</v>
      </c>
      <c r="Q559" s="13" t="s">
        <v>175</v>
      </c>
      <c r="R559" s="16">
        <v>354516250</v>
      </c>
      <c r="S559" s="17">
        <v>328255787</v>
      </c>
      <c r="T559" s="12">
        <v>5</v>
      </c>
      <c r="U559" s="18">
        <v>17276620</v>
      </c>
      <c r="V559" s="19">
        <v>18658750</v>
      </c>
      <c r="W559" s="13" t="s">
        <v>135</v>
      </c>
      <c r="X559" s="14" t="s">
        <v>1930</v>
      </c>
      <c r="Y559" s="13" t="s">
        <v>183</v>
      </c>
      <c r="Z559" s="14" t="s">
        <v>1931</v>
      </c>
      <c r="AA559" s="17">
        <v>13</v>
      </c>
      <c r="AB559" s="14" t="s">
        <v>1932</v>
      </c>
      <c r="AC559" s="17">
        <v>373175000</v>
      </c>
      <c r="AD559" s="14" t="s">
        <v>108</v>
      </c>
      <c r="AE559" s="17">
        <v>345532407</v>
      </c>
      <c r="AF559" s="14" t="s">
        <v>352</v>
      </c>
      <c r="AG559" s="21" t="s">
        <v>184</v>
      </c>
      <c r="AH559" s="10">
        <v>185948007</v>
      </c>
      <c r="AI559" s="24" t="str">
        <f>VLOOKUP(Sales[[#This Row],[Store]],'Store lay bao  cao'!A:B,2,0)</f>
        <v>Lấy BC</v>
      </c>
      <c r="AJ559" s="24" t="str">
        <f>VLOOKUP(Sales[[#This Row],[Associate]],'Associate Status'!B:C,2,0)</f>
        <v>Retired</v>
      </c>
    </row>
    <row r="560" spans="1:36" x14ac:dyDescent="0.25">
      <c r="A560" s="7">
        <v>2024</v>
      </c>
      <c r="B560" s="8">
        <v>11</v>
      </c>
      <c r="C560" s="8">
        <v>48</v>
      </c>
      <c r="D560" s="8" t="s">
        <v>66</v>
      </c>
      <c r="E560" s="8" t="s">
        <v>43</v>
      </c>
      <c r="F560" s="8" t="s">
        <v>66</v>
      </c>
      <c r="G560" s="9">
        <v>39598686</v>
      </c>
      <c r="H560" s="10">
        <v>38232000</v>
      </c>
      <c r="I560" s="11">
        <v>45624</v>
      </c>
      <c r="J560" s="12">
        <v>212080</v>
      </c>
      <c r="K560" s="13" t="s">
        <v>717</v>
      </c>
      <c r="L560" s="14" t="s">
        <v>65</v>
      </c>
      <c r="M560" s="11" t="s">
        <v>15</v>
      </c>
      <c r="N560" s="14" t="s">
        <v>62</v>
      </c>
      <c r="O560" s="15">
        <v>5293</v>
      </c>
      <c r="P560" s="12">
        <v>1</v>
      </c>
      <c r="Q560" s="13" t="s">
        <v>175</v>
      </c>
      <c r="R560" s="16">
        <v>98648000</v>
      </c>
      <c r="S560" s="17">
        <v>91340741</v>
      </c>
      <c r="T560" s="12">
        <v>5</v>
      </c>
      <c r="U560" s="18">
        <v>4807407</v>
      </c>
      <c r="V560" s="19">
        <v>5192000</v>
      </c>
      <c r="W560" s="13" t="s">
        <v>135</v>
      </c>
      <c r="X560" s="14" t="s">
        <v>1824</v>
      </c>
      <c r="Y560" s="13" t="s">
        <v>183</v>
      </c>
      <c r="Z560" s="14" t="s">
        <v>1933</v>
      </c>
      <c r="AA560" s="17">
        <v>13</v>
      </c>
      <c r="AB560" s="14" t="s">
        <v>1932</v>
      </c>
      <c r="AC560" s="17">
        <v>103840000</v>
      </c>
      <c r="AD560" s="14">
        <v>60</v>
      </c>
      <c r="AE560" s="17">
        <v>96148148</v>
      </c>
      <c r="AF560" s="14" t="s">
        <v>136</v>
      </c>
      <c r="AG560" s="20" t="s">
        <v>184</v>
      </c>
      <c r="AH560" s="10">
        <v>51742055</v>
      </c>
      <c r="AI560" s="24" t="str">
        <f>VLOOKUP(Sales[[#This Row],[Store]],'Store lay bao  cao'!A:B,2,0)</f>
        <v>Lấy BC</v>
      </c>
      <c r="AJ560" s="24" t="str">
        <f>VLOOKUP(Sales[[#This Row],[Associate]],'Associate Status'!B:C,2,0)</f>
        <v>Active</v>
      </c>
    </row>
    <row r="561" spans="1:36" x14ac:dyDescent="0.25">
      <c r="A561" s="7">
        <v>2024</v>
      </c>
      <c r="B561" s="8">
        <v>11</v>
      </c>
      <c r="C561" s="8">
        <v>48</v>
      </c>
      <c r="D561" s="8" t="s">
        <v>66</v>
      </c>
      <c r="E561" s="8" t="s">
        <v>34</v>
      </c>
      <c r="F561" s="8" t="s">
        <v>66</v>
      </c>
      <c r="G561" s="9">
        <v>35267582</v>
      </c>
      <c r="H561" s="10">
        <v>34050375</v>
      </c>
      <c r="I561" s="11">
        <v>45624</v>
      </c>
      <c r="J561" s="12">
        <v>212081</v>
      </c>
      <c r="K561" s="13" t="s">
        <v>717</v>
      </c>
      <c r="L561" s="14" t="s">
        <v>65</v>
      </c>
      <c r="M561" s="11" t="s">
        <v>15</v>
      </c>
      <c r="N561" s="14" t="s">
        <v>62</v>
      </c>
      <c r="O561" s="15">
        <v>5293</v>
      </c>
      <c r="P561" s="12">
        <v>1</v>
      </c>
      <c r="Q561" s="13" t="s">
        <v>175</v>
      </c>
      <c r="R561" s="16">
        <v>87858850</v>
      </c>
      <c r="S561" s="17">
        <v>81350787</v>
      </c>
      <c r="T561" s="12">
        <v>5</v>
      </c>
      <c r="U561" s="18">
        <v>4281620</v>
      </c>
      <c r="V561" s="19">
        <v>4624150</v>
      </c>
      <c r="W561" s="13" t="s">
        <v>135</v>
      </c>
      <c r="X561" s="14" t="s">
        <v>1934</v>
      </c>
      <c r="Y561" s="13" t="s">
        <v>183</v>
      </c>
      <c r="Z561" s="14" t="s">
        <v>1935</v>
      </c>
      <c r="AA561" s="17">
        <v>13</v>
      </c>
      <c r="AB561" s="14" t="s">
        <v>1936</v>
      </c>
      <c r="AC561" s="17">
        <v>92483000</v>
      </c>
      <c r="AD561" s="14" t="s">
        <v>108</v>
      </c>
      <c r="AE561" s="17">
        <v>85632407</v>
      </c>
      <c r="AF561" s="14" t="s">
        <v>106</v>
      </c>
      <c r="AG561" s="21" t="s">
        <v>184</v>
      </c>
      <c r="AH561" s="10">
        <v>46083205</v>
      </c>
      <c r="AI561" s="24" t="str">
        <f>VLOOKUP(Sales[[#This Row],[Store]],'Store lay bao  cao'!A:B,2,0)</f>
        <v>Lấy BC</v>
      </c>
      <c r="AJ561" s="24" t="str">
        <f>VLOOKUP(Sales[[#This Row],[Associate]],'Associate Status'!B:C,2,0)</f>
        <v>Active</v>
      </c>
    </row>
    <row r="562" spans="1:36" x14ac:dyDescent="0.25">
      <c r="A562" s="7">
        <v>2024</v>
      </c>
      <c r="B562" s="8">
        <v>11</v>
      </c>
      <c r="C562" s="8">
        <v>48</v>
      </c>
      <c r="D562" s="8" t="s">
        <v>63</v>
      </c>
      <c r="E562" s="8" t="s">
        <v>37</v>
      </c>
      <c r="F562" s="8" t="s">
        <v>63</v>
      </c>
      <c r="G562" s="9">
        <v>1374294</v>
      </c>
      <c r="H562" s="10">
        <v>1172296.2</v>
      </c>
      <c r="I562" s="11">
        <v>45624</v>
      </c>
      <c r="J562" s="12">
        <v>205061</v>
      </c>
      <c r="K562" s="13" t="s">
        <v>1939</v>
      </c>
      <c r="L562" s="14" t="s">
        <v>47</v>
      </c>
      <c r="M562" s="11" t="s">
        <v>21</v>
      </c>
      <c r="N562" s="14" t="s">
        <v>62</v>
      </c>
      <c r="O562" s="15">
        <v>8222</v>
      </c>
      <c r="P562" s="12">
        <v>1</v>
      </c>
      <c r="Q562" s="13" t="s">
        <v>101</v>
      </c>
      <c r="R562" s="16">
        <v>7034000</v>
      </c>
      <c r="S562" s="17">
        <v>6512963</v>
      </c>
      <c r="T562" s="12">
        <v>0</v>
      </c>
      <c r="U562" s="18">
        <v>0</v>
      </c>
      <c r="V562" s="19">
        <v>0</v>
      </c>
      <c r="W562" s="13" t="s">
        <v>160</v>
      </c>
      <c r="X562" s="14" t="s">
        <v>903</v>
      </c>
      <c r="Y562" s="13" t="s">
        <v>1376</v>
      </c>
      <c r="Z562" s="14">
        <v>64</v>
      </c>
      <c r="AA562" s="17">
        <v>14</v>
      </c>
      <c r="AB562" s="14" t="s">
        <v>194</v>
      </c>
      <c r="AC562" s="17">
        <v>7034000</v>
      </c>
      <c r="AD562" s="14" t="s">
        <v>924</v>
      </c>
      <c r="AE562" s="17">
        <v>6512963</v>
      </c>
      <c r="AF562" s="14" t="s">
        <v>898</v>
      </c>
      <c r="AG562" s="20" t="s">
        <v>1377</v>
      </c>
      <c r="AH562" s="10">
        <v>5138669</v>
      </c>
      <c r="AI562" s="24" t="str">
        <f>VLOOKUP(Sales[[#This Row],[Store]],'Store lay bao  cao'!A:B,2,0)</f>
        <v>Lấy BC</v>
      </c>
      <c r="AJ562" s="24" t="str">
        <f>VLOOKUP(Sales[[#This Row],[Associate]],'Associate Status'!B:C,2,0)</f>
        <v>Retired</v>
      </c>
    </row>
    <row r="563" spans="1:36" x14ac:dyDescent="0.25">
      <c r="A563" s="7">
        <v>2024</v>
      </c>
      <c r="B563" s="8">
        <v>11</v>
      </c>
      <c r="C563" s="8">
        <v>48</v>
      </c>
      <c r="D563" s="8" t="s">
        <v>66</v>
      </c>
      <c r="E563" s="8" t="s">
        <v>53</v>
      </c>
      <c r="F563" s="8" t="s">
        <v>66</v>
      </c>
      <c r="G563" s="9">
        <v>44548522</v>
      </c>
      <c r="H563" s="10">
        <v>43011000</v>
      </c>
      <c r="I563" s="11">
        <v>45626</v>
      </c>
      <c r="J563" s="12">
        <v>212077</v>
      </c>
      <c r="K563" s="13" t="s">
        <v>720</v>
      </c>
      <c r="L563" s="14" t="s">
        <v>65</v>
      </c>
      <c r="M563" s="11" t="s">
        <v>15</v>
      </c>
      <c r="N563" s="14" t="s">
        <v>62</v>
      </c>
      <c r="O563" s="15">
        <v>5336</v>
      </c>
      <c r="P563" s="12">
        <v>1</v>
      </c>
      <c r="Q563" s="13" t="s">
        <v>110</v>
      </c>
      <c r="R563" s="16">
        <v>102086000</v>
      </c>
      <c r="S563" s="17">
        <v>94524074</v>
      </c>
      <c r="T563" s="12">
        <v>0</v>
      </c>
      <c r="U563" s="18">
        <v>0</v>
      </c>
      <c r="V563" s="19">
        <v>0</v>
      </c>
      <c r="W563" s="13" t="s">
        <v>135</v>
      </c>
      <c r="X563" s="14" t="s">
        <v>1802</v>
      </c>
      <c r="Y563" s="13" t="s">
        <v>180</v>
      </c>
      <c r="Z563" s="14" t="s">
        <v>1941</v>
      </c>
      <c r="AA563" s="17">
        <v>20</v>
      </c>
      <c r="AB563" s="14" t="s">
        <v>1803</v>
      </c>
      <c r="AC563" s="17">
        <v>102086000</v>
      </c>
      <c r="AD563" s="14" t="s">
        <v>108</v>
      </c>
      <c r="AE563" s="17">
        <v>94524074</v>
      </c>
      <c r="AF563" s="14" t="s">
        <v>352</v>
      </c>
      <c r="AG563" s="21" t="s">
        <v>337</v>
      </c>
      <c r="AH563" s="10">
        <v>49975552</v>
      </c>
      <c r="AI563" s="24" t="str">
        <f>VLOOKUP(Sales[[#This Row],[Store]],'Store lay bao  cao'!A:B,2,0)</f>
        <v>Lấy BC</v>
      </c>
      <c r="AJ563" s="24" t="str">
        <f>VLOOKUP(Sales[[#This Row],[Associate]],'Associate Status'!B:C,2,0)</f>
        <v>Retired</v>
      </c>
    </row>
    <row r="564" spans="1:36" x14ac:dyDescent="0.25">
      <c r="A564" s="7">
        <v>2024</v>
      </c>
      <c r="B564" s="8">
        <v>11</v>
      </c>
      <c r="C564" s="8">
        <v>48</v>
      </c>
      <c r="D564" s="8" t="s">
        <v>66</v>
      </c>
      <c r="E564" s="8" t="s">
        <v>53</v>
      </c>
      <c r="F564" s="8" t="s">
        <v>66</v>
      </c>
      <c r="G564" s="9">
        <v>163344583</v>
      </c>
      <c r="H564" s="10">
        <v>157707000</v>
      </c>
      <c r="I564" s="11">
        <v>45626</v>
      </c>
      <c r="J564" s="12">
        <v>212078</v>
      </c>
      <c r="K564" s="13" t="s">
        <v>720</v>
      </c>
      <c r="L564" s="14" t="s">
        <v>65</v>
      </c>
      <c r="M564" s="11" t="s">
        <v>15</v>
      </c>
      <c r="N564" s="14" t="s">
        <v>62</v>
      </c>
      <c r="O564" s="15">
        <v>5336</v>
      </c>
      <c r="P564" s="12">
        <v>1</v>
      </c>
      <c r="Q564" s="13" t="s">
        <v>110</v>
      </c>
      <c r="R564" s="16">
        <v>374313000</v>
      </c>
      <c r="S564" s="17">
        <v>346586111</v>
      </c>
      <c r="T564" s="12">
        <v>0</v>
      </c>
      <c r="U564" s="18">
        <v>0</v>
      </c>
      <c r="V564" s="19">
        <v>0</v>
      </c>
      <c r="W564" s="13" t="s">
        <v>135</v>
      </c>
      <c r="X564" s="14" t="s">
        <v>1802</v>
      </c>
      <c r="Y564" s="13" t="s">
        <v>180</v>
      </c>
      <c r="Z564" s="14" t="s">
        <v>1942</v>
      </c>
      <c r="AA564" s="17">
        <v>20</v>
      </c>
      <c r="AB564" s="14" t="s">
        <v>1803</v>
      </c>
      <c r="AC564" s="17">
        <v>374313000</v>
      </c>
      <c r="AD564" s="14" t="s">
        <v>108</v>
      </c>
      <c r="AE564" s="17">
        <v>346586111</v>
      </c>
      <c r="AF564" s="14" t="s">
        <v>352</v>
      </c>
      <c r="AG564" s="20" t="s">
        <v>337</v>
      </c>
      <c r="AH564" s="10">
        <v>183241528</v>
      </c>
      <c r="AI564" s="24" t="str">
        <f>VLOOKUP(Sales[[#This Row],[Store]],'Store lay bao  cao'!A:B,2,0)</f>
        <v>Lấy BC</v>
      </c>
      <c r="AJ564" s="24" t="str">
        <f>VLOOKUP(Sales[[#This Row],[Associate]],'Associate Status'!B:C,2,0)</f>
        <v>Retired</v>
      </c>
    </row>
    <row r="565" spans="1:36" x14ac:dyDescent="0.25">
      <c r="A565" s="7">
        <v>2024</v>
      </c>
      <c r="B565" s="8">
        <v>12</v>
      </c>
      <c r="C565" s="8">
        <v>50</v>
      </c>
      <c r="D565" s="8" t="s">
        <v>52</v>
      </c>
      <c r="E565" s="8" t="s">
        <v>34</v>
      </c>
      <c r="F565" s="8" t="s">
        <v>52</v>
      </c>
      <c r="G565" s="9">
        <v>13720402</v>
      </c>
      <c r="H565" s="10">
        <v>11610000</v>
      </c>
      <c r="I565" s="11">
        <v>45635</v>
      </c>
      <c r="J565" s="12">
        <v>186449</v>
      </c>
      <c r="K565" s="13" t="s">
        <v>723</v>
      </c>
      <c r="L565" s="14" t="s">
        <v>19</v>
      </c>
      <c r="M565" s="11" t="s">
        <v>15</v>
      </c>
      <c r="N565" s="14" t="s">
        <v>11</v>
      </c>
      <c r="O565" s="15">
        <v>5384</v>
      </c>
      <c r="P565" s="12">
        <v>1</v>
      </c>
      <c r="Q565" s="13" t="s">
        <v>110</v>
      </c>
      <c r="R565" s="16">
        <v>35846350</v>
      </c>
      <c r="S565" s="17">
        <v>33191065</v>
      </c>
      <c r="T565" s="12">
        <v>5</v>
      </c>
      <c r="U565" s="18">
        <v>1746898</v>
      </c>
      <c r="V565" s="19">
        <v>1886650</v>
      </c>
      <c r="W565" s="13" t="s">
        <v>104</v>
      </c>
      <c r="X565" s="14" t="s">
        <v>1945</v>
      </c>
      <c r="Y565" s="13" t="s">
        <v>228</v>
      </c>
      <c r="Z565" s="14" t="s">
        <v>1946</v>
      </c>
      <c r="AA565" s="17">
        <v>14</v>
      </c>
      <c r="AB565" s="14" t="s">
        <v>1947</v>
      </c>
      <c r="AC565" s="17">
        <v>37733000</v>
      </c>
      <c r="AD565" s="14" t="s">
        <v>108</v>
      </c>
      <c r="AE565" s="17">
        <v>34937963</v>
      </c>
      <c r="AF565" s="14" t="s">
        <v>136</v>
      </c>
      <c r="AG565" s="21" t="s">
        <v>229</v>
      </c>
      <c r="AH565" s="10">
        <v>19470663</v>
      </c>
      <c r="AI565" s="24" t="str">
        <f>VLOOKUP(Sales[[#This Row],[Store]],'Store lay bao  cao'!A:B,2,0)</f>
        <v>Lấy BC</v>
      </c>
      <c r="AJ565" s="24" t="str">
        <f>VLOOKUP(Sales[[#This Row],[Associate]],'Associate Status'!B:C,2,0)</f>
        <v>Active</v>
      </c>
    </row>
    <row r="566" spans="1:36" x14ac:dyDescent="0.25">
      <c r="A566" s="7">
        <v>2024</v>
      </c>
      <c r="B566" s="8">
        <v>12</v>
      </c>
      <c r="C566" s="8">
        <v>50</v>
      </c>
      <c r="D566" s="8" t="s">
        <v>60</v>
      </c>
      <c r="E566" s="8" t="s">
        <v>43</v>
      </c>
      <c r="F566" s="8" t="s">
        <v>60</v>
      </c>
      <c r="G566" s="9">
        <v>3436561</v>
      </c>
      <c r="H566" s="10">
        <v>2567849.9999999995</v>
      </c>
      <c r="I566" s="11">
        <v>45635</v>
      </c>
      <c r="J566" s="12">
        <v>202799</v>
      </c>
      <c r="K566" s="13" t="s">
        <v>723</v>
      </c>
      <c r="L566" s="14" t="s">
        <v>19</v>
      </c>
      <c r="M566" s="11" t="s">
        <v>15</v>
      </c>
      <c r="N566" s="14" t="s">
        <v>62</v>
      </c>
      <c r="O566" s="15">
        <v>5384</v>
      </c>
      <c r="P566" s="12">
        <v>1</v>
      </c>
      <c r="Q566" s="13" t="s">
        <v>110</v>
      </c>
      <c r="R566" s="16">
        <v>8084500</v>
      </c>
      <c r="S566" s="17">
        <v>7485648</v>
      </c>
      <c r="T566" s="12">
        <v>5</v>
      </c>
      <c r="U566" s="18">
        <v>393981</v>
      </c>
      <c r="V566" s="19">
        <v>425500</v>
      </c>
      <c r="W566" s="13" t="s">
        <v>104</v>
      </c>
      <c r="X566" s="14" t="s">
        <v>1948</v>
      </c>
      <c r="Y566" s="13" t="s">
        <v>228</v>
      </c>
      <c r="Z566" s="14" t="s">
        <v>1949</v>
      </c>
      <c r="AA566" s="17">
        <v>14</v>
      </c>
      <c r="AB566" s="14" t="s">
        <v>1174</v>
      </c>
      <c r="AC566" s="17">
        <v>8510000</v>
      </c>
      <c r="AD566" s="14">
        <v>53</v>
      </c>
      <c r="AE566" s="17">
        <v>7879630</v>
      </c>
      <c r="AF566" s="14" t="s">
        <v>136</v>
      </c>
      <c r="AG566" s="20" t="s">
        <v>229</v>
      </c>
      <c r="AH566" s="10">
        <v>4049087</v>
      </c>
      <c r="AI566" s="24" t="str">
        <f>VLOOKUP(Sales[[#This Row],[Store]],'Store lay bao  cao'!A:B,2,0)</f>
        <v>Lấy BC</v>
      </c>
      <c r="AJ566" s="24" t="str">
        <f>VLOOKUP(Sales[[#This Row],[Associate]],'Associate Status'!B:C,2,0)</f>
        <v>Active</v>
      </c>
    </row>
    <row r="567" spans="1:36" x14ac:dyDescent="0.25">
      <c r="A567" s="7">
        <v>2024</v>
      </c>
      <c r="B567" s="8">
        <v>12</v>
      </c>
      <c r="C567" s="8">
        <v>50</v>
      </c>
      <c r="D567" s="8" t="s">
        <v>66</v>
      </c>
      <c r="E567" s="8" t="s">
        <v>37</v>
      </c>
      <c r="F567" s="8" t="s">
        <v>66</v>
      </c>
      <c r="G567" s="9">
        <v>128261502</v>
      </c>
      <c r="H567" s="10">
        <v>123059250</v>
      </c>
      <c r="I567" s="11">
        <v>45635</v>
      </c>
      <c r="J567" s="12">
        <v>211198</v>
      </c>
      <c r="K567" s="13" t="s">
        <v>1950</v>
      </c>
      <c r="L567" s="14" t="s">
        <v>65</v>
      </c>
      <c r="M567" s="11" t="s">
        <v>17</v>
      </c>
      <c r="N567" s="14" t="s">
        <v>62</v>
      </c>
      <c r="O567" s="15">
        <v>8927</v>
      </c>
      <c r="P567" s="12">
        <v>1</v>
      </c>
      <c r="Q567" s="13" t="s">
        <v>102</v>
      </c>
      <c r="R567" s="16">
        <v>300811500</v>
      </c>
      <c r="S567" s="17">
        <v>278529167</v>
      </c>
      <c r="T567" s="12">
        <v>10</v>
      </c>
      <c r="U567" s="18">
        <v>30947685</v>
      </c>
      <c r="V567" s="19">
        <v>33423500</v>
      </c>
      <c r="W567" s="13" t="s">
        <v>427</v>
      </c>
      <c r="X567" s="14" t="s">
        <v>1921</v>
      </c>
      <c r="Y567" s="13" t="s">
        <v>198</v>
      </c>
      <c r="Z567" s="14" t="s">
        <v>1922</v>
      </c>
      <c r="AA567" s="17">
        <v>13</v>
      </c>
      <c r="AB567" s="14" t="s">
        <v>173</v>
      </c>
      <c r="AC567" s="17">
        <v>334235000</v>
      </c>
      <c r="AD567" s="14" t="s">
        <v>108</v>
      </c>
      <c r="AE567" s="17">
        <v>309476852</v>
      </c>
      <c r="AF567" s="14" t="s">
        <v>121</v>
      </c>
      <c r="AG567" s="21" t="s">
        <v>199</v>
      </c>
      <c r="AH567" s="10">
        <v>150267665</v>
      </c>
      <c r="AI567" s="24" t="str">
        <f>VLOOKUP(Sales[[#This Row],[Store]],'Store lay bao  cao'!A:B,2,0)</f>
        <v>Lấy BC</v>
      </c>
      <c r="AJ567" s="24" t="str">
        <f>VLOOKUP(Sales[[#This Row],[Associate]],'Associate Status'!B:C,2,0)</f>
        <v>Active</v>
      </c>
    </row>
    <row r="568" spans="1:36" x14ac:dyDescent="0.25">
      <c r="A568" s="7">
        <v>2024</v>
      </c>
      <c r="B568" s="8">
        <v>12</v>
      </c>
      <c r="C568" s="8">
        <v>51</v>
      </c>
      <c r="D568" s="8" t="s">
        <v>66</v>
      </c>
      <c r="E568" s="8" t="s">
        <v>37</v>
      </c>
      <c r="F568" s="8" t="s">
        <v>66</v>
      </c>
      <c r="G568" s="9">
        <v>23818439</v>
      </c>
      <c r="H568" s="10">
        <v>22833000</v>
      </c>
      <c r="I568" s="11">
        <v>45646</v>
      </c>
      <c r="J568" s="12">
        <v>214605</v>
      </c>
      <c r="K568" s="13" t="s">
        <v>1954</v>
      </c>
      <c r="L568" s="14" t="s">
        <v>58</v>
      </c>
      <c r="M568" s="11" t="s">
        <v>17</v>
      </c>
      <c r="N568" s="14" t="s">
        <v>62</v>
      </c>
      <c r="O568" s="15">
        <v>8961</v>
      </c>
      <c r="P568" s="12">
        <v>1</v>
      </c>
      <c r="Q568" s="13" t="s">
        <v>101</v>
      </c>
      <c r="R568" s="16">
        <v>79894000</v>
      </c>
      <c r="S568" s="17">
        <v>73975926</v>
      </c>
      <c r="T568" s="12">
        <v>0</v>
      </c>
      <c r="U568" s="18">
        <v>0</v>
      </c>
      <c r="V568" s="19">
        <v>0</v>
      </c>
      <c r="W568" s="13" t="s">
        <v>427</v>
      </c>
      <c r="X568" s="14" t="s">
        <v>1955</v>
      </c>
      <c r="Y568" s="13" t="s">
        <v>185</v>
      </c>
      <c r="Z568" s="14" t="s">
        <v>1754</v>
      </c>
      <c r="AA568" s="17">
        <v>15</v>
      </c>
      <c r="AB568" s="14" t="s">
        <v>1337</v>
      </c>
      <c r="AC568" s="17">
        <v>79894000</v>
      </c>
      <c r="AD568" s="14">
        <v>0</v>
      </c>
      <c r="AE568" s="17">
        <v>73975926</v>
      </c>
      <c r="AF568" s="14" t="s">
        <v>113</v>
      </c>
      <c r="AG568" s="20" t="s">
        <v>186</v>
      </c>
      <c r="AH568" s="10">
        <v>50157487</v>
      </c>
      <c r="AI568" s="24" t="str">
        <f>VLOOKUP(Sales[[#This Row],[Store]],'Store lay bao  cao'!A:B,2,0)</f>
        <v>Lấy BC</v>
      </c>
      <c r="AJ568" s="24" t="str">
        <f>VLOOKUP(Sales[[#This Row],[Associate]],'Associate Status'!B:C,2,0)</f>
        <v>Active</v>
      </c>
    </row>
    <row r="569" spans="1:36" x14ac:dyDescent="0.25">
      <c r="A569" s="7">
        <v>2024</v>
      </c>
      <c r="B569" s="8">
        <v>12</v>
      </c>
      <c r="C569" s="8">
        <v>51</v>
      </c>
      <c r="D569" s="8" t="s">
        <v>60</v>
      </c>
      <c r="E569" s="8" t="s">
        <v>43</v>
      </c>
      <c r="F569" s="8" t="s">
        <v>60</v>
      </c>
      <c r="G569" s="9">
        <v>3566243</v>
      </c>
      <c r="H569" s="10">
        <v>2664750</v>
      </c>
      <c r="I569" s="11">
        <v>45648</v>
      </c>
      <c r="J569" s="12">
        <v>202800</v>
      </c>
      <c r="K569" s="13" t="s">
        <v>730</v>
      </c>
      <c r="L569" s="14" t="s">
        <v>19</v>
      </c>
      <c r="M569" s="11" t="s">
        <v>15</v>
      </c>
      <c r="N569" s="14" t="s">
        <v>62</v>
      </c>
      <c r="O569" s="15">
        <v>5466</v>
      </c>
      <c r="P569" s="12">
        <v>1</v>
      </c>
      <c r="Q569" s="13" t="s">
        <v>101</v>
      </c>
      <c r="R569" s="16">
        <v>8831000</v>
      </c>
      <c r="S569" s="17">
        <v>8176852</v>
      </c>
      <c r="T569" s="12">
        <v>0</v>
      </c>
      <c r="U569" s="18">
        <v>0</v>
      </c>
      <c r="V569" s="19">
        <v>0</v>
      </c>
      <c r="W569" s="13" t="s">
        <v>135</v>
      </c>
      <c r="X569" s="14" t="s">
        <v>1956</v>
      </c>
      <c r="Y569" s="13" t="s">
        <v>1296</v>
      </c>
      <c r="Z569" s="14" t="s">
        <v>1957</v>
      </c>
      <c r="AA569" s="17">
        <v>14</v>
      </c>
      <c r="AB569" s="14" t="s">
        <v>1415</v>
      </c>
      <c r="AC569" s="17">
        <v>8831000</v>
      </c>
      <c r="AD569" s="14">
        <v>51</v>
      </c>
      <c r="AE569" s="17">
        <v>8176852</v>
      </c>
      <c r="AF569" s="14" t="s">
        <v>2594</v>
      </c>
      <c r="AG569" s="21" t="s">
        <v>1297</v>
      </c>
      <c r="AH569" s="10">
        <v>4610609</v>
      </c>
      <c r="AI569" s="24" t="str">
        <f>VLOOKUP(Sales[[#This Row],[Store]],'Store lay bao  cao'!A:B,2,0)</f>
        <v>Lấy BC</v>
      </c>
      <c r="AJ569" s="24" t="e">
        <f>VLOOKUP(Sales[[#This Row],[Associate]],'Associate Status'!B:C,2,0)</f>
        <v>#N/A</v>
      </c>
    </row>
    <row r="570" spans="1:36" x14ac:dyDescent="0.25">
      <c r="A570" s="7">
        <v>2024</v>
      </c>
      <c r="B570" s="8">
        <v>12</v>
      </c>
      <c r="C570" s="8">
        <v>52</v>
      </c>
      <c r="D570" s="8" t="s">
        <v>66</v>
      </c>
      <c r="E570" s="8" t="s">
        <v>34</v>
      </c>
      <c r="F570" s="8" t="s">
        <v>66</v>
      </c>
      <c r="G570" s="9">
        <v>-310347470</v>
      </c>
      <c r="H570" s="10">
        <v>-319927500</v>
      </c>
      <c r="I570" s="11">
        <v>45649</v>
      </c>
      <c r="J570" s="12">
        <v>211678</v>
      </c>
      <c r="K570" s="13" t="s">
        <v>729</v>
      </c>
      <c r="L570" s="14" t="s">
        <v>65</v>
      </c>
      <c r="M570" s="11" t="s">
        <v>15</v>
      </c>
      <c r="N570" s="14" t="s">
        <v>62</v>
      </c>
      <c r="O570" s="15">
        <v>5477</v>
      </c>
      <c r="P570" s="12">
        <v>-1</v>
      </c>
      <c r="Q570" s="13" t="s">
        <v>156</v>
      </c>
      <c r="R570" s="16">
        <v>-782045000</v>
      </c>
      <c r="S570" s="17">
        <v>-724115741</v>
      </c>
      <c r="T570" s="12">
        <v>0</v>
      </c>
      <c r="U570" s="18">
        <v>0</v>
      </c>
      <c r="V570" s="19">
        <v>0</v>
      </c>
      <c r="W570" s="13" t="s">
        <v>135</v>
      </c>
      <c r="X570" s="14" t="s">
        <v>1958</v>
      </c>
      <c r="Y570" s="13" t="s">
        <v>180</v>
      </c>
      <c r="Z570" s="14" t="s">
        <v>1959</v>
      </c>
      <c r="AA570" s="17">
        <v>10</v>
      </c>
      <c r="AB570" s="14" t="s">
        <v>173</v>
      </c>
      <c r="AC570" s="17">
        <v>-782045000</v>
      </c>
      <c r="AD570" s="14"/>
      <c r="AE570" s="17">
        <v>-724115741</v>
      </c>
      <c r="AF570" s="14" t="s">
        <v>352</v>
      </c>
      <c r="AG570" s="20" t="s">
        <v>337</v>
      </c>
      <c r="AH570" s="10">
        <v>-413768271</v>
      </c>
      <c r="AI570" s="24" t="str">
        <f>VLOOKUP(Sales[[#This Row],[Store]],'Store lay bao  cao'!A:B,2,0)</f>
        <v>Lấy BC</v>
      </c>
      <c r="AJ570" s="24" t="str">
        <f>VLOOKUP(Sales[[#This Row],[Associate]],'Associate Status'!B:C,2,0)</f>
        <v>Retired</v>
      </c>
    </row>
    <row r="571" spans="1:36" x14ac:dyDescent="0.25">
      <c r="A571" s="7">
        <v>2024</v>
      </c>
      <c r="B571" s="8">
        <v>12</v>
      </c>
      <c r="C571" s="8">
        <v>52</v>
      </c>
      <c r="D571" s="8" t="s">
        <v>66</v>
      </c>
      <c r="E571" s="8" t="s">
        <v>34</v>
      </c>
      <c r="F571" s="8" t="s">
        <v>66</v>
      </c>
      <c r="G571" s="9">
        <v>310347470</v>
      </c>
      <c r="H571" s="10">
        <v>319927500</v>
      </c>
      <c r="I571" s="11">
        <v>45649</v>
      </c>
      <c r="J571" s="12">
        <v>211678</v>
      </c>
      <c r="K571" s="13" t="s">
        <v>728</v>
      </c>
      <c r="L571" s="14" t="s">
        <v>65</v>
      </c>
      <c r="M571" s="11" t="s">
        <v>15</v>
      </c>
      <c r="N571" s="14" t="s">
        <v>62</v>
      </c>
      <c r="O571" s="15">
        <v>5473</v>
      </c>
      <c r="P571" s="12">
        <v>1</v>
      </c>
      <c r="Q571" s="13" t="s">
        <v>175</v>
      </c>
      <c r="R571" s="16">
        <v>782045000</v>
      </c>
      <c r="S571" s="17">
        <v>724115741</v>
      </c>
      <c r="T571" s="12">
        <v>0</v>
      </c>
      <c r="U571" s="18">
        <v>0</v>
      </c>
      <c r="V571" s="19">
        <v>0</v>
      </c>
      <c r="W571" s="13" t="s">
        <v>135</v>
      </c>
      <c r="X571" s="14" t="s">
        <v>1958</v>
      </c>
      <c r="Y571" s="13" t="s">
        <v>180</v>
      </c>
      <c r="Z571" s="14" t="s">
        <v>1959</v>
      </c>
      <c r="AA571" s="17">
        <v>10</v>
      </c>
      <c r="AB571" s="14" t="s">
        <v>173</v>
      </c>
      <c r="AC571" s="17">
        <v>782045000</v>
      </c>
      <c r="AD571" s="14"/>
      <c r="AE571" s="17">
        <v>724115741</v>
      </c>
      <c r="AF571" s="14" t="s">
        <v>352</v>
      </c>
      <c r="AG571" s="21" t="s">
        <v>337</v>
      </c>
      <c r="AH571" s="10">
        <v>413768271</v>
      </c>
      <c r="AI571" s="24" t="str">
        <f>VLOOKUP(Sales[[#This Row],[Store]],'Store lay bao  cao'!A:B,2,0)</f>
        <v>Lấy BC</v>
      </c>
      <c r="AJ571" s="24" t="str">
        <f>VLOOKUP(Sales[[#This Row],[Associate]],'Associate Status'!B:C,2,0)</f>
        <v>Retired</v>
      </c>
    </row>
    <row r="572" spans="1:36" x14ac:dyDescent="0.25">
      <c r="A572" s="7">
        <v>2024</v>
      </c>
      <c r="B572" s="8">
        <v>12</v>
      </c>
      <c r="C572" s="8">
        <v>52</v>
      </c>
      <c r="D572" s="8" t="s">
        <v>52</v>
      </c>
      <c r="E572" s="8" t="s">
        <v>34</v>
      </c>
      <c r="F572" s="8" t="s">
        <v>52</v>
      </c>
      <c r="G572" s="9">
        <v>2098346</v>
      </c>
      <c r="H572" s="10">
        <v>1890000</v>
      </c>
      <c r="I572" s="11">
        <v>45650</v>
      </c>
      <c r="J572" s="12">
        <v>182266</v>
      </c>
      <c r="K572" s="13" t="s">
        <v>732</v>
      </c>
      <c r="L572" s="14" t="s">
        <v>50</v>
      </c>
      <c r="M572" s="11" t="s">
        <v>15</v>
      </c>
      <c r="N572" s="14" t="s">
        <v>11</v>
      </c>
      <c r="O572" s="15">
        <v>5484</v>
      </c>
      <c r="P572" s="12">
        <v>1</v>
      </c>
      <c r="Q572" s="13" t="s">
        <v>101</v>
      </c>
      <c r="R572" s="16">
        <v>6048000</v>
      </c>
      <c r="S572" s="17">
        <v>5600000</v>
      </c>
      <c r="T572" s="12">
        <v>0</v>
      </c>
      <c r="U572" s="18">
        <v>0</v>
      </c>
      <c r="V572" s="19">
        <v>0</v>
      </c>
      <c r="W572" s="13" t="s">
        <v>104</v>
      </c>
      <c r="X572" s="14" t="s">
        <v>1960</v>
      </c>
      <c r="Y572" s="13" t="s">
        <v>330</v>
      </c>
      <c r="Z572" s="14" t="s">
        <v>1961</v>
      </c>
      <c r="AA572" s="17">
        <v>17</v>
      </c>
      <c r="AB572" s="14" t="s">
        <v>1075</v>
      </c>
      <c r="AC572" s="17">
        <v>6048000</v>
      </c>
      <c r="AD572" s="14" t="s">
        <v>108</v>
      </c>
      <c r="AE572" s="17">
        <v>5600000</v>
      </c>
      <c r="AF572" s="14" t="s">
        <v>109</v>
      </c>
      <c r="AG572" s="20" t="s">
        <v>331</v>
      </c>
      <c r="AH572" s="10">
        <v>3501654</v>
      </c>
      <c r="AI572" s="24" t="str">
        <f>VLOOKUP(Sales[[#This Row],[Store]],'Store lay bao  cao'!A:B,2,0)</f>
        <v>Lấy BC</v>
      </c>
      <c r="AJ572" s="24" t="str">
        <f>VLOOKUP(Sales[[#This Row],[Associate]],'Associate Status'!B:C,2,0)</f>
        <v>Active</v>
      </c>
    </row>
    <row r="573" spans="1:36" x14ac:dyDescent="0.25">
      <c r="A573" s="7">
        <v>2024</v>
      </c>
      <c r="B573" s="8">
        <v>12</v>
      </c>
      <c r="C573" s="8">
        <v>52</v>
      </c>
      <c r="D573" s="8" t="s">
        <v>66</v>
      </c>
      <c r="E573" s="8" t="s">
        <v>34</v>
      </c>
      <c r="F573" s="8" t="s">
        <v>66</v>
      </c>
      <c r="G573" s="9">
        <v>310347470</v>
      </c>
      <c r="H573" s="10">
        <v>319927500</v>
      </c>
      <c r="I573" s="11">
        <v>45650</v>
      </c>
      <c r="J573" s="12">
        <v>211678</v>
      </c>
      <c r="K573" s="13" t="s">
        <v>733</v>
      </c>
      <c r="L573" s="14" t="s">
        <v>65</v>
      </c>
      <c r="M573" s="11" t="s">
        <v>15</v>
      </c>
      <c r="N573" s="14" t="s">
        <v>62</v>
      </c>
      <c r="O573" s="15">
        <v>5483</v>
      </c>
      <c r="P573" s="12">
        <v>1</v>
      </c>
      <c r="Q573" s="13" t="s">
        <v>175</v>
      </c>
      <c r="R573" s="16">
        <v>782045000</v>
      </c>
      <c r="S573" s="17">
        <v>724115741</v>
      </c>
      <c r="T573" s="12">
        <v>0</v>
      </c>
      <c r="U573" s="18">
        <v>0</v>
      </c>
      <c r="V573" s="19">
        <v>0</v>
      </c>
      <c r="W573" s="13" t="s">
        <v>104</v>
      </c>
      <c r="X573" s="14" t="s">
        <v>1958</v>
      </c>
      <c r="Y573" s="13" t="s">
        <v>180</v>
      </c>
      <c r="Z573" s="14" t="s">
        <v>1959</v>
      </c>
      <c r="AA573" s="17">
        <v>17</v>
      </c>
      <c r="AB573" s="14" t="s">
        <v>173</v>
      </c>
      <c r="AC573" s="17">
        <v>782045000</v>
      </c>
      <c r="AD573" s="14"/>
      <c r="AE573" s="17">
        <v>724115741</v>
      </c>
      <c r="AF573" s="14" t="s">
        <v>352</v>
      </c>
      <c r="AG573" s="21" t="s">
        <v>337</v>
      </c>
      <c r="AH573" s="10">
        <v>413768271</v>
      </c>
      <c r="AI573" s="24" t="str">
        <f>VLOOKUP(Sales[[#This Row],[Store]],'Store lay bao  cao'!A:B,2,0)</f>
        <v>Lấy BC</v>
      </c>
      <c r="AJ573" s="24" t="str">
        <f>VLOOKUP(Sales[[#This Row],[Associate]],'Associate Status'!B:C,2,0)</f>
        <v>Retired</v>
      </c>
    </row>
    <row r="574" spans="1:36" x14ac:dyDescent="0.25">
      <c r="A574" s="7">
        <v>2024</v>
      </c>
      <c r="B574" s="8">
        <v>12</v>
      </c>
      <c r="C574" s="8">
        <v>52</v>
      </c>
      <c r="D574" s="8" t="s">
        <v>63</v>
      </c>
      <c r="E574" s="8" t="s">
        <v>37</v>
      </c>
      <c r="F574" s="8" t="s">
        <v>63</v>
      </c>
      <c r="G574" s="9">
        <v>1190324</v>
      </c>
      <c r="H574" s="10">
        <v>968418.6</v>
      </c>
      <c r="I574" s="11">
        <v>45650</v>
      </c>
      <c r="J574" s="12">
        <v>205033</v>
      </c>
      <c r="K574" s="13" t="s">
        <v>731</v>
      </c>
      <c r="L574" s="14" t="s">
        <v>47</v>
      </c>
      <c r="M574" s="11" t="s">
        <v>15</v>
      </c>
      <c r="N574" s="14" t="s">
        <v>62</v>
      </c>
      <c r="O574" s="15">
        <v>5481</v>
      </c>
      <c r="P574" s="12">
        <v>1</v>
      </c>
      <c r="Q574" s="13" t="s">
        <v>101</v>
      </c>
      <c r="R574" s="16">
        <v>5811000</v>
      </c>
      <c r="S574" s="17">
        <v>5380556</v>
      </c>
      <c r="T574" s="12">
        <v>0</v>
      </c>
      <c r="U574" s="18">
        <v>0</v>
      </c>
      <c r="V574" s="19">
        <v>0</v>
      </c>
      <c r="W574" s="13" t="s">
        <v>104</v>
      </c>
      <c r="X574" s="14" t="s">
        <v>1483</v>
      </c>
      <c r="Y574" s="13" t="s">
        <v>320</v>
      </c>
      <c r="Z574" s="14">
        <v>36</v>
      </c>
      <c r="AA574" s="17">
        <v>14</v>
      </c>
      <c r="AB574" s="14" t="s">
        <v>194</v>
      </c>
      <c r="AC574" s="17">
        <v>5811000</v>
      </c>
      <c r="AD574" s="14" t="s">
        <v>924</v>
      </c>
      <c r="AE574" s="17">
        <v>5380556</v>
      </c>
      <c r="AF574" s="14" t="s">
        <v>136</v>
      </c>
      <c r="AG574" s="20" t="s">
        <v>321</v>
      </c>
      <c r="AH574" s="10">
        <v>4190232</v>
      </c>
      <c r="AI574" s="24" t="str">
        <f>VLOOKUP(Sales[[#This Row],[Store]],'Store lay bao  cao'!A:B,2,0)</f>
        <v>Lấy BC</v>
      </c>
      <c r="AJ574" s="24" t="str">
        <f>VLOOKUP(Sales[[#This Row],[Associate]],'Associate Status'!B:C,2,0)</f>
        <v>Active</v>
      </c>
    </row>
    <row r="575" spans="1:36" ht="26.25" x14ac:dyDescent="0.25">
      <c r="A575" s="7">
        <v>2024</v>
      </c>
      <c r="B575" s="8">
        <v>12</v>
      </c>
      <c r="C575" s="8">
        <v>52</v>
      </c>
      <c r="D575" s="8" t="s">
        <v>66</v>
      </c>
      <c r="E575" s="8" t="s">
        <v>34</v>
      </c>
      <c r="F575" s="8" t="s">
        <v>66</v>
      </c>
      <c r="G575" s="9">
        <v>64043455</v>
      </c>
      <c r="H575" s="10">
        <v>60932250</v>
      </c>
      <c r="I575" s="11">
        <v>45651</v>
      </c>
      <c r="J575" s="12">
        <v>210746</v>
      </c>
      <c r="K575" s="13" t="s">
        <v>735</v>
      </c>
      <c r="L575" s="14" t="s">
        <v>65</v>
      </c>
      <c r="M575" s="11" t="s">
        <v>15</v>
      </c>
      <c r="N575" s="14" t="s">
        <v>62</v>
      </c>
      <c r="O575" s="15">
        <v>5500</v>
      </c>
      <c r="P575" s="12">
        <v>1</v>
      </c>
      <c r="Q575" s="13" t="s">
        <v>110</v>
      </c>
      <c r="R575" s="16">
        <v>165495000</v>
      </c>
      <c r="S575" s="17">
        <v>153236111</v>
      </c>
      <c r="T575" s="12">
        <v>0</v>
      </c>
      <c r="U575" s="18">
        <v>0</v>
      </c>
      <c r="V575" s="19">
        <v>0</v>
      </c>
      <c r="W575" s="13" t="s">
        <v>135</v>
      </c>
      <c r="X575" s="23" t="s">
        <v>1962</v>
      </c>
      <c r="Y575" s="13" t="s">
        <v>913</v>
      </c>
      <c r="Z575" s="14" t="s">
        <v>1963</v>
      </c>
      <c r="AA575" s="17">
        <v>17</v>
      </c>
      <c r="AB575" s="14" t="s">
        <v>1964</v>
      </c>
      <c r="AC575" s="17">
        <v>165495000</v>
      </c>
      <c r="AD575" s="14" t="s">
        <v>108</v>
      </c>
      <c r="AE575" s="17">
        <v>153236111</v>
      </c>
      <c r="AF575" s="14" t="s">
        <v>2594</v>
      </c>
      <c r="AG575" s="21" t="s">
        <v>914</v>
      </c>
      <c r="AH575" s="10">
        <v>89192656</v>
      </c>
      <c r="AI575" s="24" t="str">
        <f>VLOOKUP(Sales[[#This Row],[Store]],'Store lay bao  cao'!A:B,2,0)</f>
        <v>Lấy BC</v>
      </c>
      <c r="AJ575" s="24" t="e">
        <f>VLOOKUP(Sales[[#This Row],[Associate]],'Associate Status'!B:C,2,0)</f>
        <v>#N/A</v>
      </c>
    </row>
    <row r="576" spans="1:36" x14ac:dyDescent="0.25">
      <c r="A576" s="7">
        <v>2024</v>
      </c>
      <c r="B576" s="8">
        <v>12</v>
      </c>
      <c r="C576" s="8">
        <v>52</v>
      </c>
      <c r="D576" s="8" t="s">
        <v>66</v>
      </c>
      <c r="E576" s="8" t="s">
        <v>53</v>
      </c>
      <c r="F576" s="8" t="s">
        <v>66</v>
      </c>
      <c r="G576" s="9">
        <v>101242974</v>
      </c>
      <c r="H576" s="10">
        <v>110182500</v>
      </c>
      <c r="I576" s="11">
        <v>45651</v>
      </c>
      <c r="J576" s="12">
        <v>211673</v>
      </c>
      <c r="K576" s="13" t="s">
        <v>734</v>
      </c>
      <c r="L576" s="14" t="s">
        <v>65</v>
      </c>
      <c r="M576" s="11" t="s">
        <v>15</v>
      </c>
      <c r="N576" s="14" t="s">
        <v>62</v>
      </c>
      <c r="O576" s="15">
        <v>5488</v>
      </c>
      <c r="P576" s="12">
        <v>1</v>
      </c>
      <c r="Q576" s="13" t="s">
        <v>175</v>
      </c>
      <c r="R576" s="16">
        <v>269335000</v>
      </c>
      <c r="S576" s="17">
        <v>249384259</v>
      </c>
      <c r="T576" s="12">
        <v>0</v>
      </c>
      <c r="U576" s="18">
        <v>0</v>
      </c>
      <c r="V576" s="19">
        <v>0</v>
      </c>
      <c r="W576" s="13" t="s">
        <v>135</v>
      </c>
      <c r="X576" s="14" t="s">
        <v>1965</v>
      </c>
      <c r="Y576" s="13" t="s">
        <v>826</v>
      </c>
      <c r="Z576" s="14" t="s">
        <v>1966</v>
      </c>
      <c r="AA576" s="17">
        <v>10</v>
      </c>
      <c r="AB576" s="14" t="s">
        <v>1721</v>
      </c>
      <c r="AC576" s="17">
        <v>269335000</v>
      </c>
      <c r="AD576" s="14"/>
      <c r="AE576" s="17">
        <v>249384259</v>
      </c>
      <c r="AF576" s="14" t="s">
        <v>136</v>
      </c>
      <c r="AG576" s="20" t="s">
        <v>1670</v>
      </c>
      <c r="AH576" s="10">
        <v>148141285</v>
      </c>
      <c r="AI576" s="24" t="str">
        <f>VLOOKUP(Sales[[#This Row],[Store]],'Store lay bao  cao'!A:B,2,0)</f>
        <v>Lấy BC</v>
      </c>
      <c r="AJ576" s="24" t="str">
        <f>VLOOKUP(Sales[[#This Row],[Associate]],'Associate Status'!B:C,2,0)</f>
        <v>Active</v>
      </c>
    </row>
    <row r="577" spans="1:36" ht="26.25" x14ac:dyDescent="0.25">
      <c r="A577" s="7">
        <v>2025</v>
      </c>
      <c r="B577" s="8">
        <v>1</v>
      </c>
      <c r="C577" s="8">
        <v>1</v>
      </c>
      <c r="D577" s="8" t="s">
        <v>66</v>
      </c>
      <c r="E577" s="8" t="s">
        <v>34</v>
      </c>
      <c r="F577" s="8" t="s">
        <v>66</v>
      </c>
      <c r="G577" s="9">
        <v>107994844</v>
      </c>
      <c r="H577" s="10">
        <v>102748500</v>
      </c>
      <c r="I577" s="11">
        <v>45658</v>
      </c>
      <c r="J577" s="12">
        <v>210761</v>
      </c>
      <c r="K577" s="13" t="s">
        <v>1968</v>
      </c>
      <c r="L577" s="14" t="s">
        <v>65</v>
      </c>
      <c r="M577" s="11" t="s">
        <v>17</v>
      </c>
      <c r="N577" s="14" t="s">
        <v>62</v>
      </c>
      <c r="O577" s="15">
        <v>8999</v>
      </c>
      <c r="P577" s="12">
        <v>1</v>
      </c>
      <c r="Q577" s="13" t="s">
        <v>101</v>
      </c>
      <c r="R577" s="16">
        <v>279070000</v>
      </c>
      <c r="S577" s="17">
        <v>258398148</v>
      </c>
      <c r="T577" s="12">
        <v>0</v>
      </c>
      <c r="U577" s="18">
        <v>0</v>
      </c>
      <c r="V577" s="19">
        <v>0</v>
      </c>
      <c r="W577" s="13" t="s">
        <v>427</v>
      </c>
      <c r="X577" s="23" t="s">
        <v>1827</v>
      </c>
      <c r="Y577" s="13" t="s">
        <v>922</v>
      </c>
      <c r="Z577" s="14" t="s">
        <v>1828</v>
      </c>
      <c r="AA577" s="17">
        <v>16</v>
      </c>
      <c r="AB577" s="14" t="s">
        <v>1771</v>
      </c>
      <c r="AC577" s="17">
        <v>279070000</v>
      </c>
      <c r="AD577" s="14" t="s">
        <v>108</v>
      </c>
      <c r="AE577" s="17">
        <v>258398148</v>
      </c>
      <c r="AF577" s="14" t="s">
        <v>123</v>
      </c>
      <c r="AG577" s="21" t="s">
        <v>923</v>
      </c>
      <c r="AH577" s="10">
        <v>150403304</v>
      </c>
      <c r="AI577" s="24" t="str">
        <f>VLOOKUP(Sales[[#This Row],[Store]],'Store lay bao  cao'!A:B,2,0)</f>
        <v>Lấy BC</v>
      </c>
      <c r="AJ577" s="24" t="str">
        <f>VLOOKUP(Sales[[#This Row],[Associate]],'Associate Status'!B:C,2,0)</f>
        <v>Active</v>
      </c>
    </row>
    <row r="578" spans="1:36" x14ac:dyDescent="0.25">
      <c r="A578" s="7">
        <v>2025</v>
      </c>
      <c r="B578" s="8">
        <v>1</v>
      </c>
      <c r="C578" s="8">
        <v>1</v>
      </c>
      <c r="D578" s="8" t="s">
        <v>63</v>
      </c>
      <c r="E578" s="8" t="s">
        <v>34</v>
      </c>
      <c r="F578" s="8" t="s">
        <v>63</v>
      </c>
      <c r="G578" s="9">
        <v>103555910</v>
      </c>
      <c r="H578" s="10">
        <v>102217500</v>
      </c>
      <c r="I578" s="11">
        <v>45661</v>
      </c>
      <c r="J578" s="12">
        <v>209317</v>
      </c>
      <c r="K578" s="13" t="s">
        <v>737</v>
      </c>
      <c r="L578" s="14" t="s">
        <v>65</v>
      </c>
      <c r="M578" s="11" t="s">
        <v>15</v>
      </c>
      <c r="N578" s="14" t="s">
        <v>62</v>
      </c>
      <c r="O578" s="15">
        <v>5550</v>
      </c>
      <c r="P578" s="12">
        <v>1</v>
      </c>
      <c r="Q578" s="13" t="s">
        <v>144</v>
      </c>
      <c r="R578" s="16">
        <v>254408000</v>
      </c>
      <c r="S578" s="17">
        <v>235562963</v>
      </c>
      <c r="T578" s="12">
        <v>2</v>
      </c>
      <c r="U578" s="18">
        <v>4807407</v>
      </c>
      <c r="V578" s="19">
        <v>5192000</v>
      </c>
      <c r="W578" s="13" t="s">
        <v>104</v>
      </c>
      <c r="X578" s="14" t="s">
        <v>1916</v>
      </c>
      <c r="Y578" s="13" t="s">
        <v>167</v>
      </c>
      <c r="Z578" s="14" t="s">
        <v>1972</v>
      </c>
      <c r="AA578" s="17">
        <v>17</v>
      </c>
      <c r="AB578" s="14" t="s">
        <v>173</v>
      </c>
      <c r="AC578" s="17">
        <v>259600000</v>
      </c>
      <c r="AD578" s="14" t="s">
        <v>108</v>
      </c>
      <c r="AE578" s="17">
        <v>240370370</v>
      </c>
      <c r="AF578" s="14" t="s">
        <v>106</v>
      </c>
      <c r="AG578" s="20" t="s">
        <v>168</v>
      </c>
      <c r="AH578" s="10">
        <v>132007053</v>
      </c>
      <c r="AI578" s="24" t="str">
        <f>VLOOKUP(Sales[[#This Row],[Store]],'Store lay bao  cao'!A:B,2,0)</f>
        <v>Lấy BC</v>
      </c>
      <c r="AJ578" s="24" t="str">
        <f>VLOOKUP(Sales[[#This Row],[Associate]],'Associate Status'!B:C,2,0)</f>
        <v>Active</v>
      </c>
    </row>
    <row r="579" spans="1:36" x14ac:dyDescent="0.25">
      <c r="A579" s="7">
        <v>2025</v>
      </c>
      <c r="B579" s="8">
        <v>1</v>
      </c>
      <c r="C579" s="8">
        <v>2</v>
      </c>
      <c r="D579" s="8" t="s">
        <v>60</v>
      </c>
      <c r="E579" s="8" t="s">
        <v>43</v>
      </c>
      <c r="F579" s="8" t="s">
        <v>60</v>
      </c>
      <c r="G579" s="9">
        <v>10478376</v>
      </c>
      <c r="H579" s="10">
        <v>11088495</v>
      </c>
      <c r="I579" s="11">
        <v>45664</v>
      </c>
      <c r="J579" s="12">
        <v>206887</v>
      </c>
      <c r="K579" s="13" t="s">
        <v>1974</v>
      </c>
      <c r="L579" s="14" t="s">
        <v>58</v>
      </c>
      <c r="M579" s="11" t="s">
        <v>17</v>
      </c>
      <c r="N579" s="14" t="s">
        <v>11</v>
      </c>
      <c r="O579" s="15">
        <v>9013</v>
      </c>
      <c r="P579" s="12">
        <v>1</v>
      </c>
      <c r="Q579" s="13" t="s">
        <v>101</v>
      </c>
      <c r="R579" s="16">
        <v>36138000</v>
      </c>
      <c r="S579" s="17">
        <v>33461111</v>
      </c>
      <c r="T579" s="12">
        <v>5</v>
      </c>
      <c r="U579" s="18">
        <v>1761111</v>
      </c>
      <c r="V579" s="19">
        <v>1902000</v>
      </c>
      <c r="W579" s="13" t="s">
        <v>427</v>
      </c>
      <c r="X579" s="14" t="s">
        <v>1975</v>
      </c>
      <c r="Y579" s="13" t="s">
        <v>276</v>
      </c>
      <c r="Z579" s="14" t="s">
        <v>1862</v>
      </c>
      <c r="AA579" s="17">
        <v>13</v>
      </c>
      <c r="AB579" s="14" t="s">
        <v>788</v>
      </c>
      <c r="AC579" s="17">
        <v>38040000</v>
      </c>
      <c r="AD579" s="14">
        <v>11</v>
      </c>
      <c r="AE579" s="17">
        <v>35222222</v>
      </c>
      <c r="AF579" s="14" t="s">
        <v>121</v>
      </c>
      <c r="AG579" s="21" t="s">
        <v>277</v>
      </c>
      <c r="AH579" s="10">
        <v>22982735</v>
      </c>
      <c r="AI579" s="24" t="str">
        <f>VLOOKUP(Sales[[#This Row],[Store]],'Store lay bao  cao'!A:B,2,0)</f>
        <v>Lấy BC</v>
      </c>
      <c r="AJ579" s="24" t="str">
        <f>VLOOKUP(Sales[[#This Row],[Associate]],'Associate Status'!B:C,2,0)</f>
        <v>Active</v>
      </c>
    </row>
    <row r="580" spans="1:36" x14ac:dyDescent="0.25">
      <c r="A580" s="7">
        <v>2025</v>
      </c>
      <c r="B580" s="8">
        <v>1</v>
      </c>
      <c r="C580" s="8">
        <v>2</v>
      </c>
      <c r="D580" s="8" t="s">
        <v>60</v>
      </c>
      <c r="E580" s="8" t="s">
        <v>37</v>
      </c>
      <c r="F580" s="8" t="s">
        <v>60</v>
      </c>
      <c r="G580" s="9">
        <v>12202062</v>
      </c>
      <c r="H580" s="10">
        <v>12224025.000000002</v>
      </c>
      <c r="I580" s="11">
        <v>45664</v>
      </c>
      <c r="J580" s="12">
        <v>202706</v>
      </c>
      <c r="K580" s="13" t="s">
        <v>1974</v>
      </c>
      <c r="L580" s="14" t="s">
        <v>58</v>
      </c>
      <c r="M580" s="11" t="s">
        <v>17</v>
      </c>
      <c r="N580" s="14" t="s">
        <v>11</v>
      </c>
      <c r="O580" s="15">
        <v>9013</v>
      </c>
      <c r="P580" s="12">
        <v>1</v>
      </c>
      <c r="Q580" s="13" t="s">
        <v>101</v>
      </c>
      <c r="R580" s="16">
        <v>43025500</v>
      </c>
      <c r="S580" s="17">
        <v>39838426</v>
      </c>
      <c r="T580" s="12">
        <v>5</v>
      </c>
      <c r="U580" s="18">
        <v>2096759</v>
      </c>
      <c r="V580" s="19">
        <v>2264500</v>
      </c>
      <c r="W580" s="13" t="s">
        <v>427</v>
      </c>
      <c r="X580" s="14" t="s">
        <v>1976</v>
      </c>
      <c r="Y580" s="13" t="s">
        <v>276</v>
      </c>
      <c r="Z580" s="14" t="s">
        <v>1977</v>
      </c>
      <c r="AA580" s="17">
        <v>13</v>
      </c>
      <c r="AB580" s="14" t="s">
        <v>1498</v>
      </c>
      <c r="AC580" s="17">
        <v>45290000</v>
      </c>
      <c r="AD580" s="14">
        <v>420</v>
      </c>
      <c r="AE580" s="17">
        <v>41935185</v>
      </c>
      <c r="AF580" s="14" t="s">
        <v>121</v>
      </c>
      <c r="AG580" s="20" t="s">
        <v>277</v>
      </c>
      <c r="AH580" s="10">
        <v>27636364</v>
      </c>
      <c r="AI580" s="24" t="str">
        <f>VLOOKUP(Sales[[#This Row],[Store]],'Store lay bao  cao'!A:B,2,0)</f>
        <v>Lấy BC</v>
      </c>
      <c r="AJ580" s="24" t="str">
        <f>VLOOKUP(Sales[[#This Row],[Associate]],'Associate Status'!B:C,2,0)</f>
        <v>Active</v>
      </c>
    </row>
    <row r="581" spans="1:36" x14ac:dyDescent="0.25">
      <c r="A581" s="7">
        <v>2025</v>
      </c>
      <c r="B581" s="8">
        <v>1</v>
      </c>
      <c r="C581" s="8">
        <v>2</v>
      </c>
      <c r="D581" s="8" t="s">
        <v>60</v>
      </c>
      <c r="E581" s="8" t="s">
        <v>43</v>
      </c>
      <c r="F581" s="8" t="s">
        <v>60</v>
      </c>
      <c r="G581" s="9">
        <v>79109585</v>
      </c>
      <c r="H581" s="10">
        <v>79251975.000000015</v>
      </c>
      <c r="I581" s="11">
        <v>45669</v>
      </c>
      <c r="J581" s="12">
        <v>202681</v>
      </c>
      <c r="K581" s="13" t="s">
        <v>739</v>
      </c>
      <c r="L581" s="14" t="s">
        <v>58</v>
      </c>
      <c r="M581" s="11" t="s">
        <v>15</v>
      </c>
      <c r="N581" s="14" t="s">
        <v>11</v>
      </c>
      <c r="O581" s="15">
        <v>5586</v>
      </c>
      <c r="P581" s="12">
        <v>1</v>
      </c>
      <c r="Q581" s="13" t="s">
        <v>102</v>
      </c>
      <c r="R581" s="16">
        <v>215318700</v>
      </c>
      <c r="S581" s="17">
        <v>199369167</v>
      </c>
      <c r="T581" s="12">
        <v>10</v>
      </c>
      <c r="U581" s="18">
        <v>22152130</v>
      </c>
      <c r="V581" s="19">
        <v>23924300</v>
      </c>
      <c r="W581" s="13" t="s">
        <v>104</v>
      </c>
      <c r="X581" s="14" t="s">
        <v>1980</v>
      </c>
      <c r="Y581" s="13" t="s">
        <v>1952</v>
      </c>
      <c r="Z581" s="14" t="s">
        <v>1981</v>
      </c>
      <c r="AA581" s="17">
        <v>18</v>
      </c>
      <c r="AB581" s="14" t="s">
        <v>1498</v>
      </c>
      <c r="AC581" s="17">
        <v>239243000</v>
      </c>
      <c r="AD581" s="14">
        <v>14</v>
      </c>
      <c r="AE581" s="17">
        <v>221521296</v>
      </c>
      <c r="AF581" s="14" t="s">
        <v>106</v>
      </c>
      <c r="AG581" s="21"/>
      <c r="AH581" s="10">
        <v>120259582</v>
      </c>
      <c r="AI581" s="24" t="str">
        <f>VLOOKUP(Sales[[#This Row],[Store]],'Store lay bao  cao'!A:B,2,0)</f>
        <v>Lấy BC</v>
      </c>
      <c r="AJ581" s="24" t="str">
        <f>VLOOKUP(Sales[[#This Row],[Associate]],'Associate Status'!B:C,2,0)</f>
        <v>Active</v>
      </c>
    </row>
    <row r="582" spans="1:36" ht="90" x14ac:dyDescent="0.25">
      <c r="A582" s="7">
        <v>2025</v>
      </c>
      <c r="B582" s="8">
        <v>1</v>
      </c>
      <c r="C582" s="8">
        <v>2</v>
      </c>
      <c r="D582" s="8" t="s">
        <v>60</v>
      </c>
      <c r="E582" s="8" t="s">
        <v>34</v>
      </c>
      <c r="F582" s="8" t="s">
        <v>60</v>
      </c>
      <c r="G582" s="9">
        <v>141234119</v>
      </c>
      <c r="H582" s="10">
        <v>141488325.00000003</v>
      </c>
      <c r="I582" s="11">
        <v>45669</v>
      </c>
      <c r="J582" s="12">
        <v>202684</v>
      </c>
      <c r="K582" s="13" t="s">
        <v>739</v>
      </c>
      <c r="L582" s="14" t="s">
        <v>58</v>
      </c>
      <c r="M582" s="11" t="s">
        <v>15</v>
      </c>
      <c r="N582" s="14" t="s">
        <v>11</v>
      </c>
      <c r="O582" s="15">
        <v>5586</v>
      </c>
      <c r="P582" s="12">
        <v>1</v>
      </c>
      <c r="Q582" s="13" t="s">
        <v>102</v>
      </c>
      <c r="R582" s="16">
        <v>346965300</v>
      </c>
      <c r="S582" s="17">
        <v>321264167</v>
      </c>
      <c r="T582" s="12">
        <v>10</v>
      </c>
      <c r="U582" s="18">
        <v>35696019</v>
      </c>
      <c r="V582" s="19">
        <v>38551700</v>
      </c>
      <c r="W582" s="13" t="s">
        <v>104</v>
      </c>
      <c r="X582" s="23" t="s">
        <v>1982</v>
      </c>
      <c r="Y582" s="13" t="s">
        <v>1952</v>
      </c>
      <c r="Z582" s="14" t="s">
        <v>1983</v>
      </c>
      <c r="AA582" s="17">
        <v>18</v>
      </c>
      <c r="AB582" s="14" t="s">
        <v>1498</v>
      </c>
      <c r="AC582" s="17">
        <v>385517000</v>
      </c>
      <c r="AD582" s="14" t="s">
        <v>108</v>
      </c>
      <c r="AE582" s="17">
        <v>356960185</v>
      </c>
      <c r="AF582" s="14" t="s">
        <v>106</v>
      </c>
      <c r="AG582" s="20"/>
      <c r="AH582" s="10">
        <v>180030048</v>
      </c>
      <c r="AI582" s="24" t="str">
        <f>VLOOKUP(Sales[[#This Row],[Store]],'Store lay bao  cao'!A:B,2,0)</f>
        <v>Lấy BC</v>
      </c>
      <c r="AJ582" s="24" t="str">
        <f>VLOOKUP(Sales[[#This Row],[Associate]],'Associate Status'!B:C,2,0)</f>
        <v>Active</v>
      </c>
    </row>
    <row r="583" spans="1:36" x14ac:dyDescent="0.25">
      <c r="A583" s="7">
        <v>2025</v>
      </c>
      <c r="B583" s="8">
        <v>1</v>
      </c>
      <c r="C583" s="8">
        <v>2</v>
      </c>
      <c r="D583" s="8" t="s">
        <v>60</v>
      </c>
      <c r="E583" s="8" t="s">
        <v>37</v>
      </c>
      <c r="F583" s="8" t="s">
        <v>60</v>
      </c>
      <c r="G583" s="9">
        <v>1945223</v>
      </c>
      <c r="H583" s="10">
        <v>1453500</v>
      </c>
      <c r="I583" s="11">
        <v>45669</v>
      </c>
      <c r="J583" s="12">
        <v>202783</v>
      </c>
      <c r="K583" s="13" t="s">
        <v>1985</v>
      </c>
      <c r="L583" s="14" t="s">
        <v>19</v>
      </c>
      <c r="M583" s="11" t="s">
        <v>17</v>
      </c>
      <c r="N583" s="14" t="s">
        <v>62</v>
      </c>
      <c r="O583" s="15">
        <v>9027</v>
      </c>
      <c r="P583" s="12">
        <v>1</v>
      </c>
      <c r="Q583" s="13" t="s">
        <v>144</v>
      </c>
      <c r="R583" s="16">
        <v>4335300</v>
      </c>
      <c r="S583" s="17">
        <v>4014167</v>
      </c>
      <c r="T583" s="12">
        <v>10</v>
      </c>
      <c r="U583" s="18">
        <v>446019</v>
      </c>
      <c r="V583" s="19">
        <v>481700</v>
      </c>
      <c r="W583" s="13" t="s">
        <v>427</v>
      </c>
      <c r="X583" s="14" t="s">
        <v>1986</v>
      </c>
      <c r="Y583" s="13" t="s">
        <v>1943</v>
      </c>
      <c r="Z583" s="14" t="s">
        <v>1987</v>
      </c>
      <c r="AA583" s="17">
        <v>12</v>
      </c>
      <c r="AB583" s="14" t="s">
        <v>220</v>
      </c>
      <c r="AC583" s="17">
        <v>4817000</v>
      </c>
      <c r="AD583" s="14" t="s">
        <v>108</v>
      </c>
      <c r="AE583" s="17">
        <v>4460185</v>
      </c>
      <c r="AF583" s="14" t="s">
        <v>121</v>
      </c>
      <c r="AG583" s="21" t="s">
        <v>1944</v>
      </c>
      <c r="AH583" s="10">
        <v>2068944</v>
      </c>
      <c r="AI583" s="24" t="str">
        <f>VLOOKUP(Sales[[#This Row],[Store]],'Store lay bao  cao'!A:B,2,0)</f>
        <v>Lấy BC</v>
      </c>
      <c r="AJ583" s="24" t="str">
        <f>VLOOKUP(Sales[[#This Row],[Associate]],'Associate Status'!B:C,2,0)</f>
        <v>Active</v>
      </c>
    </row>
    <row r="584" spans="1:36" x14ac:dyDescent="0.25">
      <c r="A584" s="7">
        <v>2025</v>
      </c>
      <c r="B584" s="8">
        <v>1</v>
      </c>
      <c r="C584" s="8">
        <v>2</v>
      </c>
      <c r="D584" s="8" t="s">
        <v>63</v>
      </c>
      <c r="E584" s="8" t="s">
        <v>34</v>
      </c>
      <c r="F584" s="8" t="s">
        <v>63</v>
      </c>
      <c r="G584" s="9">
        <v>505291</v>
      </c>
      <c r="H584" s="10">
        <v>458724.60000000003</v>
      </c>
      <c r="I584" s="11">
        <v>45669</v>
      </c>
      <c r="J584" s="12">
        <v>205046</v>
      </c>
      <c r="K584" s="13" t="s">
        <v>1988</v>
      </c>
      <c r="L584" s="14" t="s">
        <v>47</v>
      </c>
      <c r="M584" s="11" t="s">
        <v>21</v>
      </c>
      <c r="N584" s="14" t="s">
        <v>62</v>
      </c>
      <c r="O584" s="15">
        <v>9028</v>
      </c>
      <c r="P584" s="12">
        <v>1</v>
      </c>
      <c r="Q584" s="13" t="s">
        <v>101</v>
      </c>
      <c r="R584" s="16">
        <v>2753000</v>
      </c>
      <c r="S584" s="17">
        <v>2549074</v>
      </c>
      <c r="T584" s="12">
        <v>0</v>
      </c>
      <c r="U584" s="18">
        <v>0</v>
      </c>
      <c r="V584" s="19">
        <v>0</v>
      </c>
      <c r="W584" s="13" t="s">
        <v>160</v>
      </c>
      <c r="X584" s="14" t="s">
        <v>1990</v>
      </c>
      <c r="Y584" s="13" t="s">
        <v>360</v>
      </c>
      <c r="Z584" s="14">
        <v>49</v>
      </c>
      <c r="AA584" s="17">
        <v>20</v>
      </c>
      <c r="AB584" s="14" t="s">
        <v>341</v>
      </c>
      <c r="AC584" s="17">
        <v>2753000</v>
      </c>
      <c r="AD584" s="14" t="s">
        <v>1969</v>
      </c>
      <c r="AE584" s="17">
        <v>2549074</v>
      </c>
      <c r="AF584" s="14" t="s">
        <v>752</v>
      </c>
      <c r="AG584" s="20" t="s">
        <v>1989</v>
      </c>
      <c r="AH584" s="10">
        <v>2043783</v>
      </c>
      <c r="AI584" s="24" t="str">
        <f>VLOOKUP(Sales[[#This Row],[Store]],'Store lay bao  cao'!A:B,2,0)</f>
        <v>Lấy BC</v>
      </c>
      <c r="AJ584" s="24" t="str">
        <f>VLOOKUP(Sales[[#This Row],[Associate]],'Associate Status'!B:C,2,0)</f>
        <v>Retired</v>
      </c>
    </row>
    <row r="585" spans="1:36" x14ac:dyDescent="0.25">
      <c r="A585" s="7">
        <v>2025</v>
      </c>
      <c r="B585" s="8">
        <v>1</v>
      </c>
      <c r="C585" s="8">
        <v>3</v>
      </c>
      <c r="D585" s="8" t="s">
        <v>66</v>
      </c>
      <c r="E585" s="8" t="s">
        <v>34</v>
      </c>
      <c r="F585" s="8" t="s">
        <v>66</v>
      </c>
      <c r="G585" s="9">
        <v>89057397</v>
      </c>
      <c r="H585" s="10">
        <v>87216750</v>
      </c>
      <c r="I585" s="11">
        <v>45670</v>
      </c>
      <c r="J585" s="12">
        <v>216113</v>
      </c>
      <c r="K585" s="13" t="s">
        <v>1992</v>
      </c>
      <c r="L585" s="14" t="s">
        <v>65</v>
      </c>
      <c r="M585" s="11" t="s">
        <v>17</v>
      </c>
      <c r="N585" s="14" t="s">
        <v>62</v>
      </c>
      <c r="O585" s="15">
        <v>9035</v>
      </c>
      <c r="P585" s="12">
        <v>1</v>
      </c>
      <c r="Q585" s="13" t="s">
        <v>175</v>
      </c>
      <c r="R585" s="16">
        <v>197400000</v>
      </c>
      <c r="S585" s="17">
        <v>182777778</v>
      </c>
      <c r="T585" s="12">
        <v>0</v>
      </c>
      <c r="U585" s="18">
        <v>0</v>
      </c>
      <c r="V585" s="19">
        <v>0</v>
      </c>
      <c r="W585" s="13" t="s">
        <v>427</v>
      </c>
      <c r="X585" s="14" t="s">
        <v>1993</v>
      </c>
      <c r="Y585" s="13" t="s">
        <v>815</v>
      </c>
      <c r="Z585" s="14" t="s">
        <v>1994</v>
      </c>
      <c r="AA585" s="17">
        <v>12</v>
      </c>
      <c r="AB585" s="14" t="s">
        <v>173</v>
      </c>
      <c r="AC585" s="17">
        <v>197400000</v>
      </c>
      <c r="AD585" s="14" t="s">
        <v>1969</v>
      </c>
      <c r="AE585" s="17">
        <v>182777778</v>
      </c>
      <c r="AF585" s="14" t="s">
        <v>121</v>
      </c>
      <c r="AG585" s="21" t="s">
        <v>816</v>
      </c>
      <c r="AH585" s="10">
        <v>93720381</v>
      </c>
      <c r="AI585" s="24" t="str">
        <f>VLOOKUP(Sales[[#This Row],[Store]],'Store lay bao  cao'!A:B,2,0)</f>
        <v>Lấy BC</v>
      </c>
      <c r="AJ585" s="24" t="str">
        <f>VLOOKUP(Sales[[#This Row],[Associate]],'Associate Status'!B:C,2,0)</f>
        <v>Active</v>
      </c>
    </row>
    <row r="586" spans="1:36" x14ac:dyDescent="0.25">
      <c r="A586" s="7">
        <v>2025</v>
      </c>
      <c r="B586" s="8">
        <v>1</v>
      </c>
      <c r="C586" s="8">
        <v>3</v>
      </c>
      <c r="D586" s="8" t="s">
        <v>63</v>
      </c>
      <c r="E586" s="8" t="s">
        <v>34</v>
      </c>
      <c r="F586" s="8" t="s">
        <v>63</v>
      </c>
      <c r="G586" s="9">
        <v>104613224</v>
      </c>
      <c r="H586" s="10">
        <v>106287500</v>
      </c>
      <c r="I586" s="11">
        <v>45671</v>
      </c>
      <c r="J586" s="12">
        <v>205074</v>
      </c>
      <c r="K586" s="13" t="s">
        <v>1995</v>
      </c>
      <c r="L586" s="14" t="s">
        <v>55</v>
      </c>
      <c r="M586" s="11" t="s">
        <v>17</v>
      </c>
      <c r="N586" s="14" t="s">
        <v>62</v>
      </c>
      <c r="O586" s="15">
        <v>9042</v>
      </c>
      <c r="P586" s="12">
        <v>1</v>
      </c>
      <c r="Q586" s="13" t="s">
        <v>110</v>
      </c>
      <c r="R586" s="16">
        <v>195000000</v>
      </c>
      <c r="S586" s="17">
        <v>180555556</v>
      </c>
      <c r="T586" s="12">
        <v>0</v>
      </c>
      <c r="U586" s="18">
        <v>0</v>
      </c>
      <c r="V586" s="19">
        <v>0</v>
      </c>
      <c r="W586" s="13" t="s">
        <v>427</v>
      </c>
      <c r="X586" s="14" t="s">
        <v>1996</v>
      </c>
      <c r="Y586" s="13" t="s">
        <v>404</v>
      </c>
      <c r="Z586" s="14" t="s">
        <v>1997</v>
      </c>
      <c r="AA586" s="17">
        <v>14</v>
      </c>
      <c r="AB586" s="14" t="s">
        <v>1998</v>
      </c>
      <c r="AC586" s="17">
        <v>195000000</v>
      </c>
      <c r="AD586" s="14" t="s">
        <v>108</v>
      </c>
      <c r="AE586" s="17">
        <v>180555556</v>
      </c>
      <c r="AF586" s="14" t="s">
        <v>125</v>
      </c>
      <c r="AG586" s="20" t="s">
        <v>405</v>
      </c>
      <c r="AH586" s="10">
        <v>75942332</v>
      </c>
      <c r="AI586" s="24" t="str">
        <f>VLOOKUP(Sales[[#This Row],[Store]],'Store lay bao  cao'!A:B,2,0)</f>
        <v>Lấy BC</v>
      </c>
      <c r="AJ586" s="24" t="str">
        <f>VLOOKUP(Sales[[#This Row],[Associate]],'Associate Status'!B:C,2,0)</f>
        <v>Active</v>
      </c>
    </row>
    <row r="587" spans="1:36" x14ac:dyDescent="0.25">
      <c r="A587" s="7">
        <v>2025</v>
      </c>
      <c r="B587" s="8">
        <v>1</v>
      </c>
      <c r="C587" s="8">
        <v>3</v>
      </c>
      <c r="D587" s="8" t="s">
        <v>63</v>
      </c>
      <c r="E587" s="8" t="s">
        <v>37</v>
      </c>
      <c r="F587" s="8" t="s">
        <v>63</v>
      </c>
      <c r="G587" s="9">
        <v>1200493</v>
      </c>
      <c r="H587" s="10">
        <v>1019388</v>
      </c>
      <c r="I587" s="11">
        <v>45676</v>
      </c>
      <c r="J587" s="12">
        <v>205030</v>
      </c>
      <c r="K587" s="13" t="s">
        <v>741</v>
      </c>
      <c r="L587" s="14" t="s">
        <v>47</v>
      </c>
      <c r="M587" s="11" t="s">
        <v>15</v>
      </c>
      <c r="N587" s="14" t="s">
        <v>62</v>
      </c>
      <c r="O587" s="15">
        <v>5614</v>
      </c>
      <c r="P587" s="12">
        <v>1</v>
      </c>
      <c r="Q587" s="13" t="s">
        <v>110</v>
      </c>
      <c r="R587" s="16">
        <v>6117000</v>
      </c>
      <c r="S587" s="17">
        <v>5663889</v>
      </c>
      <c r="T587" s="12">
        <v>0</v>
      </c>
      <c r="U587" s="18">
        <v>0</v>
      </c>
      <c r="V587" s="19">
        <v>0</v>
      </c>
      <c r="W587" s="13" t="s">
        <v>135</v>
      </c>
      <c r="X587" s="14" t="s">
        <v>2000</v>
      </c>
      <c r="Y587" s="13" t="s">
        <v>718</v>
      </c>
      <c r="Z587" s="14">
        <v>33</v>
      </c>
      <c r="AA587" s="17">
        <v>19</v>
      </c>
      <c r="AB587" s="14" t="s">
        <v>1984</v>
      </c>
      <c r="AC587" s="17">
        <v>6117000</v>
      </c>
      <c r="AD587" s="14" t="s">
        <v>1969</v>
      </c>
      <c r="AE587" s="17">
        <v>5663889</v>
      </c>
      <c r="AF587" s="14" t="s">
        <v>1978</v>
      </c>
      <c r="AG587" s="21" t="s">
        <v>719</v>
      </c>
      <c r="AH587" s="10">
        <v>4463396</v>
      </c>
      <c r="AI587" s="24" t="str">
        <f>VLOOKUP(Sales[[#This Row],[Store]],'Store lay bao  cao'!A:B,2,0)</f>
        <v>Lấy BC</v>
      </c>
      <c r="AJ587" s="24" t="str">
        <f>VLOOKUP(Sales[[#This Row],[Associate]],'Associate Status'!B:C,2,0)</f>
        <v>Active</v>
      </c>
    </row>
    <row r="588" spans="1:36" x14ac:dyDescent="0.25">
      <c r="A588" s="7">
        <v>2025</v>
      </c>
      <c r="B588" s="8">
        <v>1</v>
      </c>
      <c r="C588" s="8">
        <v>4</v>
      </c>
      <c r="D588" s="8" t="s">
        <v>60</v>
      </c>
      <c r="E588" s="8" t="s">
        <v>43</v>
      </c>
      <c r="F588" s="8" t="s">
        <v>60</v>
      </c>
      <c r="G588" s="9">
        <v>1750701</v>
      </c>
      <c r="H588" s="10">
        <v>1308150</v>
      </c>
      <c r="I588" s="11">
        <v>45677</v>
      </c>
      <c r="J588" s="12">
        <v>202789</v>
      </c>
      <c r="K588" s="13" t="s">
        <v>740</v>
      </c>
      <c r="L588" s="14" t="s">
        <v>19</v>
      </c>
      <c r="M588" s="11" t="s">
        <v>15</v>
      </c>
      <c r="N588" s="14" t="s">
        <v>62</v>
      </c>
      <c r="O588" s="15">
        <v>5617</v>
      </c>
      <c r="P588" s="12">
        <v>1</v>
      </c>
      <c r="Q588" s="13" t="s">
        <v>101</v>
      </c>
      <c r="R588" s="16">
        <v>4335000</v>
      </c>
      <c r="S588" s="17">
        <v>4013889</v>
      </c>
      <c r="T588" s="12">
        <v>0</v>
      </c>
      <c r="U588" s="18">
        <v>0</v>
      </c>
      <c r="V588" s="19">
        <v>0</v>
      </c>
      <c r="W588" s="13" t="s">
        <v>135</v>
      </c>
      <c r="X588" s="14" t="s">
        <v>2001</v>
      </c>
      <c r="Y588" s="13" t="s">
        <v>627</v>
      </c>
      <c r="Z588" s="14" t="s">
        <v>2002</v>
      </c>
      <c r="AA588" s="17">
        <v>14</v>
      </c>
      <c r="AB588" s="14" t="s">
        <v>2003</v>
      </c>
      <c r="AC588" s="17">
        <v>4335000</v>
      </c>
      <c r="AD588" s="14">
        <v>53</v>
      </c>
      <c r="AE588" s="17">
        <v>4013889</v>
      </c>
      <c r="AF588" s="14" t="s">
        <v>1973</v>
      </c>
      <c r="AG588" s="20" t="s">
        <v>628</v>
      </c>
      <c r="AH588" s="10">
        <v>2263188</v>
      </c>
      <c r="AI588" s="24" t="str">
        <f>VLOOKUP(Sales[[#This Row],[Store]],'Store lay bao  cao'!A:B,2,0)</f>
        <v>Lấy BC</v>
      </c>
      <c r="AJ588" s="24" t="str">
        <f>VLOOKUP(Sales[[#This Row],[Associate]],'Associate Status'!B:C,2,0)</f>
        <v>Active</v>
      </c>
    </row>
    <row r="589" spans="1:36" x14ac:dyDescent="0.25">
      <c r="A589" s="7">
        <v>2025</v>
      </c>
      <c r="B589" s="8">
        <v>1</v>
      </c>
      <c r="C589" s="8">
        <v>4</v>
      </c>
      <c r="D589" s="8" t="s">
        <v>60</v>
      </c>
      <c r="E589" s="8" t="s">
        <v>53</v>
      </c>
      <c r="F589" s="8" t="s">
        <v>60</v>
      </c>
      <c r="G589" s="9">
        <v>3186627</v>
      </c>
      <c r="H589" s="10">
        <v>2964000</v>
      </c>
      <c r="I589" s="11">
        <v>45678</v>
      </c>
      <c r="J589" s="12">
        <v>208267</v>
      </c>
      <c r="K589" s="13" t="s">
        <v>2005</v>
      </c>
      <c r="L589" s="14" t="s">
        <v>50</v>
      </c>
      <c r="M589" s="11" t="s">
        <v>28</v>
      </c>
      <c r="N589" s="14" t="s">
        <v>11</v>
      </c>
      <c r="O589" s="15">
        <v>2865</v>
      </c>
      <c r="P589" s="12">
        <v>1</v>
      </c>
      <c r="Q589" s="13" t="s">
        <v>101</v>
      </c>
      <c r="R589" s="16">
        <v>9485000</v>
      </c>
      <c r="S589" s="17">
        <v>8782407</v>
      </c>
      <c r="T589" s="12">
        <v>0</v>
      </c>
      <c r="U589" s="18">
        <v>0</v>
      </c>
      <c r="V589" s="19">
        <v>0</v>
      </c>
      <c r="W589" s="13" t="s">
        <v>1237</v>
      </c>
      <c r="X589" s="14" t="s">
        <v>2006</v>
      </c>
      <c r="Y589" s="13" t="s">
        <v>1937</v>
      </c>
      <c r="Z589" s="14" t="s">
        <v>2007</v>
      </c>
      <c r="AA589" s="17">
        <v>16</v>
      </c>
      <c r="AB589" s="14" t="s">
        <v>1897</v>
      </c>
      <c r="AC589" s="17">
        <v>9485000</v>
      </c>
      <c r="AD589" s="14" t="s">
        <v>108</v>
      </c>
      <c r="AE589" s="17">
        <v>8782407</v>
      </c>
      <c r="AF589" s="14" t="s">
        <v>782</v>
      </c>
      <c r="AG589" s="21" t="s">
        <v>1938</v>
      </c>
      <c r="AH589" s="10">
        <v>5595780</v>
      </c>
      <c r="AI589" s="24" t="str">
        <f>VLOOKUP(Sales[[#This Row],[Store]],'Store lay bao  cao'!A:B,2,0)</f>
        <v>Lấy BC</v>
      </c>
      <c r="AJ589" s="24" t="e">
        <f>VLOOKUP(Sales[[#This Row],[Associate]],'Associate Status'!B:C,2,0)</f>
        <v>#N/A</v>
      </c>
    </row>
    <row r="590" spans="1:36" x14ac:dyDescent="0.25">
      <c r="A590" s="7">
        <v>2025</v>
      </c>
      <c r="B590" s="8">
        <v>1</v>
      </c>
      <c r="C590" s="8">
        <v>4</v>
      </c>
      <c r="D590" s="8" t="s">
        <v>52</v>
      </c>
      <c r="E590" s="8" t="s">
        <v>43</v>
      </c>
      <c r="F590" s="8" t="s">
        <v>52</v>
      </c>
      <c r="G590" s="9">
        <v>2398111</v>
      </c>
      <c r="H590" s="10">
        <v>2160000</v>
      </c>
      <c r="I590" s="11">
        <v>45679</v>
      </c>
      <c r="J590" s="12">
        <v>182190</v>
      </c>
      <c r="K590" s="13" t="s">
        <v>2008</v>
      </c>
      <c r="L590" s="14" t="s">
        <v>50</v>
      </c>
      <c r="M590" s="11" t="s">
        <v>13</v>
      </c>
      <c r="N590" s="14" t="s">
        <v>11</v>
      </c>
      <c r="O590" s="15">
        <v>534</v>
      </c>
      <c r="P590" s="12">
        <v>1</v>
      </c>
      <c r="Q590" s="13" t="s">
        <v>156</v>
      </c>
      <c r="R590" s="16">
        <v>0</v>
      </c>
      <c r="S590" s="17">
        <v>0</v>
      </c>
      <c r="T590" s="12">
        <v>100</v>
      </c>
      <c r="U590" s="18">
        <v>6400000</v>
      </c>
      <c r="V590" s="19">
        <v>6912000</v>
      </c>
      <c r="W590" s="13" t="s">
        <v>901</v>
      </c>
      <c r="X590" s="14" t="s">
        <v>2009</v>
      </c>
      <c r="Y590" s="13" t="s">
        <v>765</v>
      </c>
      <c r="Z590" s="14" t="s">
        <v>2010</v>
      </c>
      <c r="AA590" s="17">
        <v>9</v>
      </c>
      <c r="AB590" s="14" t="s">
        <v>1247</v>
      </c>
      <c r="AC590" s="17">
        <v>6912000</v>
      </c>
      <c r="AD590" s="14">
        <v>12</v>
      </c>
      <c r="AE590" s="17">
        <v>6400000</v>
      </c>
      <c r="AF590" s="14" t="s">
        <v>997</v>
      </c>
      <c r="AG590" s="20"/>
      <c r="AH590" s="10">
        <v>-2398111</v>
      </c>
      <c r="AI590" s="24" t="str">
        <f>VLOOKUP(Sales[[#This Row],[Store]],'Store lay bao  cao'!A:B,2,0)</f>
        <v>Lấy BC</v>
      </c>
      <c r="AJ590" s="24" t="e">
        <f>VLOOKUP(Sales[[#This Row],[Associate]],'Associate Status'!B:C,2,0)</f>
        <v>#N/A</v>
      </c>
    </row>
    <row r="591" spans="1:36" x14ac:dyDescent="0.25">
      <c r="A591" s="7">
        <v>2025</v>
      </c>
      <c r="B591" s="8">
        <v>1</v>
      </c>
      <c r="C591" s="8">
        <v>4</v>
      </c>
      <c r="D591" s="8" t="s">
        <v>52</v>
      </c>
      <c r="E591" s="8" t="s">
        <v>34</v>
      </c>
      <c r="F591" s="8" t="s">
        <v>52</v>
      </c>
      <c r="G591" s="9">
        <v>6594803</v>
      </c>
      <c r="H591" s="10">
        <v>5940000</v>
      </c>
      <c r="I591" s="11">
        <v>45679</v>
      </c>
      <c r="J591" s="12">
        <v>182254</v>
      </c>
      <c r="K591" s="13" t="s">
        <v>2008</v>
      </c>
      <c r="L591" s="14" t="s">
        <v>50</v>
      </c>
      <c r="M591" s="11" t="s">
        <v>13</v>
      </c>
      <c r="N591" s="14" t="s">
        <v>11</v>
      </c>
      <c r="O591" s="15">
        <v>534</v>
      </c>
      <c r="P591" s="12">
        <v>1</v>
      </c>
      <c r="Q591" s="13" t="s">
        <v>156</v>
      </c>
      <c r="R591" s="16">
        <v>0</v>
      </c>
      <c r="S591" s="17">
        <v>0</v>
      </c>
      <c r="T591" s="12">
        <v>100</v>
      </c>
      <c r="U591" s="18">
        <v>17600000</v>
      </c>
      <c r="V591" s="19">
        <v>19008000</v>
      </c>
      <c r="W591" s="13" t="s">
        <v>901</v>
      </c>
      <c r="X591" s="14" t="s">
        <v>2011</v>
      </c>
      <c r="Y591" s="13" t="s">
        <v>765</v>
      </c>
      <c r="Z591" s="14" t="s">
        <v>2012</v>
      </c>
      <c r="AA591" s="17">
        <v>9</v>
      </c>
      <c r="AB591" s="14" t="s">
        <v>1247</v>
      </c>
      <c r="AC591" s="17">
        <v>19008000</v>
      </c>
      <c r="AD591" s="14" t="s">
        <v>108</v>
      </c>
      <c r="AE591" s="17">
        <v>17600000</v>
      </c>
      <c r="AF591" s="14" t="s">
        <v>997</v>
      </c>
      <c r="AG591" s="21"/>
      <c r="AH591" s="10">
        <v>-6594803</v>
      </c>
      <c r="AI591" s="24" t="str">
        <f>VLOOKUP(Sales[[#This Row],[Store]],'Store lay bao  cao'!A:B,2,0)</f>
        <v>Lấy BC</v>
      </c>
      <c r="AJ591" s="24" t="e">
        <f>VLOOKUP(Sales[[#This Row],[Associate]],'Associate Status'!B:C,2,0)</f>
        <v>#N/A</v>
      </c>
    </row>
    <row r="592" spans="1:36" x14ac:dyDescent="0.25">
      <c r="A592" s="7">
        <v>2025</v>
      </c>
      <c r="B592" s="8">
        <v>1</v>
      </c>
      <c r="C592" s="8">
        <v>5</v>
      </c>
      <c r="D592" s="8" t="s">
        <v>63</v>
      </c>
      <c r="E592" s="8" t="s">
        <v>37</v>
      </c>
      <c r="F592" s="8" t="s">
        <v>63</v>
      </c>
      <c r="G592" s="9">
        <v>1857529</v>
      </c>
      <c r="H592" s="10">
        <v>1732959.5999999999</v>
      </c>
      <c r="I592" s="11">
        <v>45684</v>
      </c>
      <c r="J592" s="12">
        <v>205013</v>
      </c>
      <c r="K592" s="13" t="s">
        <v>2013</v>
      </c>
      <c r="L592" s="14" t="s">
        <v>47</v>
      </c>
      <c r="M592" s="11" t="s">
        <v>21</v>
      </c>
      <c r="N592" s="14" t="s">
        <v>62</v>
      </c>
      <c r="O592" s="15">
        <v>9123</v>
      </c>
      <c r="P592" s="12">
        <v>1</v>
      </c>
      <c r="Q592" s="13" t="s">
        <v>101</v>
      </c>
      <c r="R592" s="16">
        <v>10398000</v>
      </c>
      <c r="S592" s="17">
        <v>9627778</v>
      </c>
      <c r="T592" s="12">
        <v>0</v>
      </c>
      <c r="U592" s="18">
        <v>0</v>
      </c>
      <c r="V592" s="19">
        <v>0</v>
      </c>
      <c r="W592" s="13" t="s">
        <v>160</v>
      </c>
      <c r="X592" s="14" t="s">
        <v>2014</v>
      </c>
      <c r="Y592" s="13" t="s">
        <v>512</v>
      </c>
      <c r="Z592" s="14">
        <v>16</v>
      </c>
      <c r="AA592" s="17">
        <v>14</v>
      </c>
      <c r="AB592" s="14" t="s">
        <v>137</v>
      </c>
      <c r="AC592" s="17">
        <v>10398000</v>
      </c>
      <c r="AD592" s="14" t="s">
        <v>1969</v>
      </c>
      <c r="AE592" s="17">
        <v>9627778</v>
      </c>
      <c r="AF592" s="14" t="s">
        <v>132</v>
      </c>
      <c r="AG592" s="20" t="s">
        <v>513</v>
      </c>
      <c r="AH592" s="10">
        <v>7770249</v>
      </c>
      <c r="AI592" s="24" t="str">
        <f>VLOOKUP(Sales[[#This Row],[Store]],'Store lay bao  cao'!A:B,2,0)</f>
        <v>Lấy BC</v>
      </c>
      <c r="AJ592" s="24" t="str">
        <f>VLOOKUP(Sales[[#This Row],[Associate]],'Associate Status'!B:C,2,0)</f>
        <v>Retired</v>
      </c>
    </row>
    <row r="593" spans="1:36" x14ac:dyDescent="0.25">
      <c r="A593" s="7">
        <v>2025</v>
      </c>
      <c r="B593" s="8">
        <v>1</v>
      </c>
      <c r="C593" s="8">
        <v>5</v>
      </c>
      <c r="D593" s="8" t="s">
        <v>66</v>
      </c>
      <c r="E593" s="8" t="s">
        <v>34</v>
      </c>
      <c r="F593" s="8" t="s">
        <v>66</v>
      </c>
      <c r="G593" s="9">
        <v>21575074</v>
      </c>
      <c r="H593" s="10">
        <v>20682450</v>
      </c>
      <c r="I593" s="11">
        <v>45688</v>
      </c>
      <c r="J593" s="12">
        <v>214604</v>
      </c>
      <c r="K593" s="13" t="s">
        <v>748</v>
      </c>
      <c r="L593" s="14" t="s">
        <v>58</v>
      </c>
      <c r="M593" s="11" t="s">
        <v>15</v>
      </c>
      <c r="N593" s="14" t="s">
        <v>62</v>
      </c>
      <c r="O593" s="15">
        <v>5665</v>
      </c>
      <c r="P593" s="12">
        <v>1</v>
      </c>
      <c r="Q593" s="13" t="s">
        <v>102</v>
      </c>
      <c r="R593" s="16">
        <v>63432000</v>
      </c>
      <c r="S593" s="17">
        <v>58733333</v>
      </c>
      <c r="T593" s="12">
        <v>10</v>
      </c>
      <c r="U593" s="18">
        <v>6525926</v>
      </c>
      <c r="V593" s="19">
        <v>7048000</v>
      </c>
      <c r="W593" s="13" t="s">
        <v>104</v>
      </c>
      <c r="X593" s="14" t="s">
        <v>2015</v>
      </c>
      <c r="Y593" s="13" t="s">
        <v>1952</v>
      </c>
      <c r="Z593" s="14" t="s">
        <v>1123</v>
      </c>
      <c r="AA593" s="17">
        <v>11</v>
      </c>
      <c r="AB593" s="14" t="s">
        <v>1337</v>
      </c>
      <c r="AC593" s="17">
        <v>70480000</v>
      </c>
      <c r="AD593" s="14">
        <v>0</v>
      </c>
      <c r="AE593" s="17">
        <v>65259259</v>
      </c>
      <c r="AF593" s="14" t="s">
        <v>106</v>
      </c>
      <c r="AG593" s="21"/>
      <c r="AH593" s="10">
        <v>37158259</v>
      </c>
      <c r="AI593" s="24" t="str">
        <f>VLOOKUP(Sales[[#This Row],[Store]],'Store lay bao  cao'!A:B,2,0)</f>
        <v>Lấy BC</v>
      </c>
      <c r="AJ593" s="24" t="str">
        <f>VLOOKUP(Sales[[#This Row],[Associate]],'Associate Status'!B:C,2,0)</f>
        <v>Active</v>
      </c>
    </row>
    <row r="594" spans="1:36" x14ac:dyDescent="0.25">
      <c r="A594" s="7">
        <v>2025</v>
      </c>
      <c r="B594" s="8">
        <v>1</v>
      </c>
      <c r="C594" s="8">
        <v>5</v>
      </c>
      <c r="D594" s="8" t="s">
        <v>60</v>
      </c>
      <c r="E594" s="8" t="s">
        <v>37</v>
      </c>
      <c r="F594" s="8" t="s">
        <v>60</v>
      </c>
      <c r="G594" s="9">
        <v>15544257</v>
      </c>
      <c r="H594" s="10">
        <v>16449345</v>
      </c>
      <c r="I594" s="11">
        <v>45688</v>
      </c>
      <c r="J594" s="12">
        <v>206900</v>
      </c>
      <c r="K594" s="13" t="s">
        <v>748</v>
      </c>
      <c r="L594" s="14" t="s">
        <v>58</v>
      </c>
      <c r="M594" s="11" t="s">
        <v>15</v>
      </c>
      <c r="N594" s="14" t="s">
        <v>11</v>
      </c>
      <c r="O594" s="15">
        <v>5665</v>
      </c>
      <c r="P594" s="12">
        <v>1</v>
      </c>
      <c r="Q594" s="13" t="s">
        <v>102</v>
      </c>
      <c r="R594" s="16">
        <v>51192900</v>
      </c>
      <c r="S594" s="17">
        <v>47400833</v>
      </c>
      <c r="T594" s="12">
        <v>10</v>
      </c>
      <c r="U594" s="18">
        <v>5266759</v>
      </c>
      <c r="V594" s="19">
        <v>5688100</v>
      </c>
      <c r="W594" s="13" t="s">
        <v>104</v>
      </c>
      <c r="X594" s="14" t="s">
        <v>2016</v>
      </c>
      <c r="Y594" s="13" t="s">
        <v>1952</v>
      </c>
      <c r="Z594" s="14" t="s">
        <v>2017</v>
      </c>
      <c r="AA594" s="17">
        <v>11</v>
      </c>
      <c r="AB594" s="14" t="s">
        <v>1592</v>
      </c>
      <c r="AC594" s="17">
        <v>56881000</v>
      </c>
      <c r="AD594" s="14">
        <v>0</v>
      </c>
      <c r="AE594" s="17">
        <v>52667593</v>
      </c>
      <c r="AF594" s="14" t="s">
        <v>106</v>
      </c>
      <c r="AG594" s="20"/>
      <c r="AH594" s="10">
        <v>31856576</v>
      </c>
      <c r="AI594" s="24" t="str">
        <f>VLOOKUP(Sales[[#This Row],[Store]],'Store lay bao  cao'!A:B,2,0)</f>
        <v>Lấy BC</v>
      </c>
      <c r="AJ594" s="24" t="str">
        <f>VLOOKUP(Sales[[#This Row],[Associate]],'Associate Status'!B:C,2,0)</f>
        <v>Active</v>
      </c>
    </row>
    <row r="595" spans="1:36" x14ac:dyDescent="0.25">
      <c r="A595" s="7">
        <v>2025</v>
      </c>
      <c r="B595" s="8">
        <v>1</v>
      </c>
      <c r="C595" s="8">
        <v>5</v>
      </c>
      <c r="D595" s="8" t="s">
        <v>60</v>
      </c>
      <c r="E595" s="8" t="s">
        <v>37</v>
      </c>
      <c r="F595" s="8" t="s">
        <v>60</v>
      </c>
      <c r="G595" s="9">
        <v>3047516</v>
      </c>
      <c r="H595" s="10">
        <v>2277150</v>
      </c>
      <c r="I595" s="11">
        <v>45688</v>
      </c>
      <c r="J595" s="12">
        <v>202779</v>
      </c>
      <c r="K595" s="13" t="s">
        <v>2018</v>
      </c>
      <c r="L595" s="14" t="s">
        <v>19</v>
      </c>
      <c r="M595" s="11" t="s">
        <v>28</v>
      </c>
      <c r="N595" s="14" t="s">
        <v>62</v>
      </c>
      <c r="O595" s="15">
        <v>2916</v>
      </c>
      <c r="P595" s="12">
        <v>1</v>
      </c>
      <c r="Q595" s="13" t="s">
        <v>110</v>
      </c>
      <c r="R595" s="16">
        <v>7168700</v>
      </c>
      <c r="S595" s="17">
        <v>6637685</v>
      </c>
      <c r="T595" s="12">
        <v>5</v>
      </c>
      <c r="U595" s="18">
        <v>349352</v>
      </c>
      <c r="V595" s="19">
        <v>377300</v>
      </c>
      <c r="W595" s="13" t="s">
        <v>1237</v>
      </c>
      <c r="X595" s="14" t="s">
        <v>1405</v>
      </c>
      <c r="Y595" s="13" t="s">
        <v>1937</v>
      </c>
      <c r="Z595" s="14" t="s">
        <v>1406</v>
      </c>
      <c r="AA595" s="17">
        <v>16</v>
      </c>
      <c r="AB595" s="14" t="s">
        <v>2019</v>
      </c>
      <c r="AC595" s="17">
        <v>7546000</v>
      </c>
      <c r="AD595" s="14" t="s">
        <v>108</v>
      </c>
      <c r="AE595" s="17">
        <v>6987037</v>
      </c>
      <c r="AF595" s="14" t="s">
        <v>782</v>
      </c>
      <c r="AG595" s="21" t="s">
        <v>1938</v>
      </c>
      <c r="AH595" s="10">
        <v>3590169</v>
      </c>
      <c r="AI595" s="24" t="str">
        <f>VLOOKUP(Sales[[#This Row],[Store]],'Store lay bao  cao'!A:B,2,0)</f>
        <v>Lấy BC</v>
      </c>
      <c r="AJ595" s="24" t="e">
        <f>VLOOKUP(Sales[[#This Row],[Associate]],'Associate Status'!B:C,2,0)</f>
        <v>#N/A</v>
      </c>
    </row>
    <row r="596" spans="1:36" x14ac:dyDescent="0.25">
      <c r="A596" s="7">
        <v>2025</v>
      </c>
      <c r="B596" s="8">
        <v>2</v>
      </c>
      <c r="C596" s="8">
        <v>6</v>
      </c>
      <c r="D596" s="8" t="s">
        <v>63</v>
      </c>
      <c r="E596" s="8" t="s">
        <v>37</v>
      </c>
      <c r="F596" s="8" t="s">
        <v>63</v>
      </c>
      <c r="G596" s="9">
        <v>2388244</v>
      </c>
      <c r="H596" s="10">
        <v>2344592.4</v>
      </c>
      <c r="I596" s="11">
        <v>45692</v>
      </c>
      <c r="J596" s="12">
        <v>205006</v>
      </c>
      <c r="K596" s="13" t="s">
        <v>2021</v>
      </c>
      <c r="L596" s="14" t="s">
        <v>47</v>
      </c>
      <c r="M596" s="11" t="s">
        <v>21</v>
      </c>
      <c r="N596" s="14" t="s">
        <v>62</v>
      </c>
      <c r="O596" s="15">
        <v>9155</v>
      </c>
      <c r="P596" s="12">
        <v>1</v>
      </c>
      <c r="Q596" s="13" t="s">
        <v>101</v>
      </c>
      <c r="R596" s="16">
        <v>14068000</v>
      </c>
      <c r="S596" s="17">
        <v>13025926</v>
      </c>
      <c r="T596" s="12">
        <v>0</v>
      </c>
      <c r="U596" s="18">
        <v>0</v>
      </c>
      <c r="V596" s="19">
        <v>0</v>
      </c>
      <c r="W596" s="13" t="s">
        <v>160</v>
      </c>
      <c r="X596" s="14" t="s">
        <v>1486</v>
      </c>
      <c r="Y596" s="13" t="s">
        <v>208</v>
      </c>
      <c r="Z596" s="14">
        <v>9</v>
      </c>
      <c r="AA596" s="17">
        <v>14</v>
      </c>
      <c r="AB596" s="14" t="s">
        <v>341</v>
      </c>
      <c r="AC596" s="17">
        <v>14068000</v>
      </c>
      <c r="AD596" s="14" t="s">
        <v>1969</v>
      </c>
      <c r="AE596" s="17">
        <v>13025926</v>
      </c>
      <c r="AF596" s="14" t="s">
        <v>379</v>
      </c>
      <c r="AG596" s="20" t="s">
        <v>290</v>
      </c>
      <c r="AH596" s="10">
        <v>10637682</v>
      </c>
      <c r="AI596" s="24" t="str">
        <f>VLOOKUP(Sales[[#This Row],[Store]],'Store lay bao  cao'!A:B,2,0)</f>
        <v>Lấy BC</v>
      </c>
      <c r="AJ596" s="24" t="str">
        <f>VLOOKUP(Sales[[#This Row],[Associate]],'Associate Status'!B:C,2,0)</f>
        <v>Retired</v>
      </c>
    </row>
    <row r="597" spans="1:36" x14ac:dyDescent="0.25">
      <c r="A597" s="7">
        <v>2025</v>
      </c>
      <c r="B597" s="8">
        <v>2</v>
      </c>
      <c r="C597" s="8">
        <v>6</v>
      </c>
      <c r="D597" s="8" t="s">
        <v>31</v>
      </c>
      <c r="E597" s="8" t="s">
        <v>12</v>
      </c>
      <c r="F597" s="8" t="s">
        <v>31</v>
      </c>
      <c r="G597" s="9">
        <v>20000000</v>
      </c>
      <c r="H597" s="10">
        <v>0</v>
      </c>
      <c r="I597" s="11">
        <v>45693</v>
      </c>
      <c r="J597" s="12">
        <v>116328</v>
      </c>
      <c r="K597" s="13" t="s">
        <v>2022</v>
      </c>
      <c r="L597" s="14" t="s">
        <v>32</v>
      </c>
      <c r="M597" s="11" t="s">
        <v>13</v>
      </c>
      <c r="N597" s="14" t="s">
        <v>11</v>
      </c>
      <c r="O597" s="15">
        <v>535</v>
      </c>
      <c r="P597" s="12">
        <v>1</v>
      </c>
      <c r="Q597" s="13" t="s">
        <v>156</v>
      </c>
      <c r="R597" s="16">
        <v>0</v>
      </c>
      <c r="S597" s="17">
        <v>0</v>
      </c>
      <c r="T597" s="12">
        <v>100</v>
      </c>
      <c r="U597" s="18">
        <v>18518519</v>
      </c>
      <c r="V597" s="19">
        <v>20000000</v>
      </c>
      <c r="W597" s="13" t="s">
        <v>901</v>
      </c>
      <c r="X597" s="14" t="s">
        <v>2023</v>
      </c>
      <c r="Y597" s="13" t="s">
        <v>600</v>
      </c>
      <c r="Z597" s="14" t="s">
        <v>2024</v>
      </c>
      <c r="AA597" s="17">
        <v>15</v>
      </c>
      <c r="AB597" s="14"/>
      <c r="AC597" s="17">
        <v>20000000</v>
      </c>
      <c r="AD597" s="14" t="s">
        <v>108</v>
      </c>
      <c r="AE597" s="17">
        <v>18518519</v>
      </c>
      <c r="AF597" s="14" t="s">
        <v>997</v>
      </c>
      <c r="AG597" s="21"/>
      <c r="AH597" s="10">
        <v>-20000000</v>
      </c>
      <c r="AI597" s="24" t="str">
        <f>VLOOKUP(Sales[[#This Row],[Store]],'Store lay bao  cao'!A:B,2,0)</f>
        <v>Lấy BC</v>
      </c>
      <c r="AJ597" s="24" t="e">
        <f>VLOOKUP(Sales[[#This Row],[Associate]],'Associate Status'!B:C,2,0)</f>
        <v>#N/A</v>
      </c>
    </row>
    <row r="598" spans="1:36" ht="51.75" x14ac:dyDescent="0.25">
      <c r="A598" s="7">
        <v>2025</v>
      </c>
      <c r="B598" s="8">
        <v>2</v>
      </c>
      <c r="C598" s="8">
        <v>6</v>
      </c>
      <c r="D598" s="8" t="s">
        <v>63</v>
      </c>
      <c r="E598" s="8" t="s">
        <v>43</v>
      </c>
      <c r="F598" s="8" t="s">
        <v>63</v>
      </c>
      <c r="G598" s="9">
        <v>96159059</v>
      </c>
      <c r="H598" s="10">
        <v>94916250</v>
      </c>
      <c r="I598" s="11">
        <v>45697</v>
      </c>
      <c r="J598" s="12">
        <v>209328</v>
      </c>
      <c r="K598" s="13" t="s">
        <v>2025</v>
      </c>
      <c r="L598" s="14" t="s">
        <v>65</v>
      </c>
      <c r="M598" s="11" t="s">
        <v>17</v>
      </c>
      <c r="N598" s="14" t="s">
        <v>62</v>
      </c>
      <c r="O598" s="15">
        <v>9099</v>
      </c>
      <c r="P598" s="12">
        <v>1</v>
      </c>
      <c r="Q598" s="13" t="s">
        <v>101</v>
      </c>
      <c r="R598" s="16">
        <v>228123500</v>
      </c>
      <c r="S598" s="17">
        <v>211225463</v>
      </c>
      <c r="T598" s="12">
        <v>5</v>
      </c>
      <c r="U598" s="18">
        <v>11117130</v>
      </c>
      <c r="V598" s="19">
        <v>12006500</v>
      </c>
      <c r="W598" s="13" t="s">
        <v>427</v>
      </c>
      <c r="X598" s="23" t="s">
        <v>2026</v>
      </c>
      <c r="Y598" s="13" t="s">
        <v>308</v>
      </c>
      <c r="Z598" s="14" t="s">
        <v>2027</v>
      </c>
      <c r="AA598" s="17">
        <v>12</v>
      </c>
      <c r="AB598" s="14" t="s">
        <v>173</v>
      </c>
      <c r="AC598" s="17">
        <v>240130000</v>
      </c>
      <c r="AD598" s="14">
        <v>53</v>
      </c>
      <c r="AE598" s="17">
        <v>222342593</v>
      </c>
      <c r="AF598" s="14" t="s">
        <v>121</v>
      </c>
      <c r="AG598" s="20" t="s">
        <v>309</v>
      </c>
      <c r="AH598" s="10">
        <v>115066404</v>
      </c>
      <c r="AI598" s="24" t="str">
        <f>VLOOKUP(Sales[[#This Row],[Store]],'Store lay bao  cao'!A:B,2,0)</f>
        <v>Lấy BC</v>
      </c>
      <c r="AJ598" s="24" t="str">
        <f>VLOOKUP(Sales[[#This Row],[Associate]],'Associate Status'!B:C,2,0)</f>
        <v>Active</v>
      </c>
    </row>
    <row r="599" spans="1:36" x14ac:dyDescent="0.25">
      <c r="A599" s="7">
        <v>2025</v>
      </c>
      <c r="B599" s="8">
        <v>2</v>
      </c>
      <c r="C599" s="8">
        <v>6</v>
      </c>
      <c r="D599" s="8" t="s">
        <v>52</v>
      </c>
      <c r="E599" s="8" t="s">
        <v>34</v>
      </c>
      <c r="F599" s="8" t="s">
        <v>52</v>
      </c>
      <c r="G599" s="9">
        <v>120066537</v>
      </c>
      <c r="H599" s="10">
        <v>111843000</v>
      </c>
      <c r="I599" s="11">
        <v>45697</v>
      </c>
      <c r="J599" s="12">
        <v>182563</v>
      </c>
      <c r="K599" s="13" t="s">
        <v>2028</v>
      </c>
      <c r="L599" s="14" t="s">
        <v>44</v>
      </c>
      <c r="M599" s="11" t="s">
        <v>17</v>
      </c>
      <c r="N599" s="14" t="s">
        <v>11</v>
      </c>
      <c r="O599" s="15">
        <v>9098</v>
      </c>
      <c r="P599" s="12">
        <v>1</v>
      </c>
      <c r="Q599" s="13" t="s">
        <v>101</v>
      </c>
      <c r="R599" s="16">
        <v>268655400</v>
      </c>
      <c r="S599" s="17">
        <v>248755000</v>
      </c>
      <c r="T599" s="12">
        <v>10</v>
      </c>
      <c r="U599" s="18">
        <v>27639444</v>
      </c>
      <c r="V599" s="19">
        <v>29850600</v>
      </c>
      <c r="W599" s="13" t="s">
        <v>427</v>
      </c>
      <c r="X599" s="14" t="s">
        <v>2029</v>
      </c>
      <c r="Y599" s="13" t="s">
        <v>308</v>
      </c>
      <c r="Z599" s="14" t="s">
        <v>2030</v>
      </c>
      <c r="AA599" s="17">
        <v>12</v>
      </c>
      <c r="AB599" s="14" t="s">
        <v>2031</v>
      </c>
      <c r="AC599" s="17">
        <v>298506000</v>
      </c>
      <c r="AD599" s="14" t="s">
        <v>108</v>
      </c>
      <c r="AE599" s="17">
        <v>276394444</v>
      </c>
      <c r="AF599" s="14" t="s">
        <v>113</v>
      </c>
      <c r="AG599" s="21" t="s">
        <v>309</v>
      </c>
      <c r="AH599" s="10">
        <v>128688463</v>
      </c>
      <c r="AI599" s="24" t="str">
        <f>VLOOKUP(Sales[[#This Row],[Store]],'Store lay bao  cao'!A:B,2,0)</f>
        <v>Lấy BC</v>
      </c>
      <c r="AJ599" s="24" t="str">
        <f>VLOOKUP(Sales[[#This Row],[Associate]],'Associate Status'!B:C,2,0)</f>
        <v>Active</v>
      </c>
    </row>
    <row r="600" spans="1:36" x14ac:dyDescent="0.25">
      <c r="A600" s="7">
        <v>2025</v>
      </c>
      <c r="B600" s="8">
        <v>2</v>
      </c>
      <c r="C600" s="8">
        <v>6</v>
      </c>
      <c r="D600" s="8" t="s">
        <v>60</v>
      </c>
      <c r="E600" s="8" t="s">
        <v>34</v>
      </c>
      <c r="F600" s="8" t="s">
        <v>60</v>
      </c>
      <c r="G600" s="9">
        <v>5268217</v>
      </c>
      <c r="H600" s="10">
        <v>4902000</v>
      </c>
      <c r="I600" s="11">
        <v>45697</v>
      </c>
      <c r="J600" s="12">
        <v>208324</v>
      </c>
      <c r="K600" s="13" t="s">
        <v>2028</v>
      </c>
      <c r="L600" s="14" t="s">
        <v>50</v>
      </c>
      <c r="M600" s="11" t="s">
        <v>17</v>
      </c>
      <c r="N600" s="14" t="s">
        <v>11</v>
      </c>
      <c r="O600" s="15">
        <v>9098</v>
      </c>
      <c r="P600" s="12">
        <v>1</v>
      </c>
      <c r="Q600" s="13" t="s">
        <v>101</v>
      </c>
      <c r="R600" s="16">
        <v>14118300</v>
      </c>
      <c r="S600" s="17">
        <v>13072500</v>
      </c>
      <c r="T600" s="12">
        <v>10</v>
      </c>
      <c r="U600" s="18">
        <v>1452500</v>
      </c>
      <c r="V600" s="19">
        <v>1568700</v>
      </c>
      <c r="W600" s="13" t="s">
        <v>427</v>
      </c>
      <c r="X600" s="14" t="s">
        <v>2032</v>
      </c>
      <c r="Y600" s="13" t="s">
        <v>308</v>
      </c>
      <c r="Z600" s="14" t="s">
        <v>2033</v>
      </c>
      <c r="AA600" s="17">
        <v>12</v>
      </c>
      <c r="AB600" s="14" t="s">
        <v>2034</v>
      </c>
      <c r="AC600" s="17">
        <v>15687000</v>
      </c>
      <c r="AD600" s="14" t="s">
        <v>108</v>
      </c>
      <c r="AE600" s="17">
        <v>14525000</v>
      </c>
      <c r="AF600" s="14" t="s">
        <v>113</v>
      </c>
      <c r="AG600" s="20" t="s">
        <v>309</v>
      </c>
      <c r="AH600" s="10">
        <v>7804283</v>
      </c>
      <c r="AI600" s="24" t="str">
        <f>VLOOKUP(Sales[[#This Row],[Store]],'Store lay bao  cao'!A:B,2,0)</f>
        <v>Lấy BC</v>
      </c>
      <c r="AJ600" s="24" t="str">
        <f>VLOOKUP(Sales[[#This Row],[Associate]],'Associate Status'!B:C,2,0)</f>
        <v>Active</v>
      </c>
    </row>
    <row r="601" spans="1:36" x14ac:dyDescent="0.25">
      <c r="A601" s="7">
        <v>2025</v>
      </c>
      <c r="B601" s="8">
        <v>2</v>
      </c>
      <c r="C601" s="8">
        <v>7</v>
      </c>
      <c r="D601" s="8" t="s">
        <v>66</v>
      </c>
      <c r="E601" s="8" t="s">
        <v>37</v>
      </c>
      <c r="F601" s="8" t="s">
        <v>66</v>
      </c>
      <c r="G601" s="9">
        <v>265239807</v>
      </c>
      <c r="H601" s="10">
        <v>254481750</v>
      </c>
      <c r="I601" s="11">
        <v>45700</v>
      </c>
      <c r="J601" s="12">
        <v>211200</v>
      </c>
      <c r="K601" s="13" t="s">
        <v>2035</v>
      </c>
      <c r="L601" s="14" t="s">
        <v>65</v>
      </c>
      <c r="M601" s="11" t="s">
        <v>17</v>
      </c>
      <c r="N601" s="14" t="s">
        <v>62</v>
      </c>
      <c r="O601" s="15">
        <v>9109</v>
      </c>
      <c r="P601" s="12">
        <v>1</v>
      </c>
      <c r="Q601" s="13" t="s">
        <v>101</v>
      </c>
      <c r="R601" s="16">
        <v>656625750</v>
      </c>
      <c r="S601" s="17">
        <v>607986806</v>
      </c>
      <c r="T601" s="12">
        <v>5</v>
      </c>
      <c r="U601" s="18">
        <v>31999306</v>
      </c>
      <c r="V601" s="19">
        <v>34559250</v>
      </c>
      <c r="W601" s="13" t="s">
        <v>427</v>
      </c>
      <c r="X601" s="14" t="s">
        <v>2036</v>
      </c>
      <c r="Y601" s="13" t="s">
        <v>308</v>
      </c>
      <c r="Z601" s="14" t="s">
        <v>2037</v>
      </c>
      <c r="AA601" s="17">
        <v>17</v>
      </c>
      <c r="AB601" s="14" t="s">
        <v>173</v>
      </c>
      <c r="AC601" s="17">
        <v>691185000</v>
      </c>
      <c r="AD601" s="14" t="s">
        <v>108</v>
      </c>
      <c r="AE601" s="17">
        <v>639986111</v>
      </c>
      <c r="AF601" s="14" t="s">
        <v>113</v>
      </c>
      <c r="AG601" s="21" t="s">
        <v>309</v>
      </c>
      <c r="AH601" s="10">
        <v>342746999</v>
      </c>
      <c r="AI601" s="24" t="str">
        <f>VLOOKUP(Sales[[#This Row],[Store]],'Store lay bao  cao'!A:B,2,0)</f>
        <v>Lấy BC</v>
      </c>
      <c r="AJ601" s="24" t="str">
        <f>VLOOKUP(Sales[[#This Row],[Associate]],'Associate Status'!B:C,2,0)</f>
        <v>Active</v>
      </c>
    </row>
    <row r="602" spans="1:36" x14ac:dyDescent="0.25">
      <c r="A602" s="7">
        <v>2025</v>
      </c>
      <c r="B602" s="8">
        <v>2</v>
      </c>
      <c r="C602" s="8">
        <v>7</v>
      </c>
      <c r="D602" s="8" t="s">
        <v>52</v>
      </c>
      <c r="E602" s="8" t="s">
        <v>37</v>
      </c>
      <c r="F602" s="8" t="s">
        <v>52</v>
      </c>
      <c r="G602" s="9">
        <v>9024419</v>
      </c>
      <c r="H602" s="10">
        <v>8140500</v>
      </c>
      <c r="I602" s="11">
        <v>45700</v>
      </c>
      <c r="J602" s="12">
        <v>182218</v>
      </c>
      <c r="K602" s="13" t="s">
        <v>2038</v>
      </c>
      <c r="L602" s="14" t="s">
        <v>50</v>
      </c>
      <c r="M602" s="11" t="s">
        <v>17</v>
      </c>
      <c r="N602" s="14" t="s">
        <v>11</v>
      </c>
      <c r="O602" s="15">
        <v>9105</v>
      </c>
      <c r="P602" s="12">
        <v>1</v>
      </c>
      <c r="Q602" s="13" t="s">
        <v>101</v>
      </c>
      <c r="R602" s="16">
        <v>23445000</v>
      </c>
      <c r="S602" s="17">
        <v>21708333</v>
      </c>
      <c r="T602" s="12">
        <v>10</v>
      </c>
      <c r="U602" s="18">
        <v>2412037</v>
      </c>
      <c r="V602" s="19">
        <v>2605000</v>
      </c>
      <c r="W602" s="13" t="s">
        <v>427</v>
      </c>
      <c r="X602" s="14" t="s">
        <v>2039</v>
      </c>
      <c r="Y602" s="13" t="s">
        <v>308</v>
      </c>
      <c r="Z602" s="14" t="s">
        <v>946</v>
      </c>
      <c r="AA602" s="17">
        <v>9</v>
      </c>
      <c r="AB602" s="14" t="s">
        <v>802</v>
      </c>
      <c r="AC602" s="17">
        <v>26050000</v>
      </c>
      <c r="AD602" s="14" t="s">
        <v>108</v>
      </c>
      <c r="AE602" s="17">
        <v>24120370</v>
      </c>
      <c r="AF602" s="14" t="s">
        <v>113</v>
      </c>
      <c r="AG602" s="20" t="s">
        <v>309</v>
      </c>
      <c r="AH602" s="10">
        <v>12683914</v>
      </c>
      <c r="AI602" s="24" t="str">
        <f>VLOOKUP(Sales[[#This Row],[Store]],'Store lay bao  cao'!A:B,2,0)</f>
        <v>Lấy BC</v>
      </c>
      <c r="AJ602" s="24" t="str">
        <f>VLOOKUP(Sales[[#This Row],[Associate]],'Associate Status'!B:C,2,0)</f>
        <v>Active</v>
      </c>
    </row>
    <row r="603" spans="1:36" x14ac:dyDescent="0.25">
      <c r="A603" s="7">
        <v>2025</v>
      </c>
      <c r="B603" s="8">
        <v>2</v>
      </c>
      <c r="C603" s="8">
        <v>7</v>
      </c>
      <c r="D603" s="8" t="s">
        <v>52</v>
      </c>
      <c r="E603" s="8" t="s">
        <v>37</v>
      </c>
      <c r="F603" s="8" t="s">
        <v>52</v>
      </c>
      <c r="G603" s="9">
        <v>10431781</v>
      </c>
      <c r="H603" s="10">
        <v>9396000</v>
      </c>
      <c r="I603" s="11">
        <v>45700</v>
      </c>
      <c r="J603" s="12">
        <v>182227</v>
      </c>
      <c r="K603" s="13" t="s">
        <v>2038</v>
      </c>
      <c r="L603" s="14" t="s">
        <v>50</v>
      </c>
      <c r="M603" s="11" t="s">
        <v>17</v>
      </c>
      <c r="N603" s="14" t="s">
        <v>11</v>
      </c>
      <c r="O603" s="15">
        <v>9105</v>
      </c>
      <c r="P603" s="12">
        <v>1</v>
      </c>
      <c r="Q603" s="13" t="s">
        <v>101</v>
      </c>
      <c r="R603" s="16">
        <v>27061200</v>
      </c>
      <c r="S603" s="17">
        <v>25056667</v>
      </c>
      <c r="T603" s="12">
        <v>10</v>
      </c>
      <c r="U603" s="18">
        <v>2784074</v>
      </c>
      <c r="V603" s="19">
        <v>3006800</v>
      </c>
      <c r="W603" s="13" t="s">
        <v>427</v>
      </c>
      <c r="X603" s="14" t="s">
        <v>2040</v>
      </c>
      <c r="Y603" s="13" t="s">
        <v>308</v>
      </c>
      <c r="Z603" s="14" t="s">
        <v>2041</v>
      </c>
      <c r="AA603" s="17">
        <v>9</v>
      </c>
      <c r="AB603" s="14" t="s">
        <v>802</v>
      </c>
      <c r="AC603" s="17">
        <v>30068000</v>
      </c>
      <c r="AD603" s="14" t="s">
        <v>108</v>
      </c>
      <c r="AE603" s="17">
        <v>27840741</v>
      </c>
      <c r="AF603" s="14" t="s">
        <v>113</v>
      </c>
      <c r="AG603" s="21" t="s">
        <v>309</v>
      </c>
      <c r="AH603" s="10">
        <v>14624886</v>
      </c>
      <c r="AI603" s="24" t="str">
        <f>VLOOKUP(Sales[[#This Row],[Store]],'Store lay bao  cao'!A:B,2,0)</f>
        <v>Lấy BC</v>
      </c>
      <c r="AJ603" s="24" t="str">
        <f>VLOOKUP(Sales[[#This Row],[Associate]],'Associate Status'!B:C,2,0)</f>
        <v>Active</v>
      </c>
    </row>
    <row r="604" spans="1:36" x14ac:dyDescent="0.25">
      <c r="A604" s="7">
        <v>2025</v>
      </c>
      <c r="B604" s="8">
        <v>2</v>
      </c>
      <c r="C604" s="8">
        <v>7</v>
      </c>
      <c r="D604" s="8" t="s">
        <v>52</v>
      </c>
      <c r="E604" s="8" t="s">
        <v>43</v>
      </c>
      <c r="F604" s="8" t="s">
        <v>52</v>
      </c>
      <c r="G604" s="9">
        <v>2098346</v>
      </c>
      <c r="H604" s="10">
        <v>1890000</v>
      </c>
      <c r="I604" s="11">
        <v>45704</v>
      </c>
      <c r="J604" s="12">
        <v>182161</v>
      </c>
      <c r="K604" s="13" t="s">
        <v>2042</v>
      </c>
      <c r="L604" s="14" t="s">
        <v>50</v>
      </c>
      <c r="M604" s="11" t="s">
        <v>21</v>
      </c>
      <c r="N604" s="14" t="s">
        <v>11</v>
      </c>
      <c r="O604" s="15">
        <v>9208</v>
      </c>
      <c r="P604" s="12">
        <v>1</v>
      </c>
      <c r="Q604" s="13" t="s">
        <v>101</v>
      </c>
      <c r="R604" s="16">
        <v>6048000</v>
      </c>
      <c r="S604" s="17">
        <v>5600000</v>
      </c>
      <c r="T604" s="12">
        <v>0</v>
      </c>
      <c r="U604" s="18">
        <v>0</v>
      </c>
      <c r="V604" s="19">
        <v>0</v>
      </c>
      <c r="W604" s="13" t="s">
        <v>160</v>
      </c>
      <c r="X604" s="14" t="s">
        <v>2043</v>
      </c>
      <c r="Y604" s="13" t="s">
        <v>103</v>
      </c>
      <c r="Z604" s="14" t="s">
        <v>1200</v>
      </c>
      <c r="AA604" s="17">
        <v>15</v>
      </c>
      <c r="AB604" s="14" t="s">
        <v>1065</v>
      </c>
      <c r="AC604" s="17">
        <v>6048000</v>
      </c>
      <c r="AD604" s="14">
        <v>11</v>
      </c>
      <c r="AE604" s="17">
        <v>5600000</v>
      </c>
      <c r="AF604" s="14" t="s">
        <v>324</v>
      </c>
      <c r="AG604" s="20"/>
      <c r="AH604" s="10">
        <v>3501654</v>
      </c>
      <c r="AI604" s="24" t="str">
        <f>VLOOKUP(Sales[[#This Row],[Store]],'Store lay bao  cao'!A:B,2,0)</f>
        <v>Lấy BC</v>
      </c>
      <c r="AJ604" s="24" t="str">
        <f>VLOOKUP(Sales[[#This Row],[Associate]],'Associate Status'!B:C,2,0)</f>
        <v>Retired</v>
      </c>
    </row>
    <row r="605" spans="1:36" x14ac:dyDescent="0.25">
      <c r="A605" s="7">
        <v>2025</v>
      </c>
      <c r="B605" s="8">
        <v>2</v>
      </c>
      <c r="C605" s="8">
        <v>8</v>
      </c>
      <c r="D605" s="8" t="s">
        <v>52</v>
      </c>
      <c r="E605" s="8" t="s">
        <v>43</v>
      </c>
      <c r="F605" s="8" t="s">
        <v>52</v>
      </c>
      <c r="G605" s="9">
        <v>3597165</v>
      </c>
      <c r="H605" s="10">
        <v>3240000</v>
      </c>
      <c r="I605" s="11">
        <v>45711</v>
      </c>
      <c r="J605" s="12">
        <v>182176</v>
      </c>
      <c r="K605" s="13" t="s">
        <v>2045</v>
      </c>
      <c r="L605" s="14" t="s">
        <v>50</v>
      </c>
      <c r="M605" s="11" t="s">
        <v>28</v>
      </c>
      <c r="N605" s="14" t="s">
        <v>11</v>
      </c>
      <c r="O605" s="15">
        <v>2991</v>
      </c>
      <c r="P605" s="12">
        <v>1</v>
      </c>
      <c r="Q605" s="13" t="s">
        <v>110</v>
      </c>
      <c r="R605" s="16">
        <v>9331200</v>
      </c>
      <c r="S605" s="17">
        <v>8640000</v>
      </c>
      <c r="T605" s="12">
        <v>10</v>
      </c>
      <c r="U605" s="18">
        <v>960000</v>
      </c>
      <c r="V605" s="19">
        <v>1036800</v>
      </c>
      <c r="W605" s="13" t="s">
        <v>1225</v>
      </c>
      <c r="X605" s="14" t="s">
        <v>2046</v>
      </c>
      <c r="Y605" s="13" t="s">
        <v>1423</v>
      </c>
      <c r="Z605" s="14" t="s">
        <v>2047</v>
      </c>
      <c r="AA605" s="17">
        <v>17</v>
      </c>
      <c r="AB605" s="14" t="s">
        <v>2048</v>
      </c>
      <c r="AC605" s="17">
        <v>10368000</v>
      </c>
      <c r="AD605" s="14">
        <v>12</v>
      </c>
      <c r="AE605" s="17">
        <v>9600000</v>
      </c>
      <c r="AF605" s="14" t="s">
        <v>846</v>
      </c>
      <c r="AG605" s="21" t="s">
        <v>1424</v>
      </c>
      <c r="AH605" s="10">
        <v>5042835</v>
      </c>
      <c r="AI605" s="24" t="str">
        <f>VLOOKUP(Sales[[#This Row],[Store]],'Store lay bao  cao'!A:B,2,0)</f>
        <v>Lấy BC</v>
      </c>
      <c r="AJ605" s="24" t="str">
        <f>VLOOKUP(Sales[[#This Row],[Associate]],'Associate Status'!B:C,2,0)</f>
        <v>Active</v>
      </c>
    </row>
    <row r="606" spans="1:36" x14ac:dyDescent="0.25">
      <c r="A606" s="7">
        <v>2025</v>
      </c>
      <c r="B606" s="8">
        <v>2</v>
      </c>
      <c r="C606" s="8">
        <v>9</v>
      </c>
      <c r="D606" s="8" t="s">
        <v>52</v>
      </c>
      <c r="E606" s="8" t="s">
        <v>34</v>
      </c>
      <c r="F606" s="8" t="s">
        <v>52</v>
      </c>
      <c r="G606" s="9">
        <v>37025234</v>
      </c>
      <c r="H606" s="10">
        <v>30153750</v>
      </c>
      <c r="I606" s="11">
        <v>45713</v>
      </c>
      <c r="J606" s="12">
        <v>182567</v>
      </c>
      <c r="K606" s="13" t="s">
        <v>2050</v>
      </c>
      <c r="L606" s="14" t="s">
        <v>44</v>
      </c>
      <c r="M606" s="11" t="s">
        <v>17</v>
      </c>
      <c r="N606" s="14" t="s">
        <v>11</v>
      </c>
      <c r="O606" s="15">
        <v>9143</v>
      </c>
      <c r="P606" s="12">
        <v>1</v>
      </c>
      <c r="Q606" s="13" t="s">
        <v>102</v>
      </c>
      <c r="R606" s="16">
        <v>60000000</v>
      </c>
      <c r="S606" s="17">
        <v>55555556</v>
      </c>
      <c r="T606" s="12">
        <v>25.46</v>
      </c>
      <c r="U606" s="18">
        <v>18977778</v>
      </c>
      <c r="V606" s="19">
        <v>20496000</v>
      </c>
      <c r="W606" s="13" t="s">
        <v>427</v>
      </c>
      <c r="X606" s="14" t="s">
        <v>2051</v>
      </c>
      <c r="Y606" s="13" t="s">
        <v>216</v>
      </c>
      <c r="Z606" s="14" t="s">
        <v>2052</v>
      </c>
      <c r="AA606" s="17">
        <v>18</v>
      </c>
      <c r="AB606" s="14" t="s">
        <v>263</v>
      </c>
      <c r="AC606" s="17">
        <v>80496000</v>
      </c>
      <c r="AD606" s="14" t="s">
        <v>108</v>
      </c>
      <c r="AE606" s="17">
        <v>74533333</v>
      </c>
      <c r="AF606" s="14" t="s">
        <v>121</v>
      </c>
      <c r="AG606" s="20" t="s">
        <v>217</v>
      </c>
      <c r="AH606" s="10">
        <v>18530322</v>
      </c>
      <c r="AI606" s="24" t="str">
        <f>VLOOKUP(Sales[[#This Row],[Store]],'Store lay bao  cao'!A:B,2,0)</f>
        <v>Lấy BC</v>
      </c>
      <c r="AJ606" s="24" t="str">
        <f>VLOOKUP(Sales[[#This Row],[Associate]],'Associate Status'!B:C,2,0)</f>
        <v>Active</v>
      </c>
    </row>
    <row r="607" spans="1:36" x14ac:dyDescent="0.25">
      <c r="A607" s="7">
        <v>2025</v>
      </c>
      <c r="B607" s="8">
        <v>3</v>
      </c>
      <c r="C607" s="8">
        <v>10</v>
      </c>
      <c r="D607" s="8" t="s">
        <v>66</v>
      </c>
      <c r="E607" s="8" t="s">
        <v>43</v>
      </c>
      <c r="F607" s="8" t="s">
        <v>66</v>
      </c>
      <c r="G607" s="9">
        <v>148808247</v>
      </c>
      <c r="H607" s="10">
        <v>142772625</v>
      </c>
      <c r="I607" s="11">
        <v>45722</v>
      </c>
      <c r="J607" s="12">
        <v>211215</v>
      </c>
      <c r="K607" s="13" t="s">
        <v>2054</v>
      </c>
      <c r="L607" s="14" t="s">
        <v>65</v>
      </c>
      <c r="M607" s="11" t="s">
        <v>17</v>
      </c>
      <c r="N607" s="14" t="s">
        <v>62</v>
      </c>
      <c r="O607" s="15">
        <v>9163</v>
      </c>
      <c r="P607" s="12">
        <v>1</v>
      </c>
      <c r="Q607" s="13" t="s">
        <v>101</v>
      </c>
      <c r="R607" s="16">
        <v>387778000</v>
      </c>
      <c r="S607" s="17">
        <v>359053704</v>
      </c>
      <c r="T607" s="12">
        <v>0</v>
      </c>
      <c r="U607" s="18">
        <v>0</v>
      </c>
      <c r="V607" s="19">
        <v>0</v>
      </c>
      <c r="W607" s="13" t="s">
        <v>427</v>
      </c>
      <c r="X607" s="14" t="s">
        <v>2055</v>
      </c>
      <c r="Y607" s="13" t="s">
        <v>316</v>
      </c>
      <c r="Z607" s="14" t="s">
        <v>2056</v>
      </c>
      <c r="AA607" s="17">
        <v>18</v>
      </c>
      <c r="AB607" s="14" t="s">
        <v>1852</v>
      </c>
      <c r="AC607" s="17">
        <v>387778000</v>
      </c>
      <c r="AD607" s="14">
        <v>54</v>
      </c>
      <c r="AE607" s="17">
        <v>359053704</v>
      </c>
      <c r="AF607" s="14" t="s">
        <v>121</v>
      </c>
      <c r="AG607" s="21" t="s">
        <v>317</v>
      </c>
      <c r="AH607" s="10">
        <v>210245457</v>
      </c>
      <c r="AI607" s="24" t="str">
        <f>VLOOKUP(Sales[[#This Row],[Store]],'Store lay bao  cao'!A:B,2,0)</f>
        <v>Lấy BC</v>
      </c>
      <c r="AJ607" s="24" t="str">
        <f>VLOOKUP(Sales[[#This Row],[Associate]],'Associate Status'!B:C,2,0)</f>
        <v>Active</v>
      </c>
    </row>
    <row r="608" spans="1:36" x14ac:dyDescent="0.25">
      <c r="A608" s="7">
        <v>2025</v>
      </c>
      <c r="B608" s="8">
        <v>3</v>
      </c>
      <c r="C608" s="8">
        <v>10</v>
      </c>
      <c r="D608" s="8" t="s">
        <v>60</v>
      </c>
      <c r="E608" s="8" t="s">
        <v>43</v>
      </c>
      <c r="F608" s="8" t="s">
        <v>60</v>
      </c>
      <c r="G608" s="9">
        <v>3306879</v>
      </c>
      <c r="H608" s="10">
        <v>2470950</v>
      </c>
      <c r="I608" s="11">
        <v>45723</v>
      </c>
      <c r="J608" s="12">
        <v>202785</v>
      </c>
      <c r="K608" s="13" t="s">
        <v>2057</v>
      </c>
      <c r="L608" s="14" t="s">
        <v>19</v>
      </c>
      <c r="M608" s="11" t="s">
        <v>28</v>
      </c>
      <c r="N608" s="14" t="s">
        <v>62</v>
      </c>
      <c r="O608" s="15">
        <v>3030</v>
      </c>
      <c r="P608" s="12">
        <v>1</v>
      </c>
      <c r="Q608" s="13" t="s">
        <v>110</v>
      </c>
      <c r="R608" s="16">
        <v>7779550</v>
      </c>
      <c r="S608" s="17">
        <v>7203287</v>
      </c>
      <c r="T608" s="12">
        <v>5</v>
      </c>
      <c r="U608" s="18">
        <v>379120</v>
      </c>
      <c r="V608" s="19">
        <v>409450</v>
      </c>
      <c r="W608" s="13" t="s">
        <v>1042</v>
      </c>
      <c r="X608" s="14" t="s">
        <v>2058</v>
      </c>
      <c r="Y608" s="13" t="s">
        <v>922</v>
      </c>
      <c r="Z608" s="14" t="s">
        <v>2059</v>
      </c>
      <c r="AA608" s="17">
        <v>11</v>
      </c>
      <c r="AB608" s="14" t="s">
        <v>1887</v>
      </c>
      <c r="AC608" s="17">
        <v>8189000</v>
      </c>
      <c r="AD608" s="14">
        <v>52</v>
      </c>
      <c r="AE608" s="17">
        <v>7582407</v>
      </c>
      <c r="AF608" s="14" t="s">
        <v>123</v>
      </c>
      <c r="AG608" s="20" t="s">
        <v>923</v>
      </c>
      <c r="AH608" s="10">
        <v>3896408</v>
      </c>
      <c r="AI608" s="24" t="str">
        <f>VLOOKUP(Sales[[#This Row],[Store]],'Store lay bao  cao'!A:B,2,0)</f>
        <v>Lấy BC</v>
      </c>
      <c r="AJ608" s="24" t="str">
        <f>VLOOKUP(Sales[[#This Row],[Associate]],'Associate Status'!B:C,2,0)</f>
        <v>Active</v>
      </c>
    </row>
    <row r="609" spans="1:36" x14ac:dyDescent="0.25">
      <c r="A609" s="7">
        <v>2025</v>
      </c>
      <c r="B609" s="8">
        <v>3</v>
      </c>
      <c r="C609" s="8">
        <v>10</v>
      </c>
      <c r="D609" s="8" t="s">
        <v>66</v>
      </c>
      <c r="E609" s="8" t="s">
        <v>53</v>
      </c>
      <c r="F609" s="8" t="s">
        <v>66</v>
      </c>
      <c r="G609" s="9">
        <v>209203227</v>
      </c>
      <c r="H609" s="10">
        <v>200718000</v>
      </c>
      <c r="I609" s="11">
        <v>45724</v>
      </c>
      <c r="J609" s="12">
        <v>211199</v>
      </c>
      <c r="K609" s="13" t="s">
        <v>2060</v>
      </c>
      <c r="L609" s="14" t="s">
        <v>65</v>
      </c>
      <c r="M609" s="11" t="s">
        <v>17</v>
      </c>
      <c r="N609" s="14" t="s">
        <v>62</v>
      </c>
      <c r="O609" s="15">
        <v>9172</v>
      </c>
      <c r="P609" s="12">
        <v>1</v>
      </c>
      <c r="Q609" s="13" t="s">
        <v>110</v>
      </c>
      <c r="R609" s="16">
        <v>490644000</v>
      </c>
      <c r="S609" s="17">
        <v>454300000</v>
      </c>
      <c r="T609" s="12">
        <v>10</v>
      </c>
      <c r="U609" s="18">
        <v>50477778</v>
      </c>
      <c r="V609" s="19">
        <v>54516000</v>
      </c>
      <c r="W609" s="13" t="s">
        <v>427</v>
      </c>
      <c r="X609" s="14" t="s">
        <v>1930</v>
      </c>
      <c r="Y609" s="13" t="s">
        <v>198</v>
      </c>
      <c r="Z609" s="14" t="s">
        <v>2061</v>
      </c>
      <c r="AA609" s="17">
        <v>18</v>
      </c>
      <c r="AB609" s="14" t="s">
        <v>2062</v>
      </c>
      <c r="AC609" s="17">
        <v>545160000</v>
      </c>
      <c r="AD609" s="14" t="s">
        <v>108</v>
      </c>
      <c r="AE609" s="17">
        <v>504777778</v>
      </c>
      <c r="AF609" s="14" t="s">
        <v>121</v>
      </c>
      <c r="AG609" s="21" t="s">
        <v>199</v>
      </c>
      <c r="AH609" s="10">
        <v>245096773</v>
      </c>
      <c r="AI609" s="24" t="str">
        <f>VLOOKUP(Sales[[#This Row],[Store]],'Store lay bao  cao'!A:B,2,0)</f>
        <v>Lấy BC</v>
      </c>
      <c r="AJ609" s="24" t="str">
        <f>VLOOKUP(Sales[[#This Row],[Associate]],'Associate Status'!B:C,2,0)</f>
        <v>Active</v>
      </c>
    </row>
    <row r="610" spans="1:36" x14ac:dyDescent="0.25">
      <c r="A610" s="7">
        <v>2025</v>
      </c>
      <c r="B610" s="8">
        <v>3</v>
      </c>
      <c r="C610" s="8">
        <v>10</v>
      </c>
      <c r="D610" s="8" t="s">
        <v>66</v>
      </c>
      <c r="E610" s="8" t="s">
        <v>37</v>
      </c>
      <c r="F610" s="8" t="s">
        <v>66</v>
      </c>
      <c r="G610" s="9">
        <v>412180168</v>
      </c>
      <c r="H610" s="10">
        <v>395462250</v>
      </c>
      <c r="I610" s="11">
        <v>45724</v>
      </c>
      <c r="J610" s="12">
        <v>211197</v>
      </c>
      <c r="K610" s="13" t="s">
        <v>2063</v>
      </c>
      <c r="L610" s="14" t="s">
        <v>65</v>
      </c>
      <c r="M610" s="11" t="s">
        <v>17</v>
      </c>
      <c r="N610" s="14" t="s">
        <v>62</v>
      </c>
      <c r="O610" s="15">
        <v>9170</v>
      </c>
      <c r="P610" s="12">
        <v>1</v>
      </c>
      <c r="Q610" s="13" t="s">
        <v>110</v>
      </c>
      <c r="R610" s="16">
        <v>1074095000</v>
      </c>
      <c r="S610" s="17">
        <v>994532407</v>
      </c>
      <c r="T610" s="12">
        <v>0</v>
      </c>
      <c r="U610" s="18">
        <v>0</v>
      </c>
      <c r="V610" s="19">
        <v>0</v>
      </c>
      <c r="W610" s="13" t="s">
        <v>427</v>
      </c>
      <c r="X610" s="14" t="s">
        <v>1921</v>
      </c>
      <c r="Y610" s="13" t="s">
        <v>206</v>
      </c>
      <c r="Z610" s="14" t="s">
        <v>2064</v>
      </c>
      <c r="AA610" s="17">
        <v>15</v>
      </c>
      <c r="AB610" s="14" t="s">
        <v>173</v>
      </c>
      <c r="AC610" s="17">
        <v>1074095000</v>
      </c>
      <c r="AD610" s="14" t="s">
        <v>108</v>
      </c>
      <c r="AE610" s="17">
        <v>994532407</v>
      </c>
      <c r="AF610" s="14" t="s">
        <v>113</v>
      </c>
      <c r="AG610" s="20" t="s">
        <v>207</v>
      </c>
      <c r="AH610" s="10">
        <v>582352239</v>
      </c>
      <c r="AI610" s="24" t="str">
        <f>VLOOKUP(Sales[[#This Row],[Store]],'Store lay bao  cao'!A:B,2,0)</f>
        <v>Lấy BC</v>
      </c>
      <c r="AJ610" s="24" t="str">
        <f>VLOOKUP(Sales[[#This Row],[Associate]],'Associate Status'!B:C,2,0)</f>
        <v>Active</v>
      </c>
    </row>
    <row r="611" spans="1:36" x14ac:dyDescent="0.25">
      <c r="A611" s="7">
        <v>2025</v>
      </c>
      <c r="B611" s="8">
        <v>3</v>
      </c>
      <c r="C611" s="8">
        <v>11</v>
      </c>
      <c r="D611" s="8" t="s">
        <v>52</v>
      </c>
      <c r="E611" s="8" t="s">
        <v>43</v>
      </c>
      <c r="F611" s="8" t="s">
        <v>52</v>
      </c>
      <c r="G611" s="9">
        <v>51793409</v>
      </c>
      <c r="H611" s="10">
        <v>48246000</v>
      </c>
      <c r="I611" s="11">
        <v>45727</v>
      </c>
      <c r="J611" s="12">
        <v>182565</v>
      </c>
      <c r="K611" s="13" t="s">
        <v>750</v>
      </c>
      <c r="L611" s="14" t="s">
        <v>44</v>
      </c>
      <c r="M611" s="11" t="s">
        <v>15</v>
      </c>
      <c r="N611" s="14" t="s">
        <v>11</v>
      </c>
      <c r="O611" s="15">
        <v>5793</v>
      </c>
      <c r="P611" s="12">
        <v>1</v>
      </c>
      <c r="Q611" s="13" t="s">
        <v>110</v>
      </c>
      <c r="R611" s="16">
        <v>122550000</v>
      </c>
      <c r="S611" s="17">
        <v>113472222</v>
      </c>
      <c r="T611" s="12">
        <v>5</v>
      </c>
      <c r="U611" s="18">
        <v>5972222</v>
      </c>
      <c r="V611" s="19">
        <v>6450000</v>
      </c>
      <c r="W611" s="13" t="s">
        <v>135</v>
      </c>
      <c r="X611" s="14" t="s">
        <v>2066</v>
      </c>
      <c r="Y611" s="13" t="s">
        <v>445</v>
      </c>
      <c r="Z611" s="14" t="s">
        <v>2067</v>
      </c>
      <c r="AA611" s="17">
        <v>16</v>
      </c>
      <c r="AB611" s="14" t="s">
        <v>2031</v>
      </c>
      <c r="AC611" s="17">
        <v>129000000</v>
      </c>
      <c r="AD611" s="14" t="s">
        <v>108</v>
      </c>
      <c r="AE611" s="17">
        <v>119444444</v>
      </c>
      <c r="AF611" s="14" t="s">
        <v>109</v>
      </c>
      <c r="AG611" s="21" t="s">
        <v>446</v>
      </c>
      <c r="AH611" s="10">
        <v>61678813</v>
      </c>
      <c r="AI611" s="24" t="str">
        <f>VLOOKUP(Sales[[#This Row],[Store]],'Store lay bao  cao'!A:B,2,0)</f>
        <v>Lấy BC</v>
      </c>
      <c r="AJ611" s="24" t="str">
        <f>VLOOKUP(Sales[[#This Row],[Associate]],'Associate Status'!B:C,2,0)</f>
        <v>Active</v>
      </c>
    </row>
    <row r="612" spans="1:36" x14ac:dyDescent="0.25">
      <c r="A612" s="7">
        <v>2025</v>
      </c>
      <c r="B612" s="8">
        <v>3</v>
      </c>
      <c r="C612" s="8">
        <v>11</v>
      </c>
      <c r="D612" s="8" t="s">
        <v>52</v>
      </c>
      <c r="E612" s="8" t="s">
        <v>43</v>
      </c>
      <c r="F612" s="8" t="s">
        <v>52</v>
      </c>
      <c r="G612" s="9">
        <v>69637550</v>
      </c>
      <c r="H612" s="10">
        <v>64693500</v>
      </c>
      <c r="I612" s="11">
        <v>45727</v>
      </c>
      <c r="J612" s="12">
        <v>182564</v>
      </c>
      <c r="K612" s="13" t="s">
        <v>750</v>
      </c>
      <c r="L612" s="14" t="s">
        <v>44</v>
      </c>
      <c r="M612" s="11" t="s">
        <v>15</v>
      </c>
      <c r="N612" s="14" t="s">
        <v>11</v>
      </c>
      <c r="O612" s="15">
        <v>5793</v>
      </c>
      <c r="P612" s="12">
        <v>1</v>
      </c>
      <c r="Q612" s="13" t="s">
        <v>110</v>
      </c>
      <c r="R612" s="16">
        <v>164217000</v>
      </c>
      <c r="S612" s="17">
        <v>152052778</v>
      </c>
      <c r="T612" s="12">
        <v>5</v>
      </c>
      <c r="U612" s="18">
        <v>8002778</v>
      </c>
      <c r="V612" s="19">
        <v>8643000</v>
      </c>
      <c r="W612" s="13" t="s">
        <v>135</v>
      </c>
      <c r="X612" s="14" t="s">
        <v>2068</v>
      </c>
      <c r="Y612" s="13" t="s">
        <v>445</v>
      </c>
      <c r="Z612" s="14" t="s">
        <v>2069</v>
      </c>
      <c r="AA612" s="17">
        <v>16</v>
      </c>
      <c r="AB612" s="14" t="s">
        <v>1372</v>
      </c>
      <c r="AC612" s="17">
        <v>172860000</v>
      </c>
      <c r="AD612" s="14" t="s">
        <v>108</v>
      </c>
      <c r="AE612" s="17">
        <v>160055556</v>
      </c>
      <c r="AF612" s="14" t="s">
        <v>109</v>
      </c>
      <c r="AG612" s="20" t="s">
        <v>446</v>
      </c>
      <c r="AH612" s="10">
        <v>82415228</v>
      </c>
      <c r="AI612" s="24" t="str">
        <f>VLOOKUP(Sales[[#This Row],[Store]],'Store lay bao  cao'!A:B,2,0)</f>
        <v>Lấy BC</v>
      </c>
      <c r="AJ612" s="24" t="str">
        <f>VLOOKUP(Sales[[#This Row],[Associate]],'Associate Status'!B:C,2,0)</f>
        <v>Active</v>
      </c>
    </row>
    <row r="613" spans="1:36" ht="64.5" x14ac:dyDescent="0.25">
      <c r="A613" s="7">
        <v>2025</v>
      </c>
      <c r="B613" s="8">
        <v>3</v>
      </c>
      <c r="C613" s="8">
        <v>11</v>
      </c>
      <c r="D613" s="8" t="s">
        <v>60</v>
      </c>
      <c r="E613" s="8" t="s">
        <v>37</v>
      </c>
      <c r="F613" s="8" t="s">
        <v>60</v>
      </c>
      <c r="G613" s="9">
        <v>3177198</v>
      </c>
      <c r="H613" s="10">
        <v>2374050</v>
      </c>
      <c r="I613" s="11">
        <v>45730</v>
      </c>
      <c r="J613" s="12">
        <v>202758</v>
      </c>
      <c r="K613" s="13" t="s">
        <v>753</v>
      </c>
      <c r="L613" s="14" t="s">
        <v>19</v>
      </c>
      <c r="M613" s="11" t="s">
        <v>15</v>
      </c>
      <c r="N613" s="14" t="s">
        <v>62</v>
      </c>
      <c r="O613" s="15">
        <v>5800</v>
      </c>
      <c r="P613" s="12">
        <v>1</v>
      </c>
      <c r="Q613" s="13" t="s">
        <v>101</v>
      </c>
      <c r="R613" s="16">
        <v>7867000</v>
      </c>
      <c r="S613" s="17">
        <v>7284259</v>
      </c>
      <c r="T613" s="12">
        <v>0</v>
      </c>
      <c r="U613" s="18">
        <v>0</v>
      </c>
      <c r="V613" s="19">
        <v>0</v>
      </c>
      <c r="W613" s="13" t="s">
        <v>135</v>
      </c>
      <c r="X613" s="23" t="s">
        <v>1469</v>
      </c>
      <c r="Y613" s="13" t="s">
        <v>1143</v>
      </c>
      <c r="Z613" s="14" t="s">
        <v>1470</v>
      </c>
      <c r="AA613" s="17">
        <v>12</v>
      </c>
      <c r="AB613" s="14" t="s">
        <v>1471</v>
      </c>
      <c r="AC613" s="17">
        <v>7867000</v>
      </c>
      <c r="AD613" s="14" t="s">
        <v>108</v>
      </c>
      <c r="AE613" s="17">
        <v>7284259</v>
      </c>
      <c r="AF613" s="14" t="s">
        <v>109</v>
      </c>
      <c r="AG613" s="21" t="s">
        <v>212</v>
      </c>
      <c r="AH613" s="10">
        <v>4107061</v>
      </c>
      <c r="AI613" s="24" t="str">
        <f>VLOOKUP(Sales[[#This Row],[Store]],'Store lay bao  cao'!A:B,2,0)</f>
        <v>Lấy BC</v>
      </c>
      <c r="AJ613" s="24" t="str">
        <f>VLOOKUP(Sales[[#This Row],[Associate]],'Associate Status'!B:C,2,0)</f>
        <v>Active</v>
      </c>
    </row>
    <row r="614" spans="1:36" x14ac:dyDescent="0.25">
      <c r="A614" s="7">
        <v>2025</v>
      </c>
      <c r="B614" s="8">
        <v>3</v>
      </c>
      <c r="C614" s="8">
        <v>11</v>
      </c>
      <c r="D614" s="8" t="s">
        <v>60</v>
      </c>
      <c r="E614" s="8" t="s">
        <v>34</v>
      </c>
      <c r="F614" s="8" t="s">
        <v>60</v>
      </c>
      <c r="G614" s="9">
        <v>15864206</v>
      </c>
      <c r="H614" s="10">
        <v>16787925</v>
      </c>
      <c r="I614" s="11">
        <v>45730</v>
      </c>
      <c r="J614" s="12">
        <v>206910</v>
      </c>
      <c r="K614" s="13" t="s">
        <v>753</v>
      </c>
      <c r="L614" s="14" t="s">
        <v>58</v>
      </c>
      <c r="M614" s="11" t="s">
        <v>15</v>
      </c>
      <c r="N614" s="14" t="s">
        <v>11</v>
      </c>
      <c r="O614" s="15">
        <v>5800</v>
      </c>
      <c r="P614" s="12">
        <v>1</v>
      </c>
      <c r="Q614" s="13" t="s">
        <v>101</v>
      </c>
      <c r="R614" s="16">
        <v>53905000</v>
      </c>
      <c r="S614" s="17">
        <v>49912037</v>
      </c>
      <c r="T614" s="12">
        <v>0</v>
      </c>
      <c r="U614" s="18">
        <v>0</v>
      </c>
      <c r="V614" s="19">
        <v>0</v>
      </c>
      <c r="W614" s="13" t="s">
        <v>135</v>
      </c>
      <c r="X614" s="14" t="s">
        <v>2070</v>
      </c>
      <c r="Y614" s="13" t="s">
        <v>1143</v>
      </c>
      <c r="Z614" s="14" t="s">
        <v>1447</v>
      </c>
      <c r="AA614" s="17">
        <v>12</v>
      </c>
      <c r="AB614" s="14" t="s">
        <v>1592</v>
      </c>
      <c r="AC614" s="17">
        <v>53905000</v>
      </c>
      <c r="AD614" s="14">
        <v>0</v>
      </c>
      <c r="AE614" s="17">
        <v>49912037</v>
      </c>
      <c r="AF614" s="14" t="s">
        <v>109</v>
      </c>
      <c r="AG614" s="20" t="s">
        <v>212</v>
      </c>
      <c r="AH614" s="10">
        <v>34047831</v>
      </c>
      <c r="AI614" s="24" t="str">
        <f>VLOOKUP(Sales[[#This Row],[Store]],'Store lay bao  cao'!A:B,2,0)</f>
        <v>Lấy BC</v>
      </c>
      <c r="AJ614" s="24" t="str">
        <f>VLOOKUP(Sales[[#This Row],[Associate]],'Associate Status'!B:C,2,0)</f>
        <v>Active</v>
      </c>
    </row>
    <row r="615" spans="1:36" ht="26.25" x14ac:dyDescent="0.25">
      <c r="A615" s="7">
        <v>2025</v>
      </c>
      <c r="B615" s="8">
        <v>3</v>
      </c>
      <c r="C615" s="8">
        <v>11</v>
      </c>
      <c r="D615" s="8" t="s">
        <v>63</v>
      </c>
      <c r="E615" s="8" t="s">
        <v>37</v>
      </c>
      <c r="F615" s="8" t="s">
        <v>63</v>
      </c>
      <c r="G615" s="9">
        <v>1374294</v>
      </c>
      <c r="H615" s="10">
        <v>1172296.2</v>
      </c>
      <c r="I615" s="11">
        <v>45730</v>
      </c>
      <c r="J615" s="12">
        <v>205034</v>
      </c>
      <c r="K615" s="13" t="s">
        <v>2071</v>
      </c>
      <c r="L615" s="14" t="s">
        <v>47</v>
      </c>
      <c r="M615" s="11" t="s">
        <v>21</v>
      </c>
      <c r="N615" s="14" t="s">
        <v>62</v>
      </c>
      <c r="O615" s="15">
        <v>9355</v>
      </c>
      <c r="P615" s="12">
        <v>1</v>
      </c>
      <c r="Q615" s="13" t="s">
        <v>101</v>
      </c>
      <c r="R615" s="16">
        <v>7034000</v>
      </c>
      <c r="S615" s="17">
        <v>6512963</v>
      </c>
      <c r="T615" s="12">
        <v>0</v>
      </c>
      <c r="U615" s="18">
        <v>0</v>
      </c>
      <c r="V615" s="19">
        <v>0</v>
      </c>
      <c r="W615" s="13" t="s">
        <v>160</v>
      </c>
      <c r="X615" s="23" t="s">
        <v>1486</v>
      </c>
      <c r="Y615" s="13" t="s">
        <v>967</v>
      </c>
      <c r="Z615" s="14">
        <v>37</v>
      </c>
      <c r="AA615" s="17">
        <v>21</v>
      </c>
      <c r="AB615" s="14" t="s">
        <v>341</v>
      </c>
      <c r="AC615" s="17">
        <v>7034000</v>
      </c>
      <c r="AD615" s="14" t="s">
        <v>1969</v>
      </c>
      <c r="AE615" s="17">
        <v>6512963</v>
      </c>
      <c r="AF615" s="14" t="s">
        <v>1456</v>
      </c>
      <c r="AG615" s="21" t="s">
        <v>1043</v>
      </c>
      <c r="AH615" s="10">
        <v>5138669</v>
      </c>
      <c r="AI615" s="24" t="str">
        <f>VLOOKUP(Sales[[#This Row],[Store]],'Store lay bao  cao'!A:B,2,0)</f>
        <v>Lấy BC</v>
      </c>
      <c r="AJ615" s="24" t="e">
        <f>VLOOKUP(Sales[[#This Row],[Associate]],'Associate Status'!B:C,2,0)</f>
        <v>#N/A</v>
      </c>
    </row>
    <row r="616" spans="1:36" x14ac:dyDescent="0.25">
      <c r="A616" s="7">
        <v>2025</v>
      </c>
      <c r="B616" s="8">
        <v>3</v>
      </c>
      <c r="C616" s="8">
        <v>11</v>
      </c>
      <c r="D616" s="8" t="s">
        <v>63</v>
      </c>
      <c r="E616" s="8" t="s">
        <v>37</v>
      </c>
      <c r="F616" s="8" t="s">
        <v>63</v>
      </c>
      <c r="G616" s="9">
        <v>1190323</v>
      </c>
      <c r="H616" s="10">
        <v>968418.6</v>
      </c>
      <c r="I616" s="11">
        <v>45730</v>
      </c>
      <c r="J616" s="12">
        <v>205032</v>
      </c>
      <c r="K616" s="13" t="s">
        <v>2071</v>
      </c>
      <c r="L616" s="14" t="s">
        <v>47</v>
      </c>
      <c r="M616" s="11" t="s">
        <v>21</v>
      </c>
      <c r="N616" s="14" t="s">
        <v>62</v>
      </c>
      <c r="O616" s="15">
        <v>9355</v>
      </c>
      <c r="P616" s="12">
        <v>1</v>
      </c>
      <c r="Q616" s="13" t="s">
        <v>101</v>
      </c>
      <c r="R616" s="16">
        <v>5811000</v>
      </c>
      <c r="S616" s="17">
        <v>5380556</v>
      </c>
      <c r="T616" s="12">
        <v>0</v>
      </c>
      <c r="U616" s="18">
        <v>0</v>
      </c>
      <c r="V616" s="19">
        <v>0</v>
      </c>
      <c r="W616" s="13" t="s">
        <v>160</v>
      </c>
      <c r="X616" s="14" t="s">
        <v>904</v>
      </c>
      <c r="Y616" s="13" t="s">
        <v>967</v>
      </c>
      <c r="Z616" s="14">
        <v>35</v>
      </c>
      <c r="AA616" s="17">
        <v>21</v>
      </c>
      <c r="AB616" s="14" t="s">
        <v>161</v>
      </c>
      <c r="AC616" s="17">
        <v>5811000</v>
      </c>
      <c r="AD616" s="14" t="s">
        <v>1969</v>
      </c>
      <c r="AE616" s="17">
        <v>5380556</v>
      </c>
      <c r="AF616" s="14" t="s">
        <v>1456</v>
      </c>
      <c r="AG616" s="20" t="s">
        <v>1043</v>
      </c>
      <c r="AH616" s="10">
        <v>4190233</v>
      </c>
      <c r="AI616" s="24" t="str">
        <f>VLOOKUP(Sales[[#This Row],[Store]],'Store lay bao  cao'!A:B,2,0)</f>
        <v>Lấy BC</v>
      </c>
      <c r="AJ616" s="24" t="e">
        <f>VLOOKUP(Sales[[#This Row],[Associate]],'Associate Status'!B:C,2,0)</f>
        <v>#N/A</v>
      </c>
    </row>
    <row r="617" spans="1:36" x14ac:dyDescent="0.25">
      <c r="A617" s="7">
        <v>2025</v>
      </c>
      <c r="B617" s="8">
        <v>3</v>
      </c>
      <c r="C617" s="8">
        <v>11</v>
      </c>
      <c r="D617" s="8" t="s">
        <v>66</v>
      </c>
      <c r="E617" s="8" t="s">
        <v>34</v>
      </c>
      <c r="F617" s="8" t="s">
        <v>66</v>
      </c>
      <c r="G617" s="9">
        <v>19110143</v>
      </c>
      <c r="H617" s="10">
        <v>18319500</v>
      </c>
      <c r="I617" s="11">
        <v>45732</v>
      </c>
      <c r="J617" s="12">
        <v>214603</v>
      </c>
      <c r="K617" s="13" t="s">
        <v>754</v>
      </c>
      <c r="L617" s="14" t="s">
        <v>58</v>
      </c>
      <c r="M617" s="11" t="s">
        <v>15</v>
      </c>
      <c r="N617" s="14" t="s">
        <v>62</v>
      </c>
      <c r="O617" s="15">
        <v>5808</v>
      </c>
      <c r="P617" s="12">
        <v>1</v>
      </c>
      <c r="Q617" s="13" t="s">
        <v>102</v>
      </c>
      <c r="R617" s="16">
        <v>63016000</v>
      </c>
      <c r="S617" s="17">
        <v>58348148</v>
      </c>
      <c r="T617" s="12">
        <v>0</v>
      </c>
      <c r="U617" s="18">
        <v>0</v>
      </c>
      <c r="V617" s="19">
        <v>0</v>
      </c>
      <c r="W617" s="13" t="s">
        <v>135</v>
      </c>
      <c r="X617" s="14" t="s">
        <v>2072</v>
      </c>
      <c r="Y617" s="13" t="s">
        <v>247</v>
      </c>
      <c r="Z617" s="14" t="s">
        <v>1530</v>
      </c>
      <c r="AA617" s="17">
        <v>10</v>
      </c>
      <c r="AB617" s="14" t="s">
        <v>1337</v>
      </c>
      <c r="AC617" s="17">
        <v>63016000</v>
      </c>
      <c r="AD617" s="14">
        <v>0</v>
      </c>
      <c r="AE617" s="17">
        <v>58348148</v>
      </c>
      <c r="AF617" s="14" t="s">
        <v>106</v>
      </c>
      <c r="AG617" s="21" t="s">
        <v>248</v>
      </c>
      <c r="AH617" s="10">
        <v>39238005</v>
      </c>
      <c r="AI617" s="24" t="str">
        <f>VLOOKUP(Sales[[#This Row],[Store]],'Store lay bao  cao'!A:B,2,0)</f>
        <v>Lấy BC</v>
      </c>
      <c r="AJ617" s="24" t="str">
        <f>VLOOKUP(Sales[[#This Row],[Associate]],'Associate Status'!B:C,2,0)</f>
        <v>Active</v>
      </c>
    </row>
    <row r="618" spans="1:36" x14ac:dyDescent="0.25">
      <c r="A618" s="7">
        <v>2025</v>
      </c>
      <c r="B618" s="8">
        <v>3</v>
      </c>
      <c r="C618" s="8">
        <v>12</v>
      </c>
      <c r="D618" s="8" t="s">
        <v>60</v>
      </c>
      <c r="E618" s="8" t="s">
        <v>37</v>
      </c>
      <c r="F618" s="8" t="s">
        <v>60</v>
      </c>
      <c r="G618" s="9">
        <v>12125218</v>
      </c>
      <c r="H618" s="10">
        <v>11286000</v>
      </c>
      <c r="I618" s="11">
        <v>45734</v>
      </c>
      <c r="J618" s="12">
        <v>208291</v>
      </c>
      <c r="K618" s="13" t="s">
        <v>2073</v>
      </c>
      <c r="L618" s="14" t="s">
        <v>50</v>
      </c>
      <c r="M618" s="11" t="s">
        <v>17</v>
      </c>
      <c r="N618" s="14" t="s">
        <v>11</v>
      </c>
      <c r="O618" s="15">
        <v>9185</v>
      </c>
      <c r="P618" s="12">
        <v>1</v>
      </c>
      <c r="Q618" s="13" t="s">
        <v>101</v>
      </c>
      <c r="R618" s="16">
        <v>32504400</v>
      </c>
      <c r="S618" s="17">
        <v>30096667</v>
      </c>
      <c r="T618" s="12">
        <v>10</v>
      </c>
      <c r="U618" s="18">
        <v>3344074</v>
      </c>
      <c r="V618" s="19">
        <v>3611600</v>
      </c>
      <c r="W618" s="13" t="s">
        <v>427</v>
      </c>
      <c r="X618" s="14" t="s">
        <v>2074</v>
      </c>
      <c r="Y618" s="13" t="s">
        <v>304</v>
      </c>
      <c r="Z618" s="14" t="s">
        <v>2075</v>
      </c>
      <c r="AA618" s="17">
        <v>11</v>
      </c>
      <c r="AB618" s="14" t="s">
        <v>2076</v>
      </c>
      <c r="AC618" s="17">
        <v>36116000</v>
      </c>
      <c r="AD618" s="14" t="s">
        <v>108</v>
      </c>
      <c r="AE618" s="17">
        <v>33440741</v>
      </c>
      <c r="AF618" s="14" t="s">
        <v>129</v>
      </c>
      <c r="AG618" s="20" t="s">
        <v>305</v>
      </c>
      <c r="AH618" s="10">
        <v>17971449</v>
      </c>
      <c r="AI618" s="24" t="str">
        <f>VLOOKUP(Sales[[#This Row],[Store]],'Store lay bao  cao'!A:B,2,0)</f>
        <v>Lấy BC</v>
      </c>
      <c r="AJ618" s="24" t="str">
        <f>VLOOKUP(Sales[[#This Row],[Associate]],'Associate Status'!B:C,2,0)</f>
        <v>Active</v>
      </c>
    </row>
    <row r="619" spans="1:36" x14ac:dyDescent="0.25">
      <c r="A619" s="7">
        <v>2025</v>
      </c>
      <c r="B619" s="8">
        <v>3</v>
      </c>
      <c r="C619" s="8">
        <v>12</v>
      </c>
      <c r="D619" s="8" t="s">
        <v>51</v>
      </c>
      <c r="E619" s="8" t="s">
        <v>37</v>
      </c>
      <c r="F619" s="8" t="s">
        <v>51</v>
      </c>
      <c r="G619" s="9">
        <v>1461877</v>
      </c>
      <c r="H619" s="10">
        <v>1274400</v>
      </c>
      <c r="I619" s="11">
        <v>45735</v>
      </c>
      <c r="J619" s="12">
        <v>174870</v>
      </c>
      <c r="K619" s="13" t="s">
        <v>2077</v>
      </c>
      <c r="L619" s="14" t="s">
        <v>47</v>
      </c>
      <c r="M619" s="11" t="s">
        <v>21</v>
      </c>
      <c r="N619" s="14" t="s">
        <v>11</v>
      </c>
      <c r="O619" s="15">
        <v>9378</v>
      </c>
      <c r="P619" s="12">
        <v>1</v>
      </c>
      <c r="Q619" s="13" t="s">
        <v>101</v>
      </c>
      <c r="R619" s="16">
        <v>7080000</v>
      </c>
      <c r="S619" s="17">
        <v>6555556</v>
      </c>
      <c r="T619" s="12">
        <v>0</v>
      </c>
      <c r="U619" s="18">
        <v>0</v>
      </c>
      <c r="V619" s="19">
        <v>0</v>
      </c>
      <c r="W619" s="13" t="s">
        <v>160</v>
      </c>
      <c r="X619" s="14" t="s">
        <v>1188</v>
      </c>
      <c r="Y619" s="13" t="s">
        <v>505</v>
      </c>
      <c r="Z619" s="14" t="s">
        <v>982</v>
      </c>
      <c r="AA619" s="17">
        <v>15</v>
      </c>
      <c r="AB619" s="14" t="s">
        <v>189</v>
      </c>
      <c r="AC619" s="17">
        <v>7080000</v>
      </c>
      <c r="AD619" s="14" t="s">
        <v>849</v>
      </c>
      <c r="AE619" s="17">
        <v>6555556</v>
      </c>
      <c r="AF619" s="14" t="s">
        <v>324</v>
      </c>
      <c r="AG619" s="21" t="s">
        <v>506</v>
      </c>
      <c r="AH619" s="10">
        <v>5093679</v>
      </c>
      <c r="AI619" s="24" t="str">
        <f>VLOOKUP(Sales[[#This Row],[Store]],'Store lay bao  cao'!A:B,2,0)</f>
        <v>Lấy BC</v>
      </c>
      <c r="AJ619" s="24" t="str">
        <f>VLOOKUP(Sales[[#This Row],[Associate]],'Associate Status'!B:C,2,0)</f>
        <v>Retired</v>
      </c>
    </row>
    <row r="620" spans="1:36" x14ac:dyDescent="0.25">
      <c r="A620" s="7">
        <v>2025</v>
      </c>
      <c r="B620" s="8">
        <v>3</v>
      </c>
      <c r="C620" s="8">
        <v>12</v>
      </c>
      <c r="D620" s="8" t="s">
        <v>63</v>
      </c>
      <c r="E620" s="8" t="s">
        <v>37</v>
      </c>
      <c r="F620" s="8" t="s">
        <v>63</v>
      </c>
      <c r="G620" s="9">
        <v>1279338</v>
      </c>
      <c r="H620" s="10">
        <v>1121326.8</v>
      </c>
      <c r="I620" s="11">
        <v>45735</v>
      </c>
      <c r="J620" s="12">
        <v>205029</v>
      </c>
      <c r="K620" s="13" t="s">
        <v>2077</v>
      </c>
      <c r="L620" s="14" t="s">
        <v>47</v>
      </c>
      <c r="M620" s="11" t="s">
        <v>21</v>
      </c>
      <c r="N620" s="14" t="s">
        <v>62</v>
      </c>
      <c r="O620" s="15">
        <v>9378</v>
      </c>
      <c r="P620" s="12">
        <v>1</v>
      </c>
      <c r="Q620" s="13" t="s">
        <v>101</v>
      </c>
      <c r="R620" s="16">
        <v>6728000</v>
      </c>
      <c r="S620" s="17">
        <v>6229630</v>
      </c>
      <c r="T620" s="12">
        <v>0</v>
      </c>
      <c r="U620" s="18">
        <v>0</v>
      </c>
      <c r="V620" s="19">
        <v>0</v>
      </c>
      <c r="W620" s="13" t="s">
        <v>160</v>
      </c>
      <c r="X620" s="14" t="s">
        <v>2078</v>
      </c>
      <c r="Y620" s="13" t="s">
        <v>505</v>
      </c>
      <c r="Z620" s="14">
        <v>32</v>
      </c>
      <c r="AA620" s="17">
        <v>15</v>
      </c>
      <c r="AB620" s="14" t="s">
        <v>1984</v>
      </c>
      <c r="AC620" s="17">
        <v>6728000</v>
      </c>
      <c r="AD620" s="14" t="s">
        <v>1969</v>
      </c>
      <c r="AE620" s="17">
        <v>6229630</v>
      </c>
      <c r="AF620" s="14" t="s">
        <v>324</v>
      </c>
      <c r="AG620" s="20" t="s">
        <v>506</v>
      </c>
      <c r="AH620" s="10">
        <v>4950292</v>
      </c>
      <c r="AI620" s="24" t="str">
        <f>VLOOKUP(Sales[[#This Row],[Store]],'Store lay bao  cao'!A:B,2,0)</f>
        <v>Lấy BC</v>
      </c>
      <c r="AJ620" s="24" t="str">
        <f>VLOOKUP(Sales[[#This Row],[Associate]],'Associate Status'!B:C,2,0)</f>
        <v>Retired</v>
      </c>
    </row>
    <row r="621" spans="1:36" x14ac:dyDescent="0.25">
      <c r="A621" s="7">
        <v>2025</v>
      </c>
      <c r="B621" s="8">
        <v>3</v>
      </c>
      <c r="C621" s="8">
        <v>12</v>
      </c>
      <c r="D621" s="8" t="s">
        <v>63</v>
      </c>
      <c r="E621" s="8" t="s">
        <v>37</v>
      </c>
      <c r="F621" s="8" t="s">
        <v>63</v>
      </c>
      <c r="G621" s="9">
        <v>1242888</v>
      </c>
      <c r="H621" s="10">
        <v>1019388</v>
      </c>
      <c r="I621" s="11">
        <v>45735</v>
      </c>
      <c r="J621" s="12">
        <v>205060</v>
      </c>
      <c r="K621" s="13" t="s">
        <v>2077</v>
      </c>
      <c r="L621" s="14" t="s">
        <v>47</v>
      </c>
      <c r="M621" s="11" t="s">
        <v>21</v>
      </c>
      <c r="N621" s="14" t="s">
        <v>62</v>
      </c>
      <c r="O621" s="15">
        <v>9378</v>
      </c>
      <c r="P621" s="12">
        <v>1</v>
      </c>
      <c r="Q621" s="13" t="s">
        <v>101</v>
      </c>
      <c r="R621" s="16">
        <v>6117000</v>
      </c>
      <c r="S621" s="17">
        <v>5663889</v>
      </c>
      <c r="T621" s="12">
        <v>0</v>
      </c>
      <c r="U621" s="18">
        <v>0</v>
      </c>
      <c r="V621" s="19">
        <v>0</v>
      </c>
      <c r="W621" s="13" t="s">
        <v>160</v>
      </c>
      <c r="X621" s="14" t="s">
        <v>1558</v>
      </c>
      <c r="Y621" s="13" t="s">
        <v>505</v>
      </c>
      <c r="Z621" s="14">
        <v>63</v>
      </c>
      <c r="AA621" s="17">
        <v>15</v>
      </c>
      <c r="AB621" s="14" t="s">
        <v>1984</v>
      </c>
      <c r="AC621" s="17">
        <v>6117000</v>
      </c>
      <c r="AD621" s="14" t="s">
        <v>1969</v>
      </c>
      <c r="AE621" s="17">
        <v>5663889</v>
      </c>
      <c r="AF621" s="14" t="s">
        <v>324</v>
      </c>
      <c r="AG621" s="21" t="s">
        <v>506</v>
      </c>
      <c r="AH621" s="10">
        <v>4421001</v>
      </c>
      <c r="AI621" s="24" t="str">
        <f>VLOOKUP(Sales[[#This Row],[Store]],'Store lay bao  cao'!A:B,2,0)</f>
        <v>Lấy BC</v>
      </c>
      <c r="AJ621" s="24" t="str">
        <f>VLOOKUP(Sales[[#This Row],[Associate]],'Associate Status'!B:C,2,0)</f>
        <v>Retired</v>
      </c>
    </row>
    <row r="622" spans="1:36" x14ac:dyDescent="0.25">
      <c r="A622" s="7">
        <v>2025</v>
      </c>
      <c r="B622" s="8">
        <v>3</v>
      </c>
      <c r="C622" s="8">
        <v>12</v>
      </c>
      <c r="D622" s="8" t="s">
        <v>63</v>
      </c>
      <c r="E622" s="8" t="s">
        <v>37</v>
      </c>
      <c r="F622" s="8" t="s">
        <v>63</v>
      </c>
      <c r="G622" s="9">
        <v>1426858</v>
      </c>
      <c r="H622" s="10">
        <v>1223265.5999999999</v>
      </c>
      <c r="I622" s="11">
        <v>45735</v>
      </c>
      <c r="J622" s="12">
        <v>205036</v>
      </c>
      <c r="K622" s="13" t="s">
        <v>2077</v>
      </c>
      <c r="L622" s="14" t="s">
        <v>47</v>
      </c>
      <c r="M622" s="11" t="s">
        <v>21</v>
      </c>
      <c r="N622" s="14" t="s">
        <v>62</v>
      </c>
      <c r="O622" s="15">
        <v>9378</v>
      </c>
      <c r="P622" s="12">
        <v>1</v>
      </c>
      <c r="Q622" s="13" t="s">
        <v>101</v>
      </c>
      <c r="R622" s="16">
        <v>7340000</v>
      </c>
      <c r="S622" s="17">
        <v>6796296</v>
      </c>
      <c r="T622" s="12">
        <v>0</v>
      </c>
      <c r="U622" s="18">
        <v>0</v>
      </c>
      <c r="V622" s="19">
        <v>0</v>
      </c>
      <c r="W622" s="13" t="s">
        <v>160</v>
      </c>
      <c r="X622" s="14" t="s">
        <v>1517</v>
      </c>
      <c r="Y622" s="13" t="s">
        <v>505</v>
      </c>
      <c r="Z622" s="14">
        <v>39</v>
      </c>
      <c r="AA622" s="17">
        <v>15</v>
      </c>
      <c r="AB622" s="14" t="s">
        <v>269</v>
      </c>
      <c r="AC622" s="17">
        <v>7340000</v>
      </c>
      <c r="AD622" s="14" t="s">
        <v>1969</v>
      </c>
      <c r="AE622" s="17">
        <v>6796296</v>
      </c>
      <c r="AF622" s="14" t="s">
        <v>324</v>
      </c>
      <c r="AG622" s="20" t="s">
        <v>506</v>
      </c>
      <c r="AH622" s="10">
        <v>5369438</v>
      </c>
      <c r="AI622" s="24" t="str">
        <f>VLOOKUP(Sales[[#This Row],[Store]],'Store lay bao  cao'!A:B,2,0)</f>
        <v>Lấy BC</v>
      </c>
      <c r="AJ622" s="24" t="str">
        <f>VLOOKUP(Sales[[#This Row],[Associate]],'Associate Status'!B:C,2,0)</f>
        <v>Retired</v>
      </c>
    </row>
    <row r="623" spans="1:36" x14ac:dyDescent="0.25">
      <c r="A623" s="7">
        <v>2025</v>
      </c>
      <c r="B623" s="8">
        <v>3</v>
      </c>
      <c r="C623" s="8">
        <v>13</v>
      </c>
      <c r="D623" s="8" t="s">
        <v>60</v>
      </c>
      <c r="E623" s="8" t="s">
        <v>34</v>
      </c>
      <c r="F623" s="8" t="s">
        <v>60</v>
      </c>
      <c r="G623" s="9">
        <v>18034298</v>
      </c>
      <c r="H623" s="10">
        <v>14002050</v>
      </c>
      <c r="I623" s="11">
        <v>45741</v>
      </c>
      <c r="J623" s="12">
        <v>202752</v>
      </c>
      <c r="K623" s="13" t="s">
        <v>2081</v>
      </c>
      <c r="L623" s="14" t="s">
        <v>19</v>
      </c>
      <c r="M623" s="11" t="s">
        <v>17</v>
      </c>
      <c r="N623" s="14" t="s">
        <v>62</v>
      </c>
      <c r="O623" s="15">
        <v>9195</v>
      </c>
      <c r="P623" s="12">
        <v>1</v>
      </c>
      <c r="Q623" s="13" t="s">
        <v>101</v>
      </c>
      <c r="R623" s="16">
        <v>44079050</v>
      </c>
      <c r="S623" s="17">
        <v>40813935</v>
      </c>
      <c r="T623" s="12">
        <v>5</v>
      </c>
      <c r="U623" s="18">
        <v>2148102</v>
      </c>
      <c r="V623" s="19">
        <v>2319950</v>
      </c>
      <c r="W623" s="13" t="s">
        <v>427</v>
      </c>
      <c r="X623" s="14" t="s">
        <v>1650</v>
      </c>
      <c r="Y623" s="13" t="s">
        <v>103</v>
      </c>
      <c r="Z623" s="14" t="s">
        <v>1651</v>
      </c>
      <c r="AA623" s="17">
        <v>15</v>
      </c>
      <c r="AB623" s="14" t="s">
        <v>1652</v>
      </c>
      <c r="AC623" s="17">
        <v>46399000</v>
      </c>
      <c r="AD623" s="14" t="s">
        <v>108</v>
      </c>
      <c r="AE623" s="17">
        <v>42962037</v>
      </c>
      <c r="AF623" s="14" t="s">
        <v>885</v>
      </c>
      <c r="AG623" s="21"/>
      <c r="AH623" s="10">
        <v>22779637</v>
      </c>
      <c r="AI623" s="24" t="str">
        <f>VLOOKUP(Sales[[#This Row],[Store]],'Store lay bao  cao'!A:B,2,0)</f>
        <v>Lấy BC</v>
      </c>
      <c r="AJ623" s="24" t="str">
        <f>VLOOKUP(Sales[[#This Row],[Associate]],'Associate Status'!B:C,2,0)</f>
        <v>Retired</v>
      </c>
    </row>
    <row r="624" spans="1:36" x14ac:dyDescent="0.25">
      <c r="A624" s="7">
        <v>2025</v>
      </c>
      <c r="B624" s="8">
        <v>3</v>
      </c>
      <c r="C624" s="8">
        <v>13</v>
      </c>
      <c r="D624" s="8" t="s">
        <v>63</v>
      </c>
      <c r="E624" s="8" t="s">
        <v>37</v>
      </c>
      <c r="F624" s="8" t="s">
        <v>63</v>
      </c>
      <c r="G624" s="9">
        <v>1463308</v>
      </c>
      <c r="H624" s="10">
        <v>1325204.3999999999</v>
      </c>
      <c r="I624" s="11">
        <v>45743</v>
      </c>
      <c r="J624" s="12">
        <v>205023</v>
      </c>
      <c r="K624" s="13" t="s">
        <v>2083</v>
      </c>
      <c r="L624" s="14" t="s">
        <v>47</v>
      </c>
      <c r="M624" s="11" t="s">
        <v>21</v>
      </c>
      <c r="N624" s="14" t="s">
        <v>62</v>
      </c>
      <c r="O624" s="15">
        <v>9409</v>
      </c>
      <c r="P624" s="12">
        <v>1</v>
      </c>
      <c r="Q624" s="13" t="s">
        <v>101</v>
      </c>
      <c r="R624" s="16">
        <v>7952000</v>
      </c>
      <c r="S624" s="17">
        <v>7362963</v>
      </c>
      <c r="T624" s="12">
        <v>0</v>
      </c>
      <c r="U624" s="18">
        <v>0</v>
      </c>
      <c r="V624" s="19">
        <v>0</v>
      </c>
      <c r="W624" s="13" t="s">
        <v>182</v>
      </c>
      <c r="X624" s="14" t="s">
        <v>2084</v>
      </c>
      <c r="Y624" s="13" t="s">
        <v>310</v>
      </c>
      <c r="Z624" s="14">
        <v>26</v>
      </c>
      <c r="AA624" s="17">
        <v>14</v>
      </c>
      <c r="AB624" s="14" t="s">
        <v>2085</v>
      </c>
      <c r="AC624" s="17">
        <v>7952000</v>
      </c>
      <c r="AD624" s="14" t="s">
        <v>1969</v>
      </c>
      <c r="AE624" s="17">
        <v>7362963</v>
      </c>
      <c r="AF624" s="14" t="s">
        <v>752</v>
      </c>
      <c r="AG624" s="20" t="s">
        <v>311</v>
      </c>
      <c r="AH624" s="10">
        <v>5899655</v>
      </c>
      <c r="AI624" s="24" t="str">
        <f>VLOOKUP(Sales[[#This Row],[Store]],'Store lay bao  cao'!A:B,2,0)</f>
        <v>Lấy BC</v>
      </c>
      <c r="AJ624" s="24" t="str">
        <f>VLOOKUP(Sales[[#This Row],[Associate]],'Associate Status'!B:C,2,0)</f>
        <v>Retired</v>
      </c>
    </row>
    <row r="625" spans="1:36" x14ac:dyDescent="0.25">
      <c r="A625" s="7">
        <v>2025</v>
      </c>
      <c r="B625" s="8">
        <v>3</v>
      </c>
      <c r="C625" s="8">
        <v>13</v>
      </c>
      <c r="D625" s="8" t="s">
        <v>63</v>
      </c>
      <c r="E625" s="8" t="s">
        <v>37</v>
      </c>
      <c r="F625" s="8" t="s">
        <v>63</v>
      </c>
      <c r="G625" s="9">
        <v>1463308</v>
      </c>
      <c r="H625" s="10">
        <v>1325204.3999999999</v>
      </c>
      <c r="I625" s="11">
        <v>45743</v>
      </c>
      <c r="J625" s="12">
        <v>205023</v>
      </c>
      <c r="K625" s="13" t="s">
        <v>2086</v>
      </c>
      <c r="L625" s="14" t="s">
        <v>47</v>
      </c>
      <c r="M625" s="11" t="s">
        <v>21</v>
      </c>
      <c r="N625" s="14" t="s">
        <v>62</v>
      </c>
      <c r="O625" s="15">
        <v>9412</v>
      </c>
      <c r="P625" s="12">
        <v>1</v>
      </c>
      <c r="Q625" s="13" t="s">
        <v>101</v>
      </c>
      <c r="R625" s="16">
        <v>7952000</v>
      </c>
      <c r="S625" s="17">
        <v>7362963</v>
      </c>
      <c r="T625" s="12">
        <v>0</v>
      </c>
      <c r="U625" s="18">
        <v>0</v>
      </c>
      <c r="V625" s="19">
        <v>0</v>
      </c>
      <c r="W625" s="13" t="s">
        <v>160</v>
      </c>
      <c r="X625" s="14" t="s">
        <v>2084</v>
      </c>
      <c r="Y625" s="13" t="s">
        <v>310</v>
      </c>
      <c r="Z625" s="14">
        <v>26</v>
      </c>
      <c r="AA625" s="17">
        <v>14</v>
      </c>
      <c r="AB625" s="14" t="s">
        <v>2085</v>
      </c>
      <c r="AC625" s="17">
        <v>7952000</v>
      </c>
      <c r="AD625" s="14" t="s">
        <v>1969</v>
      </c>
      <c r="AE625" s="17">
        <v>7362963</v>
      </c>
      <c r="AF625" s="14" t="s">
        <v>752</v>
      </c>
      <c r="AG625" s="21" t="s">
        <v>311</v>
      </c>
      <c r="AH625" s="10">
        <v>5899655</v>
      </c>
      <c r="AI625" s="24" t="str">
        <f>VLOOKUP(Sales[[#This Row],[Store]],'Store lay bao  cao'!A:B,2,0)</f>
        <v>Lấy BC</v>
      </c>
      <c r="AJ625" s="24" t="str">
        <f>VLOOKUP(Sales[[#This Row],[Associate]],'Associate Status'!B:C,2,0)</f>
        <v>Retired</v>
      </c>
    </row>
    <row r="626" spans="1:36" x14ac:dyDescent="0.25">
      <c r="A626" s="7">
        <v>2025</v>
      </c>
      <c r="B626" s="8">
        <v>3</v>
      </c>
      <c r="C626" s="8">
        <v>13</v>
      </c>
      <c r="D626" s="8" t="s">
        <v>63</v>
      </c>
      <c r="E626" s="8" t="s">
        <v>37</v>
      </c>
      <c r="F626" s="8" t="s">
        <v>63</v>
      </c>
      <c r="G626" s="9">
        <v>-1463308</v>
      </c>
      <c r="H626" s="10">
        <v>-1325204.3999999999</v>
      </c>
      <c r="I626" s="11">
        <v>45743</v>
      </c>
      <c r="J626" s="12">
        <v>205023</v>
      </c>
      <c r="K626" s="13" t="s">
        <v>2087</v>
      </c>
      <c r="L626" s="14" t="s">
        <v>47</v>
      </c>
      <c r="M626" s="11" t="s">
        <v>21</v>
      </c>
      <c r="N626" s="14" t="s">
        <v>62</v>
      </c>
      <c r="O626" s="15">
        <v>9410</v>
      </c>
      <c r="P626" s="12">
        <v>-1</v>
      </c>
      <c r="Q626" s="13" t="s">
        <v>101</v>
      </c>
      <c r="R626" s="16">
        <v>-7952000</v>
      </c>
      <c r="S626" s="17">
        <v>-7362963</v>
      </c>
      <c r="T626" s="12">
        <v>0</v>
      </c>
      <c r="U626" s="18">
        <v>0</v>
      </c>
      <c r="V626" s="19">
        <v>0</v>
      </c>
      <c r="W626" s="13" t="s">
        <v>160</v>
      </c>
      <c r="X626" s="14" t="s">
        <v>2084</v>
      </c>
      <c r="Y626" s="13" t="s">
        <v>310</v>
      </c>
      <c r="Z626" s="14">
        <v>26</v>
      </c>
      <c r="AA626" s="17">
        <v>14</v>
      </c>
      <c r="AB626" s="14" t="s">
        <v>2085</v>
      </c>
      <c r="AC626" s="17">
        <v>-7952000</v>
      </c>
      <c r="AD626" s="14" t="s">
        <v>1969</v>
      </c>
      <c r="AE626" s="17">
        <v>-7362963</v>
      </c>
      <c r="AF626" s="14" t="s">
        <v>752</v>
      </c>
      <c r="AG626" s="20" t="s">
        <v>311</v>
      </c>
      <c r="AH626" s="10">
        <v>-5899655</v>
      </c>
      <c r="AI626" s="24" t="str">
        <f>VLOOKUP(Sales[[#This Row],[Store]],'Store lay bao  cao'!A:B,2,0)</f>
        <v>Lấy BC</v>
      </c>
      <c r="AJ626" s="24" t="str">
        <f>VLOOKUP(Sales[[#This Row],[Associate]],'Associate Status'!B:C,2,0)</f>
        <v>Retired</v>
      </c>
    </row>
    <row r="627" spans="1:36" x14ac:dyDescent="0.25">
      <c r="A627" s="7">
        <v>2025</v>
      </c>
      <c r="B627" s="8">
        <v>4</v>
      </c>
      <c r="C627" s="8">
        <v>14</v>
      </c>
      <c r="D627" s="8" t="s">
        <v>60</v>
      </c>
      <c r="E627" s="8" t="s">
        <v>43</v>
      </c>
      <c r="F627" s="8" t="s">
        <v>60</v>
      </c>
      <c r="G627" s="9">
        <v>7456689</v>
      </c>
      <c r="H627" s="10">
        <v>5571750</v>
      </c>
      <c r="I627" s="11">
        <v>45751</v>
      </c>
      <c r="J627" s="12">
        <v>202803</v>
      </c>
      <c r="K627" s="13" t="s">
        <v>465</v>
      </c>
      <c r="L627" s="14" t="s">
        <v>19</v>
      </c>
      <c r="M627" s="11" t="s">
        <v>17</v>
      </c>
      <c r="N627" s="14" t="s">
        <v>62</v>
      </c>
      <c r="O627" s="15">
        <v>1534</v>
      </c>
      <c r="P627" s="12">
        <v>1</v>
      </c>
      <c r="Q627" s="13" t="s">
        <v>110</v>
      </c>
      <c r="R627" s="16">
        <v>18464000</v>
      </c>
      <c r="S627" s="17">
        <v>17096296</v>
      </c>
      <c r="T627" s="12">
        <v>0</v>
      </c>
      <c r="U627" s="18">
        <v>0</v>
      </c>
      <c r="V627" s="19">
        <v>0</v>
      </c>
      <c r="W627" s="13" t="s">
        <v>121</v>
      </c>
      <c r="X627" s="14" t="s">
        <v>2106</v>
      </c>
      <c r="Y627" s="13" t="s">
        <v>2107</v>
      </c>
      <c r="Z627" s="14" t="s">
        <v>2108</v>
      </c>
      <c r="AA627" s="17" t="s">
        <v>2101</v>
      </c>
      <c r="AB627" s="14" t="s">
        <v>2109</v>
      </c>
      <c r="AC627" s="17">
        <v>18464000</v>
      </c>
      <c r="AD627" s="14" t="s">
        <v>2110</v>
      </c>
      <c r="AE627" s="17">
        <v>17096296</v>
      </c>
      <c r="AF627" s="14" t="s">
        <v>121</v>
      </c>
      <c r="AG627" s="21" t="s">
        <v>1461</v>
      </c>
      <c r="AH627" s="10">
        <v>9639607</v>
      </c>
      <c r="AI627" s="24" t="str">
        <f>VLOOKUP(Sales[[#This Row],[Store]],'Store lay bao  cao'!A:B,2,0)</f>
        <v>Lấy BC</v>
      </c>
      <c r="AJ627" s="24" t="str">
        <f>VLOOKUP(Sales[[#This Row],[Associate]],'Associate Status'!B:C,2,0)</f>
        <v>Active</v>
      </c>
    </row>
    <row r="628" spans="1:36" x14ac:dyDescent="0.25">
      <c r="A628" s="7">
        <v>2025</v>
      </c>
      <c r="B628" s="8">
        <v>4</v>
      </c>
      <c r="C628" s="8">
        <v>14</v>
      </c>
      <c r="D628" s="8" t="s">
        <v>52</v>
      </c>
      <c r="E628" s="8" t="s">
        <v>43</v>
      </c>
      <c r="F628" s="8" t="s">
        <v>52</v>
      </c>
      <c r="G628" s="9">
        <v>13284629</v>
      </c>
      <c r="H628" s="10">
        <v>11248800</v>
      </c>
      <c r="I628" s="11">
        <v>45751</v>
      </c>
      <c r="J628" s="12">
        <v>186465</v>
      </c>
      <c r="K628" s="13" t="s">
        <v>465</v>
      </c>
      <c r="L628" s="14" t="s">
        <v>19</v>
      </c>
      <c r="M628" s="11" t="s">
        <v>17</v>
      </c>
      <c r="N628" s="14" t="s">
        <v>62</v>
      </c>
      <c r="O628" s="15">
        <v>1534</v>
      </c>
      <c r="P628" s="12">
        <v>1</v>
      </c>
      <c r="Q628" s="13" t="s">
        <v>110</v>
      </c>
      <c r="R628" s="16">
        <v>36559000</v>
      </c>
      <c r="S628" s="17">
        <v>33850926</v>
      </c>
      <c r="T628" s="12">
        <v>0</v>
      </c>
      <c r="U628" s="18">
        <v>0</v>
      </c>
      <c r="V628" s="19">
        <v>0</v>
      </c>
      <c r="W628" s="13" t="s">
        <v>121</v>
      </c>
      <c r="X628" s="14" t="s">
        <v>2111</v>
      </c>
      <c r="Y628" s="13" t="s">
        <v>2107</v>
      </c>
      <c r="Z628" s="14" t="s">
        <v>1850</v>
      </c>
      <c r="AA628" s="17" t="s">
        <v>2101</v>
      </c>
      <c r="AB628" s="14" t="s">
        <v>2112</v>
      </c>
      <c r="AC628" s="17">
        <v>36559000</v>
      </c>
      <c r="AD628" s="14" t="s">
        <v>1307</v>
      </c>
      <c r="AE628" s="17">
        <v>33850926</v>
      </c>
      <c r="AF628" s="14" t="s">
        <v>121</v>
      </c>
      <c r="AG628" s="20" t="s">
        <v>1461</v>
      </c>
      <c r="AH628" s="10">
        <v>20566297</v>
      </c>
      <c r="AI628" s="24" t="str">
        <f>VLOOKUP(Sales[[#This Row],[Store]],'Store lay bao  cao'!A:B,2,0)</f>
        <v>Lấy BC</v>
      </c>
      <c r="AJ628" s="24" t="str">
        <f>VLOOKUP(Sales[[#This Row],[Associate]],'Associate Status'!B:C,2,0)</f>
        <v>Active</v>
      </c>
    </row>
    <row r="629" spans="1:36" x14ac:dyDescent="0.25">
      <c r="A629" s="7">
        <v>2025</v>
      </c>
      <c r="B629" s="8">
        <v>4</v>
      </c>
      <c r="C629" s="8">
        <v>14</v>
      </c>
      <c r="D629" s="8" t="s">
        <v>60</v>
      </c>
      <c r="E629" s="8" t="s">
        <v>34</v>
      </c>
      <c r="F629" s="8" t="s">
        <v>60</v>
      </c>
      <c r="G629" s="9">
        <v>29730639</v>
      </c>
      <c r="H629" s="10">
        <v>29784150.000000004</v>
      </c>
      <c r="I629" s="11">
        <v>45752</v>
      </c>
      <c r="J629" s="12">
        <v>202700</v>
      </c>
      <c r="K629" s="13" t="s">
        <v>466</v>
      </c>
      <c r="L629" s="14" t="s">
        <v>58</v>
      </c>
      <c r="M629" s="11" t="s">
        <v>17</v>
      </c>
      <c r="N629" s="14" t="s">
        <v>62</v>
      </c>
      <c r="O629" s="15">
        <v>1536</v>
      </c>
      <c r="P629" s="12">
        <v>1</v>
      </c>
      <c r="Q629" s="13" t="s">
        <v>110</v>
      </c>
      <c r="R629" s="16">
        <v>93957850</v>
      </c>
      <c r="S629" s="17">
        <v>86998009</v>
      </c>
      <c r="T629" s="12">
        <v>5</v>
      </c>
      <c r="U629" s="18">
        <v>4578843</v>
      </c>
      <c r="V629" s="19">
        <v>4945150</v>
      </c>
      <c r="W629" s="13" t="s">
        <v>2089</v>
      </c>
      <c r="X629" s="14" t="s">
        <v>2116</v>
      </c>
      <c r="Y629" s="13" t="s">
        <v>2090</v>
      </c>
      <c r="Z629" s="14" t="s">
        <v>2117</v>
      </c>
      <c r="AA629" s="17" t="s">
        <v>2099</v>
      </c>
      <c r="AB629" s="14" t="s">
        <v>1444</v>
      </c>
      <c r="AC629" s="17">
        <v>98903000</v>
      </c>
      <c r="AD629" s="14" t="s">
        <v>108</v>
      </c>
      <c r="AE629" s="17">
        <v>91576852</v>
      </c>
      <c r="AF629" s="14" t="s">
        <v>170</v>
      </c>
      <c r="AG629" s="21" t="s">
        <v>362</v>
      </c>
      <c r="AH629" s="10">
        <v>57267370</v>
      </c>
      <c r="AI629" s="24" t="str">
        <f>VLOOKUP(Sales[[#This Row],[Store]],'Store lay bao  cao'!A:B,2,0)</f>
        <v>Lấy BC</v>
      </c>
      <c r="AJ629" s="24" t="str">
        <f>VLOOKUP(Sales[[#This Row],[Associate]],'Associate Status'!B:C,2,0)</f>
        <v>Active</v>
      </c>
    </row>
    <row r="630" spans="1:36" x14ac:dyDescent="0.25">
      <c r="A630" s="7">
        <v>2025</v>
      </c>
      <c r="B630" s="8">
        <v>4</v>
      </c>
      <c r="C630" s="8">
        <v>14</v>
      </c>
      <c r="D630" s="8" t="s">
        <v>66</v>
      </c>
      <c r="E630" s="8" t="s">
        <v>49</v>
      </c>
      <c r="F630" s="8" t="s">
        <v>66</v>
      </c>
      <c r="G630" s="9">
        <v>15094243</v>
      </c>
      <c r="H630" s="10">
        <v>14469750</v>
      </c>
      <c r="I630" s="11">
        <v>45752</v>
      </c>
      <c r="J630" s="12">
        <v>214598</v>
      </c>
      <c r="K630" s="13" t="s">
        <v>466</v>
      </c>
      <c r="L630" s="14" t="s">
        <v>58</v>
      </c>
      <c r="M630" s="11" t="s">
        <v>17</v>
      </c>
      <c r="N630" s="14" t="s">
        <v>62</v>
      </c>
      <c r="O630" s="15">
        <v>1536</v>
      </c>
      <c r="P630" s="12">
        <v>1</v>
      </c>
      <c r="Q630" s="13" t="s">
        <v>110</v>
      </c>
      <c r="R630" s="16">
        <v>48262850</v>
      </c>
      <c r="S630" s="17">
        <v>44687824</v>
      </c>
      <c r="T630" s="12">
        <v>5</v>
      </c>
      <c r="U630" s="18">
        <v>2351991</v>
      </c>
      <c r="V630" s="19">
        <v>2540150</v>
      </c>
      <c r="W630" s="13" t="s">
        <v>2089</v>
      </c>
      <c r="X630" s="14" t="s">
        <v>2118</v>
      </c>
      <c r="Y630" s="13" t="s">
        <v>2090</v>
      </c>
      <c r="Z630" s="14" t="s">
        <v>2119</v>
      </c>
      <c r="AA630" s="17" t="s">
        <v>2099</v>
      </c>
      <c r="AB630" s="14" t="s">
        <v>1337</v>
      </c>
      <c r="AC630" s="17">
        <v>50803000</v>
      </c>
      <c r="AD630" s="14"/>
      <c r="AE630" s="17">
        <v>47039815</v>
      </c>
      <c r="AF630" s="14" t="s">
        <v>170</v>
      </c>
      <c r="AG630" s="20" t="s">
        <v>362</v>
      </c>
      <c r="AH630" s="10">
        <v>29593581</v>
      </c>
      <c r="AI630" s="24" t="str">
        <f>VLOOKUP(Sales[[#This Row],[Store]],'Store lay bao  cao'!A:B,2,0)</f>
        <v>Lấy BC</v>
      </c>
      <c r="AJ630" s="24" t="str">
        <f>VLOOKUP(Sales[[#This Row],[Associate]],'Associate Status'!B:C,2,0)</f>
        <v>Active</v>
      </c>
    </row>
    <row r="631" spans="1:36" x14ac:dyDescent="0.25">
      <c r="A631" s="7">
        <v>2025</v>
      </c>
      <c r="B631" s="8">
        <v>4</v>
      </c>
      <c r="C631" s="8">
        <v>14</v>
      </c>
      <c r="D631" s="8" t="s">
        <v>66</v>
      </c>
      <c r="E631" s="8" t="s">
        <v>37</v>
      </c>
      <c r="F631" s="8" t="s">
        <v>66</v>
      </c>
      <c r="G631" s="9">
        <v>12795487</v>
      </c>
      <c r="H631" s="10">
        <v>12266100</v>
      </c>
      <c r="I631" s="11">
        <v>45752</v>
      </c>
      <c r="J631" s="12">
        <v>214597</v>
      </c>
      <c r="K631" s="13" t="s">
        <v>466</v>
      </c>
      <c r="L631" s="14" t="s">
        <v>58</v>
      </c>
      <c r="M631" s="11" t="s">
        <v>17</v>
      </c>
      <c r="N631" s="14" t="s">
        <v>62</v>
      </c>
      <c r="O631" s="15">
        <v>1536</v>
      </c>
      <c r="P631" s="12">
        <v>1</v>
      </c>
      <c r="Q631" s="13" t="s">
        <v>110</v>
      </c>
      <c r="R631" s="16">
        <v>41656550</v>
      </c>
      <c r="S631" s="17">
        <v>38570880</v>
      </c>
      <c r="T631" s="12">
        <v>5</v>
      </c>
      <c r="U631" s="18">
        <v>2030046</v>
      </c>
      <c r="V631" s="19">
        <v>2192450</v>
      </c>
      <c r="W631" s="13" t="s">
        <v>2089</v>
      </c>
      <c r="X631" s="14" t="s">
        <v>2120</v>
      </c>
      <c r="Y631" s="13" t="s">
        <v>2090</v>
      </c>
      <c r="Z631" s="14" t="s">
        <v>2121</v>
      </c>
      <c r="AA631" s="17" t="s">
        <v>2099</v>
      </c>
      <c r="AB631" s="14" t="s">
        <v>1337</v>
      </c>
      <c r="AC631" s="17">
        <v>43849000</v>
      </c>
      <c r="AD631" s="14"/>
      <c r="AE631" s="17">
        <v>40600926</v>
      </c>
      <c r="AF631" s="14" t="s">
        <v>170</v>
      </c>
      <c r="AG631" s="21" t="s">
        <v>362</v>
      </c>
      <c r="AH631" s="10">
        <v>25775393</v>
      </c>
      <c r="AI631" s="24" t="str">
        <f>VLOOKUP(Sales[[#This Row],[Store]],'Store lay bao  cao'!A:B,2,0)</f>
        <v>Lấy BC</v>
      </c>
      <c r="AJ631" s="24" t="str">
        <f>VLOOKUP(Sales[[#This Row],[Associate]],'Associate Status'!B:C,2,0)</f>
        <v>Active</v>
      </c>
    </row>
    <row r="632" spans="1:36" x14ac:dyDescent="0.25">
      <c r="A632" s="7">
        <v>2025</v>
      </c>
      <c r="B632" s="8">
        <v>4</v>
      </c>
      <c r="C632" s="8">
        <v>16</v>
      </c>
      <c r="D632" s="8" t="s">
        <v>63</v>
      </c>
      <c r="E632" s="8" t="s">
        <v>34</v>
      </c>
      <c r="F632" s="8" t="s">
        <v>63</v>
      </c>
      <c r="G632" s="9">
        <v>32479017</v>
      </c>
      <c r="H632" s="10">
        <v>33000000</v>
      </c>
      <c r="I632" s="11">
        <v>45761</v>
      </c>
      <c r="J632" s="12">
        <v>205075</v>
      </c>
      <c r="K632" s="13" t="s">
        <v>478</v>
      </c>
      <c r="L632" s="14" t="s">
        <v>55</v>
      </c>
      <c r="M632" s="11" t="s">
        <v>17</v>
      </c>
      <c r="N632" s="14" t="s">
        <v>62</v>
      </c>
      <c r="O632" s="15">
        <v>1587</v>
      </c>
      <c r="P632" s="12">
        <v>1</v>
      </c>
      <c r="Q632" s="13" t="s">
        <v>110</v>
      </c>
      <c r="R632" s="16">
        <v>74250000</v>
      </c>
      <c r="S632" s="17">
        <v>68750000</v>
      </c>
      <c r="T632" s="12">
        <v>10</v>
      </c>
      <c r="U632" s="18">
        <v>7638889</v>
      </c>
      <c r="V632" s="19">
        <v>8250000</v>
      </c>
      <c r="W632" s="13" t="s">
        <v>2089</v>
      </c>
      <c r="X632" s="14" t="s">
        <v>2130</v>
      </c>
      <c r="Y632" s="13" t="s">
        <v>2125</v>
      </c>
      <c r="Z632" s="14" t="s">
        <v>2131</v>
      </c>
      <c r="AA632" s="17" t="s">
        <v>2115</v>
      </c>
      <c r="AB632" s="14" t="s">
        <v>2132</v>
      </c>
      <c r="AC632" s="17">
        <v>82500000</v>
      </c>
      <c r="AD632" s="14" t="s">
        <v>108</v>
      </c>
      <c r="AE632" s="17">
        <v>76388889</v>
      </c>
      <c r="AF632" s="14" t="s">
        <v>2089</v>
      </c>
      <c r="AG632" s="20" t="s">
        <v>262</v>
      </c>
      <c r="AH632" s="10">
        <v>36270983</v>
      </c>
      <c r="AI632" s="24" t="str">
        <f>VLOOKUP(Sales[[#This Row],[Store]],'Store lay bao  cao'!A:B,2,0)</f>
        <v>Lấy BC</v>
      </c>
      <c r="AJ632" s="24" t="str">
        <f>VLOOKUP(Sales[[#This Row],[Associate]],'Associate Status'!B:C,2,0)</f>
        <v>Active</v>
      </c>
    </row>
    <row r="633" spans="1:36" x14ac:dyDescent="0.25">
      <c r="A633" s="7">
        <v>2025</v>
      </c>
      <c r="B633" s="8">
        <v>4</v>
      </c>
      <c r="C633" s="8">
        <v>16</v>
      </c>
      <c r="D633" s="8" t="s">
        <v>60</v>
      </c>
      <c r="E633" s="8" t="s">
        <v>43</v>
      </c>
      <c r="F633" s="8" t="s">
        <v>60</v>
      </c>
      <c r="G633" s="9">
        <v>5635557</v>
      </c>
      <c r="H633" s="10">
        <v>5244000</v>
      </c>
      <c r="I633" s="11">
        <v>45763</v>
      </c>
      <c r="J633" s="12">
        <v>208249</v>
      </c>
      <c r="K633" s="13" t="s">
        <v>435</v>
      </c>
      <c r="L633" s="14" t="s">
        <v>50</v>
      </c>
      <c r="M633" s="11" t="s">
        <v>15</v>
      </c>
      <c r="N633" s="14" t="s">
        <v>62</v>
      </c>
      <c r="O633" s="15">
        <v>2494</v>
      </c>
      <c r="P633" s="12">
        <v>1</v>
      </c>
      <c r="Q633" s="13" t="s">
        <v>110</v>
      </c>
      <c r="R633" s="16">
        <v>16781000</v>
      </c>
      <c r="S633" s="17">
        <v>15537963</v>
      </c>
      <c r="T633" s="12">
        <v>0</v>
      </c>
      <c r="U633" s="18">
        <v>0</v>
      </c>
      <c r="V633" s="19">
        <v>0</v>
      </c>
      <c r="W633" s="13" t="s">
        <v>253</v>
      </c>
      <c r="X633" s="14" t="s">
        <v>2133</v>
      </c>
      <c r="Y633" s="13" t="s">
        <v>2134</v>
      </c>
      <c r="Z633" s="14" t="s">
        <v>2135</v>
      </c>
      <c r="AA633" s="17" t="s">
        <v>2091</v>
      </c>
      <c r="AB633" s="14" t="s">
        <v>2136</v>
      </c>
      <c r="AC633" s="17">
        <v>16781000</v>
      </c>
      <c r="AD633" s="14" t="s">
        <v>2100</v>
      </c>
      <c r="AE633" s="17">
        <v>15537963</v>
      </c>
      <c r="AF633" s="14" t="s">
        <v>1665</v>
      </c>
      <c r="AG633" s="21" t="s">
        <v>447</v>
      </c>
      <c r="AH633" s="10">
        <v>9902406</v>
      </c>
      <c r="AI633" s="24" t="str">
        <f>VLOOKUP(Sales[[#This Row],[Store]],'Store lay bao  cao'!A:B,2,0)</f>
        <v>Lấy BC</v>
      </c>
      <c r="AJ633" s="24" t="str">
        <f>VLOOKUP(Sales[[#This Row],[Associate]],'Associate Status'!B:C,2,0)</f>
        <v>Retired</v>
      </c>
    </row>
    <row r="634" spans="1:36" x14ac:dyDescent="0.25">
      <c r="A634" s="7">
        <v>2025</v>
      </c>
      <c r="B634" s="8">
        <v>4</v>
      </c>
      <c r="C634" s="8">
        <v>16</v>
      </c>
      <c r="D634" s="8" t="s">
        <v>63</v>
      </c>
      <c r="E634" s="8" t="s">
        <v>37</v>
      </c>
      <c r="F634" s="8" t="s">
        <v>63</v>
      </c>
      <c r="G634" s="9">
        <v>1794798</v>
      </c>
      <c r="H634" s="10">
        <v>1631020.8</v>
      </c>
      <c r="I634" s="11">
        <v>45767</v>
      </c>
      <c r="J634" s="12">
        <v>205031</v>
      </c>
      <c r="K634" s="13" t="s">
        <v>757</v>
      </c>
      <c r="L634" s="14" t="s">
        <v>47</v>
      </c>
      <c r="M634" s="11" t="s">
        <v>21</v>
      </c>
      <c r="N634" s="14" t="s">
        <v>62</v>
      </c>
      <c r="O634" s="15">
        <v>3992</v>
      </c>
      <c r="P634" s="12">
        <v>1</v>
      </c>
      <c r="Q634" s="13" t="s">
        <v>110</v>
      </c>
      <c r="R634" s="16">
        <v>9787000</v>
      </c>
      <c r="S634" s="17">
        <v>9062037</v>
      </c>
      <c r="T634" s="12">
        <v>0</v>
      </c>
      <c r="U634" s="18">
        <v>0</v>
      </c>
      <c r="V634" s="19">
        <v>0</v>
      </c>
      <c r="W634" s="13" t="s">
        <v>618</v>
      </c>
      <c r="X634" s="14" t="s">
        <v>1486</v>
      </c>
      <c r="Y634" s="13" t="s">
        <v>2138</v>
      </c>
      <c r="Z634" s="14" t="s">
        <v>2096</v>
      </c>
      <c r="AA634" s="17" t="s">
        <v>2099</v>
      </c>
      <c r="AB634" s="14" t="s">
        <v>2139</v>
      </c>
      <c r="AC634" s="17">
        <v>9787000</v>
      </c>
      <c r="AD634" s="14" t="s">
        <v>2097</v>
      </c>
      <c r="AE634" s="17">
        <v>9062037</v>
      </c>
      <c r="AF634" s="14" t="s">
        <v>618</v>
      </c>
      <c r="AG634" s="20" t="s">
        <v>361</v>
      </c>
      <c r="AH634" s="10">
        <v>7267239</v>
      </c>
      <c r="AI634" s="24" t="str">
        <f>VLOOKUP(Sales[[#This Row],[Store]],'Store lay bao  cao'!A:B,2,0)</f>
        <v>Lấy BC</v>
      </c>
      <c r="AJ634" s="24" t="str">
        <f>VLOOKUP(Sales[[#This Row],[Associate]],'Associate Status'!B:C,2,0)</f>
        <v>Active</v>
      </c>
    </row>
    <row r="635" spans="1:36" x14ac:dyDescent="0.25">
      <c r="A635" s="7">
        <v>2025</v>
      </c>
      <c r="B635" s="8">
        <v>4</v>
      </c>
      <c r="C635" s="8">
        <v>17</v>
      </c>
      <c r="D635" s="8" t="s">
        <v>60</v>
      </c>
      <c r="E635" s="8" t="s">
        <v>43</v>
      </c>
      <c r="F635" s="8" t="s">
        <v>60</v>
      </c>
      <c r="G635" s="9">
        <v>64084358</v>
      </c>
      <c r="H635" s="10">
        <v>62046875</v>
      </c>
      <c r="I635" s="11">
        <v>45773</v>
      </c>
      <c r="J635" s="12">
        <v>205104</v>
      </c>
      <c r="K635" s="13" t="s">
        <v>436</v>
      </c>
      <c r="L635" s="14" t="s">
        <v>64</v>
      </c>
      <c r="M635" s="11" t="s">
        <v>15</v>
      </c>
      <c r="N635" s="14" t="s">
        <v>62</v>
      </c>
      <c r="O635" s="15">
        <v>2540</v>
      </c>
      <c r="P635" s="12">
        <v>1</v>
      </c>
      <c r="Q635" s="13" t="s">
        <v>110</v>
      </c>
      <c r="R635" s="16">
        <v>147833300</v>
      </c>
      <c r="S635" s="17">
        <v>136882685</v>
      </c>
      <c r="T635" s="12">
        <v>5</v>
      </c>
      <c r="U635" s="18">
        <v>7204352</v>
      </c>
      <c r="V635" s="19">
        <v>7780700</v>
      </c>
      <c r="W635" s="13" t="s">
        <v>136</v>
      </c>
      <c r="X635" s="14" t="s">
        <v>2143</v>
      </c>
      <c r="Y635" s="13" t="s">
        <v>329</v>
      </c>
      <c r="Z635" s="14" t="s">
        <v>2144</v>
      </c>
      <c r="AA635" s="17" t="s">
        <v>2099</v>
      </c>
      <c r="AB635" s="14" t="s">
        <v>2145</v>
      </c>
      <c r="AC635" s="17">
        <v>155614000</v>
      </c>
      <c r="AD635" s="14" t="s">
        <v>2100</v>
      </c>
      <c r="AE635" s="17">
        <v>144087037</v>
      </c>
      <c r="AF635" s="14" t="s">
        <v>1970</v>
      </c>
      <c r="AG635" s="21" t="s">
        <v>172</v>
      </c>
      <c r="AH635" s="10">
        <v>72798327</v>
      </c>
      <c r="AI635" s="24" t="str">
        <f>VLOOKUP(Sales[[#This Row],[Store]],'Store lay bao  cao'!A:B,2,0)</f>
        <v>Lấy BC</v>
      </c>
      <c r="AJ635" s="24" t="str">
        <f>VLOOKUP(Sales[[#This Row],[Associate]],'Associate Status'!B:C,2,0)</f>
        <v>Active</v>
      </c>
    </row>
    <row r="636" spans="1:36" x14ac:dyDescent="0.25">
      <c r="A636" s="7">
        <v>2025</v>
      </c>
      <c r="B636" s="8">
        <v>4</v>
      </c>
      <c r="C636" s="8">
        <v>17</v>
      </c>
      <c r="D636" s="8" t="s">
        <v>60</v>
      </c>
      <c r="E636" s="8" t="s">
        <v>37</v>
      </c>
      <c r="F636" s="8" t="s">
        <v>60</v>
      </c>
      <c r="G636" s="9">
        <v>71639278</v>
      </c>
      <c r="H636" s="10">
        <v>65407500</v>
      </c>
      <c r="I636" s="11">
        <v>45773</v>
      </c>
      <c r="J636" s="12">
        <v>203151</v>
      </c>
      <c r="K636" s="13" t="s">
        <v>436</v>
      </c>
      <c r="L636" s="14" t="s">
        <v>44</v>
      </c>
      <c r="M636" s="11" t="s">
        <v>15</v>
      </c>
      <c r="N636" s="14" t="s">
        <v>62</v>
      </c>
      <c r="O636" s="15">
        <v>2540</v>
      </c>
      <c r="P636" s="12">
        <v>1</v>
      </c>
      <c r="Q636" s="13" t="s">
        <v>110</v>
      </c>
      <c r="R636" s="16">
        <v>163587150</v>
      </c>
      <c r="S636" s="17">
        <v>151469583</v>
      </c>
      <c r="T636" s="12">
        <v>5</v>
      </c>
      <c r="U636" s="18">
        <v>7972083</v>
      </c>
      <c r="V636" s="19">
        <v>8609850</v>
      </c>
      <c r="W636" s="13" t="s">
        <v>136</v>
      </c>
      <c r="X636" s="14" t="s">
        <v>2146</v>
      </c>
      <c r="Y636" s="13" t="s">
        <v>329</v>
      </c>
      <c r="Z636" s="14" t="s">
        <v>991</v>
      </c>
      <c r="AA636" s="17" t="s">
        <v>2099</v>
      </c>
      <c r="AB636" s="14" t="s">
        <v>194</v>
      </c>
      <c r="AC636" s="17">
        <v>172197000</v>
      </c>
      <c r="AD636" s="14" t="s">
        <v>108</v>
      </c>
      <c r="AE636" s="17">
        <v>159441667</v>
      </c>
      <c r="AF636" s="14" t="s">
        <v>1971</v>
      </c>
      <c r="AG636" s="20" t="s">
        <v>172</v>
      </c>
      <c r="AH636" s="10">
        <v>79830305</v>
      </c>
      <c r="AI636" s="24" t="str">
        <f>VLOOKUP(Sales[[#This Row],[Store]],'Store lay bao  cao'!A:B,2,0)</f>
        <v>Lấy BC</v>
      </c>
      <c r="AJ636" s="24" t="str">
        <f>VLOOKUP(Sales[[#This Row],[Associate]],'Associate Status'!B:C,2,0)</f>
        <v>Active</v>
      </c>
    </row>
    <row r="637" spans="1:36" x14ac:dyDescent="0.25">
      <c r="A637" s="7">
        <v>2025</v>
      </c>
      <c r="B637" s="8">
        <v>4</v>
      </c>
      <c r="C637" s="8">
        <v>18</v>
      </c>
      <c r="D637" s="8" t="s">
        <v>63</v>
      </c>
      <c r="E637" s="8" t="s">
        <v>37</v>
      </c>
      <c r="F637" s="8" t="s">
        <v>63</v>
      </c>
      <c r="G637" s="9">
        <v>1442112</v>
      </c>
      <c r="H637" s="10">
        <v>1325204.3999999999</v>
      </c>
      <c r="I637" s="11">
        <v>45777</v>
      </c>
      <c r="J637" s="12">
        <v>205005</v>
      </c>
      <c r="K637" s="13" t="s">
        <v>769</v>
      </c>
      <c r="L637" s="14" t="s">
        <v>47</v>
      </c>
      <c r="M637" s="11" t="s">
        <v>21</v>
      </c>
      <c r="N637" s="14" t="s">
        <v>62</v>
      </c>
      <c r="O637" s="15">
        <v>4099</v>
      </c>
      <c r="P637" s="12">
        <v>1</v>
      </c>
      <c r="Q637" s="13" t="s">
        <v>110</v>
      </c>
      <c r="R637" s="16">
        <v>7952000</v>
      </c>
      <c r="S637" s="17">
        <v>7362963</v>
      </c>
      <c r="T637" s="12">
        <v>0</v>
      </c>
      <c r="U637" s="18">
        <v>0</v>
      </c>
      <c r="V637" s="19">
        <v>0</v>
      </c>
      <c r="W637" s="13" t="s">
        <v>618</v>
      </c>
      <c r="X637" s="14" t="s">
        <v>1486</v>
      </c>
      <c r="Y637" s="13" t="s">
        <v>505</v>
      </c>
      <c r="Z637" s="14" t="s">
        <v>2148</v>
      </c>
      <c r="AA637" s="17" t="s">
        <v>2092</v>
      </c>
      <c r="AB637" s="14" t="s">
        <v>2139</v>
      </c>
      <c r="AC637" s="17">
        <v>7952000</v>
      </c>
      <c r="AD637" s="14" t="s">
        <v>2097</v>
      </c>
      <c r="AE637" s="17">
        <v>7362963</v>
      </c>
      <c r="AF637" s="14" t="s">
        <v>2053</v>
      </c>
      <c r="AG637" s="21" t="s">
        <v>506</v>
      </c>
      <c r="AH637" s="10">
        <v>5920851</v>
      </c>
      <c r="AI637" s="24" t="str">
        <f>VLOOKUP(Sales[[#This Row],[Store]],'Store lay bao  cao'!A:B,2,0)</f>
        <v>Lấy BC</v>
      </c>
      <c r="AJ637" s="24" t="e">
        <f>VLOOKUP(Sales[[#This Row],[Associate]],'Associate Status'!B:C,2,0)</f>
        <v>#N/A</v>
      </c>
    </row>
    <row r="638" spans="1:36" x14ac:dyDescent="0.25">
      <c r="A638" s="7">
        <v>2025</v>
      </c>
      <c r="B638" s="8">
        <v>5</v>
      </c>
      <c r="C638" s="8">
        <v>18</v>
      </c>
      <c r="D638" s="8" t="s">
        <v>63</v>
      </c>
      <c r="E638" s="8" t="s">
        <v>43</v>
      </c>
      <c r="F638" s="8" t="s">
        <v>63</v>
      </c>
      <c r="G638" s="9">
        <v>49088190</v>
      </c>
      <c r="H638" s="10">
        <v>48453750</v>
      </c>
      <c r="I638" s="11">
        <v>45781</v>
      </c>
      <c r="J638" s="12">
        <v>209289</v>
      </c>
      <c r="K638" s="13" t="s">
        <v>491</v>
      </c>
      <c r="L638" s="14" t="s">
        <v>65</v>
      </c>
      <c r="M638" s="11" t="s">
        <v>17</v>
      </c>
      <c r="N638" s="14" t="s">
        <v>62</v>
      </c>
      <c r="O638" s="15">
        <v>1642</v>
      </c>
      <c r="P638" s="12">
        <v>1</v>
      </c>
      <c r="Q638" s="13" t="s">
        <v>2098</v>
      </c>
      <c r="R638" s="16">
        <v>137182850</v>
      </c>
      <c r="S638" s="17">
        <v>127021157</v>
      </c>
      <c r="T638" s="12">
        <v>5</v>
      </c>
      <c r="U638" s="18">
        <v>6685324</v>
      </c>
      <c r="V638" s="19">
        <v>7220150</v>
      </c>
      <c r="W638" s="13" t="s">
        <v>2174</v>
      </c>
      <c r="X638" s="14" t="s">
        <v>2175</v>
      </c>
      <c r="Y638" s="13" t="s">
        <v>2176</v>
      </c>
      <c r="Z638" s="14" t="s">
        <v>1919</v>
      </c>
      <c r="AA638" s="17">
        <v>20</v>
      </c>
      <c r="AB638" s="14" t="s">
        <v>173</v>
      </c>
      <c r="AC638" s="17">
        <v>144403000</v>
      </c>
      <c r="AD638" s="14" t="s">
        <v>2155</v>
      </c>
      <c r="AE638" s="17">
        <v>133706481</v>
      </c>
      <c r="AF638" s="14" t="s">
        <v>2089</v>
      </c>
      <c r="AG638" s="20" t="s">
        <v>1562</v>
      </c>
      <c r="AH638" s="10">
        <v>77932967</v>
      </c>
      <c r="AI638" s="24" t="str">
        <f>VLOOKUP(Sales[[#This Row],[Store]],'Store lay bao  cao'!A:B,2,0)</f>
        <v>Lấy BC</v>
      </c>
      <c r="AJ638" s="24" t="str">
        <f>VLOOKUP(Sales[[#This Row],[Associate]],'Associate Status'!B:C,2,0)</f>
        <v>Active</v>
      </c>
    </row>
    <row r="639" spans="1:36" x14ac:dyDescent="0.25">
      <c r="A639" s="7">
        <v>2025</v>
      </c>
      <c r="B639" s="8">
        <v>5</v>
      </c>
      <c r="C639" s="8">
        <v>19</v>
      </c>
      <c r="D639" s="8" t="s">
        <v>69</v>
      </c>
      <c r="E639" s="8" t="s">
        <v>34</v>
      </c>
      <c r="F639" s="8" t="s">
        <v>69</v>
      </c>
      <c r="G639" s="9">
        <v>21906403</v>
      </c>
      <c r="H639" s="10">
        <v>20443500</v>
      </c>
      <c r="I639" s="11">
        <v>45785</v>
      </c>
      <c r="J639" s="12">
        <v>217104</v>
      </c>
      <c r="K639" s="13" t="s">
        <v>443</v>
      </c>
      <c r="L639" s="14" t="s">
        <v>58</v>
      </c>
      <c r="M639" s="11" t="s">
        <v>15</v>
      </c>
      <c r="N639" s="14" t="s">
        <v>62</v>
      </c>
      <c r="O639" s="15">
        <v>2609</v>
      </c>
      <c r="P639" s="12">
        <v>1</v>
      </c>
      <c r="Q639" s="13" t="s">
        <v>2088</v>
      </c>
      <c r="R639" s="16">
        <v>70812000</v>
      </c>
      <c r="S639" s="17">
        <v>65566667</v>
      </c>
      <c r="T639" s="12">
        <v>0</v>
      </c>
      <c r="U639" s="18">
        <v>0</v>
      </c>
      <c r="V639" s="19">
        <v>0</v>
      </c>
      <c r="W639" s="13" t="s">
        <v>1563</v>
      </c>
      <c r="X639" s="14" t="s">
        <v>2181</v>
      </c>
      <c r="Y639" s="13" t="s">
        <v>2177</v>
      </c>
      <c r="Z639" s="14" t="s">
        <v>2182</v>
      </c>
      <c r="AA639" s="17">
        <v>19</v>
      </c>
      <c r="AB639" s="14" t="s">
        <v>1337</v>
      </c>
      <c r="AC639" s="17">
        <v>70812000</v>
      </c>
      <c r="AD639" s="14" t="s">
        <v>2097</v>
      </c>
      <c r="AE639" s="17">
        <v>65566667</v>
      </c>
      <c r="AF639" s="14" t="s">
        <v>136</v>
      </c>
      <c r="AG639" s="21" t="s">
        <v>347</v>
      </c>
      <c r="AH639" s="10">
        <v>43660264</v>
      </c>
      <c r="AI639" s="24" t="str">
        <f>VLOOKUP(Sales[[#This Row],[Store]],'Store lay bao  cao'!A:B,2,0)</f>
        <v>Lấy BC</v>
      </c>
      <c r="AJ639" s="24" t="str">
        <f>VLOOKUP(Sales[[#This Row],[Associate]],'Associate Status'!B:C,2,0)</f>
        <v>Active</v>
      </c>
    </row>
    <row r="640" spans="1:36" x14ac:dyDescent="0.25">
      <c r="A640" s="7">
        <v>2025</v>
      </c>
      <c r="B640" s="8">
        <v>5</v>
      </c>
      <c r="C640" s="8">
        <v>19</v>
      </c>
      <c r="D640" s="8" t="s">
        <v>69</v>
      </c>
      <c r="E640" s="8" t="s">
        <v>34</v>
      </c>
      <c r="F640" s="8" t="s">
        <v>69</v>
      </c>
      <c r="G640" s="9">
        <v>-21906403</v>
      </c>
      <c r="H640" s="10">
        <v>-20443500</v>
      </c>
      <c r="I640" s="11">
        <v>45787</v>
      </c>
      <c r="J640" s="12">
        <v>217104</v>
      </c>
      <c r="K640" s="13" t="s">
        <v>441</v>
      </c>
      <c r="L640" s="14" t="s">
        <v>58</v>
      </c>
      <c r="M640" s="11" t="s">
        <v>15</v>
      </c>
      <c r="N640" s="14" t="s">
        <v>62</v>
      </c>
      <c r="O640" s="15">
        <v>2611</v>
      </c>
      <c r="P640" s="12">
        <v>-1</v>
      </c>
      <c r="Q640" s="13" t="s">
        <v>2094</v>
      </c>
      <c r="R640" s="16">
        <v>-70812000</v>
      </c>
      <c r="S640" s="17">
        <v>-65566667</v>
      </c>
      <c r="T640" s="12">
        <v>0</v>
      </c>
      <c r="U640" s="18">
        <v>0</v>
      </c>
      <c r="V640" s="19">
        <v>0</v>
      </c>
      <c r="W640" s="13" t="s">
        <v>1563</v>
      </c>
      <c r="X640" s="14" t="s">
        <v>2181</v>
      </c>
      <c r="Y640" s="13" t="s">
        <v>2177</v>
      </c>
      <c r="Z640" s="14" t="s">
        <v>2182</v>
      </c>
      <c r="AA640" s="17">
        <v>11</v>
      </c>
      <c r="AB640" s="14" t="s">
        <v>1337</v>
      </c>
      <c r="AC640" s="17">
        <v>-70812000</v>
      </c>
      <c r="AD640" s="14" t="s">
        <v>2097</v>
      </c>
      <c r="AE640" s="17">
        <v>-65566667</v>
      </c>
      <c r="AF640" s="14" t="s">
        <v>136</v>
      </c>
      <c r="AG640" s="20" t="s">
        <v>347</v>
      </c>
      <c r="AH640" s="10">
        <v>-43660264</v>
      </c>
      <c r="AI640" s="24" t="str">
        <f>VLOOKUP(Sales[[#This Row],[Store]],'Store lay bao  cao'!A:B,2,0)</f>
        <v>Lấy BC</v>
      </c>
      <c r="AJ640" s="24" t="str">
        <f>VLOOKUP(Sales[[#This Row],[Associate]],'Associate Status'!B:C,2,0)</f>
        <v>Active</v>
      </c>
    </row>
    <row r="641" spans="1:36" x14ac:dyDescent="0.25">
      <c r="A641" s="7">
        <v>2025</v>
      </c>
      <c r="B641" s="8">
        <v>5</v>
      </c>
      <c r="C641" s="8">
        <v>19</v>
      </c>
      <c r="D641" s="8" t="s">
        <v>69</v>
      </c>
      <c r="E641" s="8" t="s">
        <v>34</v>
      </c>
      <c r="F641" s="8" t="s">
        <v>69</v>
      </c>
      <c r="G641" s="9">
        <v>21906403</v>
      </c>
      <c r="H641" s="10">
        <v>20443500</v>
      </c>
      <c r="I641" s="11">
        <v>45787</v>
      </c>
      <c r="J641" s="12">
        <v>217104</v>
      </c>
      <c r="K641" s="13" t="s">
        <v>440</v>
      </c>
      <c r="L641" s="14" t="s">
        <v>58</v>
      </c>
      <c r="M641" s="11" t="s">
        <v>15</v>
      </c>
      <c r="N641" s="14" t="s">
        <v>62</v>
      </c>
      <c r="O641" s="15">
        <v>2612</v>
      </c>
      <c r="P641" s="12">
        <v>1</v>
      </c>
      <c r="Q641" s="13" t="s">
        <v>2094</v>
      </c>
      <c r="R641" s="16">
        <v>67271400</v>
      </c>
      <c r="S641" s="17">
        <v>62288333</v>
      </c>
      <c r="T641" s="12">
        <v>5</v>
      </c>
      <c r="U641" s="18">
        <v>3278333</v>
      </c>
      <c r="V641" s="19">
        <v>3540600</v>
      </c>
      <c r="W641" s="13" t="s">
        <v>1563</v>
      </c>
      <c r="X641" s="14" t="s">
        <v>2181</v>
      </c>
      <c r="Y641" s="13" t="s">
        <v>2177</v>
      </c>
      <c r="Z641" s="14" t="s">
        <v>2182</v>
      </c>
      <c r="AA641" s="17">
        <v>11</v>
      </c>
      <c r="AB641" s="14" t="s">
        <v>1337</v>
      </c>
      <c r="AC641" s="17">
        <v>70812000</v>
      </c>
      <c r="AD641" s="14" t="s">
        <v>2097</v>
      </c>
      <c r="AE641" s="17">
        <v>65566667</v>
      </c>
      <c r="AF641" s="14" t="s">
        <v>136</v>
      </c>
      <c r="AG641" s="21" t="s">
        <v>347</v>
      </c>
      <c r="AH641" s="10">
        <v>40381930</v>
      </c>
      <c r="AI641" s="24" t="str">
        <f>VLOOKUP(Sales[[#This Row],[Store]],'Store lay bao  cao'!A:B,2,0)</f>
        <v>Lấy BC</v>
      </c>
      <c r="AJ641" s="24" t="str">
        <f>VLOOKUP(Sales[[#This Row],[Associate]],'Associate Status'!B:C,2,0)</f>
        <v>Active</v>
      </c>
    </row>
    <row r="642" spans="1:36" x14ac:dyDescent="0.25">
      <c r="A642" s="7">
        <v>2025</v>
      </c>
      <c r="B642" s="8">
        <v>5</v>
      </c>
      <c r="C642" s="8">
        <v>19</v>
      </c>
      <c r="D642" s="8" t="s">
        <v>66</v>
      </c>
      <c r="E642" s="8" t="s">
        <v>49</v>
      </c>
      <c r="F642" s="8" t="s">
        <v>66</v>
      </c>
      <c r="G642" s="9">
        <v>9278113</v>
      </c>
      <c r="H642" s="10">
        <v>8894250</v>
      </c>
      <c r="I642" s="11">
        <v>45787</v>
      </c>
      <c r="J642" s="12">
        <v>214594</v>
      </c>
      <c r="K642" s="13" t="s">
        <v>442</v>
      </c>
      <c r="L642" s="14" t="s">
        <v>58</v>
      </c>
      <c r="M642" s="11" t="s">
        <v>15</v>
      </c>
      <c r="N642" s="14" t="s">
        <v>62</v>
      </c>
      <c r="O642" s="15">
        <v>2615</v>
      </c>
      <c r="P642" s="12">
        <v>1</v>
      </c>
      <c r="Q642" s="13" t="s">
        <v>102</v>
      </c>
      <c r="R642" s="16">
        <v>28684300</v>
      </c>
      <c r="S642" s="17">
        <v>26559537</v>
      </c>
      <c r="T642" s="12">
        <v>5</v>
      </c>
      <c r="U642" s="18">
        <v>1397870</v>
      </c>
      <c r="V642" s="19">
        <v>1509700</v>
      </c>
      <c r="W642" s="13" t="s">
        <v>1563</v>
      </c>
      <c r="X642" s="14" t="s">
        <v>2184</v>
      </c>
      <c r="Y642" s="13" t="s">
        <v>2177</v>
      </c>
      <c r="Z642" s="14" t="s">
        <v>2185</v>
      </c>
      <c r="AA642" s="17">
        <v>15</v>
      </c>
      <c r="AB642" s="14" t="s">
        <v>1337</v>
      </c>
      <c r="AC642" s="17">
        <v>30194000</v>
      </c>
      <c r="AD642" s="14"/>
      <c r="AE642" s="17">
        <v>27957407</v>
      </c>
      <c r="AF642" s="14" t="s">
        <v>1970</v>
      </c>
      <c r="AG642" s="20" t="s">
        <v>347</v>
      </c>
      <c r="AH642" s="10">
        <v>17281424</v>
      </c>
      <c r="AI642" s="24" t="str">
        <f>VLOOKUP(Sales[[#This Row],[Store]],'Store lay bao  cao'!A:B,2,0)</f>
        <v>Lấy BC</v>
      </c>
      <c r="AJ642" s="24" t="str">
        <f>VLOOKUP(Sales[[#This Row],[Associate]],'Associate Status'!B:C,2,0)</f>
        <v>Active</v>
      </c>
    </row>
    <row r="643" spans="1:36" x14ac:dyDescent="0.25">
      <c r="A643" s="7">
        <v>2025</v>
      </c>
      <c r="B643" s="8">
        <v>5</v>
      </c>
      <c r="C643" s="8">
        <v>19</v>
      </c>
      <c r="D643" s="8" t="s">
        <v>66</v>
      </c>
      <c r="E643" s="8" t="s">
        <v>37</v>
      </c>
      <c r="F643" s="8" t="s">
        <v>66</v>
      </c>
      <c r="G643" s="9">
        <v>8225670</v>
      </c>
      <c r="H643" s="10">
        <v>7885350</v>
      </c>
      <c r="I643" s="11">
        <v>45787</v>
      </c>
      <c r="J643" s="12">
        <v>214612</v>
      </c>
      <c r="K643" s="13" t="s">
        <v>442</v>
      </c>
      <c r="L643" s="14" t="s">
        <v>58</v>
      </c>
      <c r="M643" s="11" t="s">
        <v>15</v>
      </c>
      <c r="N643" s="14" t="s">
        <v>62</v>
      </c>
      <c r="O643" s="15">
        <v>2615</v>
      </c>
      <c r="P643" s="12">
        <v>1</v>
      </c>
      <c r="Q643" s="13" t="s">
        <v>102</v>
      </c>
      <c r="R643" s="16">
        <v>26992350</v>
      </c>
      <c r="S643" s="17">
        <v>24992917</v>
      </c>
      <c r="T643" s="12">
        <v>5</v>
      </c>
      <c r="U643" s="18">
        <v>1315417</v>
      </c>
      <c r="V643" s="19">
        <v>1420650</v>
      </c>
      <c r="W643" s="13" t="s">
        <v>1563</v>
      </c>
      <c r="X643" s="14" t="s">
        <v>2186</v>
      </c>
      <c r="Y643" s="13" t="s">
        <v>2177</v>
      </c>
      <c r="Z643" s="14" t="s">
        <v>2187</v>
      </c>
      <c r="AA643" s="17">
        <v>15</v>
      </c>
      <c r="AB643" s="14" t="s">
        <v>1337</v>
      </c>
      <c r="AC643" s="17">
        <v>28413000</v>
      </c>
      <c r="AD643" s="14"/>
      <c r="AE643" s="17">
        <v>26308333</v>
      </c>
      <c r="AF643" s="14" t="s">
        <v>1970</v>
      </c>
      <c r="AG643" s="21" t="s">
        <v>347</v>
      </c>
      <c r="AH643" s="10">
        <v>16767247</v>
      </c>
      <c r="AI643" s="24" t="str">
        <f>VLOOKUP(Sales[[#This Row],[Store]],'Store lay bao  cao'!A:B,2,0)</f>
        <v>Lấy BC</v>
      </c>
      <c r="AJ643" s="24" t="str">
        <f>VLOOKUP(Sales[[#This Row],[Associate]],'Associate Status'!B:C,2,0)</f>
        <v>Active</v>
      </c>
    </row>
    <row r="644" spans="1:36" ht="51.75" x14ac:dyDescent="0.25">
      <c r="A644" s="7">
        <v>2025</v>
      </c>
      <c r="B644" s="8">
        <v>5</v>
      </c>
      <c r="C644" s="8">
        <v>19</v>
      </c>
      <c r="D644" s="8" t="s">
        <v>66</v>
      </c>
      <c r="E644" s="8" t="s">
        <v>49</v>
      </c>
      <c r="F644" s="8" t="s">
        <v>66</v>
      </c>
      <c r="G644" s="9">
        <v>9278113</v>
      </c>
      <c r="H644" s="10">
        <v>8894250</v>
      </c>
      <c r="I644" s="11">
        <v>45787</v>
      </c>
      <c r="J644" s="12">
        <v>214595</v>
      </c>
      <c r="K644" s="13" t="s">
        <v>442</v>
      </c>
      <c r="L644" s="14" t="s">
        <v>58</v>
      </c>
      <c r="M644" s="11" t="s">
        <v>15</v>
      </c>
      <c r="N644" s="14" t="s">
        <v>62</v>
      </c>
      <c r="O644" s="15">
        <v>2615</v>
      </c>
      <c r="P644" s="12">
        <v>1</v>
      </c>
      <c r="Q644" s="13" t="s">
        <v>102</v>
      </c>
      <c r="R644" s="16">
        <v>28684300</v>
      </c>
      <c r="S644" s="17">
        <v>26559537</v>
      </c>
      <c r="T644" s="12">
        <v>5</v>
      </c>
      <c r="U644" s="18">
        <v>1397870</v>
      </c>
      <c r="V644" s="19">
        <v>1509700</v>
      </c>
      <c r="W644" s="13" t="s">
        <v>1563</v>
      </c>
      <c r="X644" s="23" t="s">
        <v>2188</v>
      </c>
      <c r="Y644" s="13" t="s">
        <v>2177</v>
      </c>
      <c r="Z644" s="14" t="s">
        <v>2189</v>
      </c>
      <c r="AA644" s="17">
        <v>15</v>
      </c>
      <c r="AB644" s="14" t="s">
        <v>1337</v>
      </c>
      <c r="AC644" s="17">
        <v>30194000</v>
      </c>
      <c r="AD644" s="14"/>
      <c r="AE644" s="17">
        <v>27957407</v>
      </c>
      <c r="AF644" s="14" t="s">
        <v>1970</v>
      </c>
      <c r="AG644" s="20" t="s">
        <v>347</v>
      </c>
      <c r="AH644" s="10">
        <v>17281424</v>
      </c>
      <c r="AI644" s="24" t="str">
        <f>VLOOKUP(Sales[[#This Row],[Store]],'Store lay bao  cao'!A:B,2,0)</f>
        <v>Lấy BC</v>
      </c>
      <c r="AJ644" s="24" t="str">
        <f>VLOOKUP(Sales[[#This Row],[Associate]],'Associate Status'!B:C,2,0)</f>
        <v>Active</v>
      </c>
    </row>
    <row r="645" spans="1:36" ht="39" x14ac:dyDescent="0.25">
      <c r="A645" s="7">
        <v>2025</v>
      </c>
      <c r="B645" s="8">
        <v>5</v>
      </c>
      <c r="C645" s="8">
        <v>19</v>
      </c>
      <c r="D645" s="8" t="s">
        <v>66</v>
      </c>
      <c r="E645" s="8" t="s">
        <v>49</v>
      </c>
      <c r="F645" s="8" t="s">
        <v>66</v>
      </c>
      <c r="G645" s="9">
        <v>20494935</v>
      </c>
      <c r="H645" s="10">
        <v>19647000</v>
      </c>
      <c r="I645" s="11">
        <v>45787</v>
      </c>
      <c r="J645" s="12">
        <v>214593</v>
      </c>
      <c r="K645" s="13" t="s">
        <v>442</v>
      </c>
      <c r="L645" s="14" t="s">
        <v>58</v>
      </c>
      <c r="M645" s="11" t="s">
        <v>15</v>
      </c>
      <c r="N645" s="14" t="s">
        <v>62</v>
      </c>
      <c r="O645" s="15">
        <v>2615</v>
      </c>
      <c r="P645" s="12">
        <v>1</v>
      </c>
      <c r="Q645" s="13" t="s">
        <v>102</v>
      </c>
      <c r="R645" s="16">
        <v>62443500</v>
      </c>
      <c r="S645" s="17">
        <v>57818056</v>
      </c>
      <c r="T645" s="12">
        <v>5</v>
      </c>
      <c r="U645" s="18">
        <v>3043056</v>
      </c>
      <c r="V645" s="19">
        <v>3286500</v>
      </c>
      <c r="W645" s="13" t="s">
        <v>1563</v>
      </c>
      <c r="X645" s="23" t="s">
        <v>2190</v>
      </c>
      <c r="Y645" s="13" t="s">
        <v>2177</v>
      </c>
      <c r="Z645" s="14" t="s">
        <v>2191</v>
      </c>
      <c r="AA645" s="17">
        <v>15</v>
      </c>
      <c r="AB645" s="14" t="s">
        <v>1337</v>
      </c>
      <c r="AC645" s="17">
        <v>65730000</v>
      </c>
      <c r="AD645" s="14"/>
      <c r="AE645" s="17">
        <v>60861111</v>
      </c>
      <c r="AF645" s="14" t="s">
        <v>1970</v>
      </c>
      <c r="AG645" s="21" t="s">
        <v>347</v>
      </c>
      <c r="AH645" s="10">
        <v>37323121</v>
      </c>
      <c r="AI645" s="24" t="str">
        <f>VLOOKUP(Sales[[#This Row],[Store]],'Store lay bao  cao'!A:B,2,0)</f>
        <v>Lấy BC</v>
      </c>
      <c r="AJ645" s="24" t="str">
        <f>VLOOKUP(Sales[[#This Row],[Associate]],'Associate Status'!B:C,2,0)</f>
        <v>Active</v>
      </c>
    </row>
    <row r="646" spans="1:36" x14ac:dyDescent="0.25">
      <c r="A646" s="7">
        <v>2025</v>
      </c>
      <c r="B646" s="8">
        <v>5</v>
      </c>
      <c r="C646" s="8">
        <v>19</v>
      </c>
      <c r="D646" s="8" t="s">
        <v>52</v>
      </c>
      <c r="E646" s="8" t="s">
        <v>43</v>
      </c>
      <c r="F646" s="8" t="s">
        <v>52</v>
      </c>
      <c r="G646" s="9">
        <v>23938666</v>
      </c>
      <c r="H646" s="10">
        <v>23559030</v>
      </c>
      <c r="I646" s="11">
        <v>45788</v>
      </c>
      <c r="J646" s="12">
        <v>181396</v>
      </c>
      <c r="K646" s="13" t="s">
        <v>499</v>
      </c>
      <c r="L646" s="14" t="s">
        <v>58</v>
      </c>
      <c r="M646" s="11" t="s">
        <v>17</v>
      </c>
      <c r="N646" s="14" t="s">
        <v>62</v>
      </c>
      <c r="O646" s="15">
        <v>1659</v>
      </c>
      <c r="P646" s="12">
        <v>1</v>
      </c>
      <c r="Q646" s="13" t="s">
        <v>2098</v>
      </c>
      <c r="R646" s="16">
        <v>85136400</v>
      </c>
      <c r="S646" s="17">
        <v>78830000</v>
      </c>
      <c r="T646" s="12">
        <v>10</v>
      </c>
      <c r="U646" s="18">
        <v>8758889</v>
      </c>
      <c r="V646" s="19">
        <v>9459600</v>
      </c>
      <c r="W646" s="13" t="s">
        <v>2192</v>
      </c>
      <c r="X646" s="14" t="s">
        <v>2193</v>
      </c>
      <c r="Y646" s="13" t="s">
        <v>2194</v>
      </c>
      <c r="Z646" s="14" t="s">
        <v>2195</v>
      </c>
      <c r="AA646" s="17">
        <v>12</v>
      </c>
      <c r="AB646" s="14" t="s">
        <v>2196</v>
      </c>
      <c r="AC646" s="17">
        <v>94596000</v>
      </c>
      <c r="AD646" s="14" t="s">
        <v>108</v>
      </c>
      <c r="AE646" s="17">
        <v>87588889</v>
      </c>
      <c r="AF646" s="14" t="s">
        <v>2089</v>
      </c>
      <c r="AG646" s="20" t="s">
        <v>309</v>
      </c>
      <c r="AH646" s="10">
        <v>54891334</v>
      </c>
      <c r="AI646" s="24" t="str">
        <f>VLOOKUP(Sales[[#This Row],[Store]],'Store lay bao  cao'!A:B,2,0)</f>
        <v>Lấy BC</v>
      </c>
      <c r="AJ646" s="24" t="str">
        <f>VLOOKUP(Sales[[#This Row],[Associate]],'Associate Status'!B:C,2,0)</f>
        <v>Active</v>
      </c>
    </row>
    <row r="647" spans="1:36" ht="128.25" x14ac:dyDescent="0.25">
      <c r="A647" s="7">
        <v>2025</v>
      </c>
      <c r="B647" s="8">
        <v>5</v>
      </c>
      <c r="C647" s="8">
        <v>19</v>
      </c>
      <c r="D647" s="8" t="s">
        <v>52</v>
      </c>
      <c r="E647" s="8" t="s">
        <v>43</v>
      </c>
      <c r="F647" s="8" t="s">
        <v>52</v>
      </c>
      <c r="G647" s="9">
        <v>42892332</v>
      </c>
      <c r="H647" s="10">
        <v>42212115</v>
      </c>
      <c r="I647" s="11">
        <v>45788</v>
      </c>
      <c r="J647" s="12">
        <v>181398</v>
      </c>
      <c r="K647" s="13" t="s">
        <v>499</v>
      </c>
      <c r="L647" s="14" t="s">
        <v>58</v>
      </c>
      <c r="M647" s="11" t="s">
        <v>17</v>
      </c>
      <c r="N647" s="14" t="s">
        <v>62</v>
      </c>
      <c r="O647" s="15">
        <v>1659</v>
      </c>
      <c r="P647" s="12">
        <v>1</v>
      </c>
      <c r="Q647" s="13" t="s">
        <v>2098</v>
      </c>
      <c r="R647" s="16">
        <v>119506500</v>
      </c>
      <c r="S647" s="17">
        <v>110654167</v>
      </c>
      <c r="T647" s="12">
        <v>10</v>
      </c>
      <c r="U647" s="18">
        <v>12294907</v>
      </c>
      <c r="V647" s="19">
        <v>13278500</v>
      </c>
      <c r="W647" s="13" t="s">
        <v>2192</v>
      </c>
      <c r="X647" s="23" t="s">
        <v>2197</v>
      </c>
      <c r="Y647" s="13" t="s">
        <v>2194</v>
      </c>
      <c r="Z647" s="14" t="s">
        <v>2198</v>
      </c>
      <c r="AA647" s="17">
        <v>12</v>
      </c>
      <c r="AB647" s="14" t="s">
        <v>2199</v>
      </c>
      <c r="AC647" s="17">
        <v>132785000</v>
      </c>
      <c r="AD647" s="14" t="s">
        <v>108</v>
      </c>
      <c r="AE647" s="17">
        <v>122949074</v>
      </c>
      <c r="AF647" s="14" t="s">
        <v>2089</v>
      </c>
      <c r="AG647" s="21" t="s">
        <v>309</v>
      </c>
      <c r="AH647" s="10">
        <v>67761835</v>
      </c>
      <c r="AI647" s="24" t="str">
        <f>VLOOKUP(Sales[[#This Row],[Store]],'Store lay bao  cao'!A:B,2,0)</f>
        <v>Lấy BC</v>
      </c>
      <c r="AJ647" s="24" t="str">
        <f>VLOOKUP(Sales[[#This Row],[Associate]],'Associate Status'!B:C,2,0)</f>
        <v>Active</v>
      </c>
    </row>
    <row r="648" spans="1:36" ht="128.25" x14ac:dyDescent="0.25">
      <c r="A648" s="7">
        <v>2025</v>
      </c>
      <c r="B648" s="8">
        <v>5</v>
      </c>
      <c r="C648" s="8">
        <v>19</v>
      </c>
      <c r="D648" s="8" t="s">
        <v>52</v>
      </c>
      <c r="E648" s="8" t="s">
        <v>43</v>
      </c>
      <c r="F648" s="8" t="s">
        <v>52</v>
      </c>
      <c r="G648" s="9">
        <v>26737731</v>
      </c>
      <c r="H648" s="10">
        <v>26313705</v>
      </c>
      <c r="I648" s="11">
        <v>45788</v>
      </c>
      <c r="J648" s="12">
        <v>181397</v>
      </c>
      <c r="K648" s="13" t="s">
        <v>499</v>
      </c>
      <c r="L648" s="14" t="s">
        <v>58</v>
      </c>
      <c r="M648" s="11" t="s">
        <v>17</v>
      </c>
      <c r="N648" s="14" t="s">
        <v>62</v>
      </c>
      <c r="O648" s="15">
        <v>1659</v>
      </c>
      <c r="P648" s="12">
        <v>1</v>
      </c>
      <c r="Q648" s="13" t="s">
        <v>2098</v>
      </c>
      <c r="R648" s="16">
        <v>84690900</v>
      </c>
      <c r="S648" s="17">
        <v>78417500</v>
      </c>
      <c r="T648" s="12">
        <v>10</v>
      </c>
      <c r="U648" s="18">
        <v>8713056</v>
      </c>
      <c r="V648" s="19">
        <v>9410100</v>
      </c>
      <c r="W648" s="13" t="s">
        <v>2192</v>
      </c>
      <c r="X648" s="23" t="s">
        <v>2200</v>
      </c>
      <c r="Y648" s="13" t="s">
        <v>2194</v>
      </c>
      <c r="Z648" s="14" t="s">
        <v>2201</v>
      </c>
      <c r="AA648" s="17">
        <v>12</v>
      </c>
      <c r="AB648" s="14" t="s">
        <v>2202</v>
      </c>
      <c r="AC648" s="17">
        <v>94101000</v>
      </c>
      <c r="AD648" s="14" t="s">
        <v>108</v>
      </c>
      <c r="AE648" s="17">
        <v>87130556</v>
      </c>
      <c r="AF648" s="14" t="s">
        <v>2089</v>
      </c>
      <c r="AG648" s="20" t="s">
        <v>309</v>
      </c>
      <c r="AH648" s="10">
        <v>51679769</v>
      </c>
      <c r="AI648" s="24" t="str">
        <f>VLOOKUP(Sales[[#This Row],[Store]],'Store lay bao  cao'!A:B,2,0)</f>
        <v>Lấy BC</v>
      </c>
      <c r="AJ648" s="24" t="str">
        <f>VLOOKUP(Sales[[#This Row],[Associate]],'Associate Status'!B:C,2,0)</f>
        <v>Active</v>
      </c>
    </row>
    <row r="649" spans="1:36" x14ac:dyDescent="0.25">
      <c r="A649" s="7">
        <v>2025</v>
      </c>
      <c r="B649" s="8">
        <v>5</v>
      </c>
      <c r="C649" s="8">
        <v>20</v>
      </c>
      <c r="D649" s="8" t="s">
        <v>69</v>
      </c>
      <c r="E649" s="8" t="s">
        <v>37</v>
      </c>
      <c r="F649" s="8" t="s">
        <v>69</v>
      </c>
      <c r="G649" s="9">
        <v>5058014</v>
      </c>
      <c r="H649" s="10">
        <v>3968000</v>
      </c>
      <c r="I649" s="11">
        <v>45789</v>
      </c>
      <c r="J649" s="12">
        <v>217282</v>
      </c>
      <c r="K649" s="13" t="s">
        <v>500</v>
      </c>
      <c r="L649" s="14" t="s">
        <v>50</v>
      </c>
      <c r="M649" s="11" t="s">
        <v>17</v>
      </c>
      <c r="N649" s="14" t="s">
        <v>62</v>
      </c>
      <c r="O649" s="15">
        <v>1661</v>
      </c>
      <c r="P649" s="12">
        <v>1</v>
      </c>
      <c r="Q649" s="13" t="s">
        <v>2088</v>
      </c>
      <c r="R649" s="16">
        <v>12063100</v>
      </c>
      <c r="S649" s="17">
        <v>11169537</v>
      </c>
      <c r="T649" s="12">
        <v>5</v>
      </c>
      <c r="U649" s="18">
        <v>587870</v>
      </c>
      <c r="V649" s="19">
        <v>634900</v>
      </c>
      <c r="W649" s="13" t="s">
        <v>2174</v>
      </c>
      <c r="X649" s="14" t="s">
        <v>2203</v>
      </c>
      <c r="Y649" s="13" t="s">
        <v>2126</v>
      </c>
      <c r="Z649" s="14" t="s">
        <v>2204</v>
      </c>
      <c r="AA649" s="17">
        <v>13</v>
      </c>
      <c r="AB649" s="14" t="s">
        <v>220</v>
      </c>
      <c r="AC649" s="17">
        <v>12698000</v>
      </c>
      <c r="AD649" s="14" t="s">
        <v>1969</v>
      </c>
      <c r="AE649" s="17">
        <v>11757407</v>
      </c>
      <c r="AF649" s="14" t="s">
        <v>121</v>
      </c>
      <c r="AG649" s="21" t="s">
        <v>391</v>
      </c>
      <c r="AH649" s="10">
        <v>6111523</v>
      </c>
      <c r="AI649" s="24" t="str">
        <f>VLOOKUP(Sales[[#This Row],[Store]],'Store lay bao  cao'!A:B,2,0)</f>
        <v>Lấy BC</v>
      </c>
      <c r="AJ649" s="24" t="str">
        <f>VLOOKUP(Sales[[#This Row],[Associate]],'Associate Status'!B:C,2,0)</f>
        <v>Active</v>
      </c>
    </row>
    <row r="650" spans="1:36" x14ac:dyDescent="0.25">
      <c r="A650" s="7">
        <v>2025</v>
      </c>
      <c r="B650" s="8">
        <v>5</v>
      </c>
      <c r="C650" s="8">
        <v>20</v>
      </c>
      <c r="D650" s="8" t="s">
        <v>69</v>
      </c>
      <c r="E650" s="8" t="s">
        <v>34</v>
      </c>
      <c r="F650" s="8" t="s">
        <v>69</v>
      </c>
      <c r="G650" s="9">
        <v>66826709</v>
      </c>
      <c r="H650" s="10">
        <v>64030500</v>
      </c>
      <c r="I650" s="11">
        <v>45789</v>
      </c>
      <c r="J650" s="12">
        <v>217302</v>
      </c>
      <c r="K650" s="13" t="s">
        <v>500</v>
      </c>
      <c r="L650" s="14" t="s">
        <v>65</v>
      </c>
      <c r="M650" s="11" t="s">
        <v>17</v>
      </c>
      <c r="N650" s="14" t="s">
        <v>62</v>
      </c>
      <c r="O650" s="15">
        <v>1661</v>
      </c>
      <c r="P650" s="12">
        <v>1</v>
      </c>
      <c r="Q650" s="13" t="s">
        <v>2088</v>
      </c>
      <c r="R650" s="16">
        <v>181412000</v>
      </c>
      <c r="S650" s="17">
        <v>167974074</v>
      </c>
      <c r="T650" s="12">
        <v>5</v>
      </c>
      <c r="U650" s="18">
        <v>8840741</v>
      </c>
      <c r="V650" s="19">
        <v>9548000</v>
      </c>
      <c r="W650" s="13" t="s">
        <v>2174</v>
      </c>
      <c r="X650" s="14" t="s">
        <v>2205</v>
      </c>
      <c r="Y650" s="13" t="s">
        <v>2126</v>
      </c>
      <c r="Z650" s="14" t="s">
        <v>1963</v>
      </c>
      <c r="AA650" s="17">
        <v>13</v>
      </c>
      <c r="AB650" s="14" t="s">
        <v>173</v>
      </c>
      <c r="AC650" s="17">
        <v>190960000</v>
      </c>
      <c r="AD650" s="14"/>
      <c r="AE650" s="17">
        <v>176814815</v>
      </c>
      <c r="AF650" s="14" t="s">
        <v>121</v>
      </c>
      <c r="AG650" s="20" t="s">
        <v>391</v>
      </c>
      <c r="AH650" s="10">
        <v>101147365</v>
      </c>
      <c r="AI650" s="24" t="str">
        <f>VLOOKUP(Sales[[#This Row],[Store]],'Store lay bao  cao'!A:B,2,0)</f>
        <v>Lấy BC</v>
      </c>
      <c r="AJ650" s="24" t="str">
        <f>VLOOKUP(Sales[[#This Row],[Associate]],'Associate Status'!B:C,2,0)</f>
        <v>Active</v>
      </c>
    </row>
    <row r="651" spans="1:36" x14ac:dyDescent="0.25">
      <c r="A651" s="7">
        <v>2025</v>
      </c>
      <c r="B651" s="8">
        <v>5</v>
      </c>
      <c r="C651" s="8">
        <v>20</v>
      </c>
      <c r="D651" s="8" t="s">
        <v>69</v>
      </c>
      <c r="E651" s="8" t="s">
        <v>34</v>
      </c>
      <c r="F651" s="8" t="s">
        <v>69</v>
      </c>
      <c r="G651" s="9">
        <v>3161259</v>
      </c>
      <c r="H651" s="10">
        <v>2480000</v>
      </c>
      <c r="I651" s="11">
        <v>45789</v>
      </c>
      <c r="J651" s="12">
        <v>217293</v>
      </c>
      <c r="K651" s="13" t="s">
        <v>500</v>
      </c>
      <c r="L651" s="14" t="s">
        <v>50</v>
      </c>
      <c r="M651" s="11" t="s">
        <v>17</v>
      </c>
      <c r="N651" s="14" t="s">
        <v>62</v>
      </c>
      <c r="O651" s="15">
        <v>1661</v>
      </c>
      <c r="P651" s="12">
        <v>1</v>
      </c>
      <c r="Q651" s="13" t="s">
        <v>2088</v>
      </c>
      <c r="R651" s="16">
        <v>6524900</v>
      </c>
      <c r="S651" s="17">
        <v>6041574</v>
      </c>
      <c r="T651" s="12">
        <v>17.78</v>
      </c>
      <c r="U651" s="18">
        <v>1306574</v>
      </c>
      <c r="V651" s="19">
        <v>1411100</v>
      </c>
      <c r="W651" s="13" t="s">
        <v>2174</v>
      </c>
      <c r="X651" s="14" t="s">
        <v>2206</v>
      </c>
      <c r="Y651" s="13" t="s">
        <v>2126</v>
      </c>
      <c r="Z651" s="14" t="s">
        <v>2207</v>
      </c>
      <c r="AA651" s="17">
        <v>13</v>
      </c>
      <c r="AB651" s="14" t="s">
        <v>220</v>
      </c>
      <c r="AC651" s="17">
        <v>7936000</v>
      </c>
      <c r="AD651" s="14" t="s">
        <v>1969</v>
      </c>
      <c r="AE651" s="17">
        <v>7348148</v>
      </c>
      <c r="AF651" s="14" t="s">
        <v>121</v>
      </c>
      <c r="AG651" s="21" t="s">
        <v>391</v>
      </c>
      <c r="AH651" s="10">
        <v>2880315</v>
      </c>
      <c r="AI651" s="24" t="str">
        <f>VLOOKUP(Sales[[#This Row],[Store]],'Store lay bao  cao'!A:B,2,0)</f>
        <v>Lấy BC</v>
      </c>
      <c r="AJ651" s="24" t="str">
        <f>VLOOKUP(Sales[[#This Row],[Associate]],'Associate Status'!B:C,2,0)</f>
        <v>Active</v>
      </c>
    </row>
    <row r="652" spans="1:36" x14ac:dyDescent="0.25">
      <c r="A652" s="7">
        <v>2025</v>
      </c>
      <c r="B652" s="8">
        <v>5</v>
      </c>
      <c r="C652" s="8">
        <v>20</v>
      </c>
      <c r="D652" s="8" t="s">
        <v>57</v>
      </c>
      <c r="E652" s="8" t="s">
        <v>37</v>
      </c>
      <c r="F652" s="8" t="s">
        <v>57</v>
      </c>
      <c r="G652" s="9">
        <v>74852909</v>
      </c>
      <c r="H652" s="10">
        <v>68681250</v>
      </c>
      <c r="I652" s="11">
        <v>45791</v>
      </c>
      <c r="J652" s="12">
        <v>193275</v>
      </c>
      <c r="K652" s="13" t="s">
        <v>437</v>
      </c>
      <c r="L652" s="14" t="s">
        <v>58</v>
      </c>
      <c r="M652" s="11" t="s">
        <v>15</v>
      </c>
      <c r="N652" s="14" t="s">
        <v>62</v>
      </c>
      <c r="O652" s="15">
        <v>2632</v>
      </c>
      <c r="P652" s="12">
        <v>1</v>
      </c>
      <c r="Q652" s="13" t="s">
        <v>102</v>
      </c>
      <c r="R652" s="16">
        <v>240995050</v>
      </c>
      <c r="S652" s="17">
        <v>223143565</v>
      </c>
      <c r="T652" s="12">
        <v>5</v>
      </c>
      <c r="U652" s="18">
        <v>11744398</v>
      </c>
      <c r="V652" s="19">
        <v>12683950</v>
      </c>
      <c r="W652" s="13" t="s">
        <v>349</v>
      </c>
      <c r="X652" s="14" t="s">
        <v>2209</v>
      </c>
      <c r="Y652" s="13" t="s">
        <v>2177</v>
      </c>
      <c r="Z652" s="14" t="s">
        <v>1124</v>
      </c>
      <c r="AA652" s="17">
        <v>11</v>
      </c>
      <c r="AB652" s="14" t="s">
        <v>1337</v>
      </c>
      <c r="AC652" s="17">
        <v>253679000</v>
      </c>
      <c r="AD652" s="14" t="s">
        <v>2210</v>
      </c>
      <c r="AE652" s="17">
        <v>234887963</v>
      </c>
      <c r="AF652" s="14" t="s">
        <v>2082</v>
      </c>
      <c r="AG652" s="20" t="s">
        <v>347</v>
      </c>
      <c r="AH652" s="10">
        <v>148290656</v>
      </c>
      <c r="AI652" s="24" t="str">
        <f>VLOOKUP(Sales[[#This Row],[Store]],'Store lay bao  cao'!A:B,2,0)</f>
        <v>Lấy BC</v>
      </c>
      <c r="AJ652" s="24" t="str">
        <f>VLOOKUP(Sales[[#This Row],[Associate]],'Associate Status'!B:C,2,0)</f>
        <v>Active</v>
      </c>
    </row>
    <row r="653" spans="1:36" x14ac:dyDescent="0.25">
      <c r="A653" s="7">
        <v>2025</v>
      </c>
      <c r="B653" s="8">
        <v>5</v>
      </c>
      <c r="C653" s="8">
        <v>20</v>
      </c>
      <c r="D653" s="8" t="s">
        <v>66</v>
      </c>
      <c r="E653" s="8" t="s">
        <v>49</v>
      </c>
      <c r="F653" s="8" t="s">
        <v>66</v>
      </c>
      <c r="G653" s="9">
        <v>-20494935</v>
      </c>
      <c r="H653" s="10">
        <v>-19647000</v>
      </c>
      <c r="I653" s="11">
        <v>45791</v>
      </c>
      <c r="J653" s="12">
        <v>214593</v>
      </c>
      <c r="K653" s="13" t="s">
        <v>437</v>
      </c>
      <c r="L653" s="14" t="s">
        <v>58</v>
      </c>
      <c r="M653" s="11" t="s">
        <v>15</v>
      </c>
      <c r="N653" s="14" t="s">
        <v>62</v>
      </c>
      <c r="O653" s="15">
        <v>2632</v>
      </c>
      <c r="P653" s="12">
        <v>-1</v>
      </c>
      <c r="Q653" s="13" t="s">
        <v>102</v>
      </c>
      <c r="R653" s="16">
        <v>-62443500</v>
      </c>
      <c r="S653" s="17">
        <v>-57818056</v>
      </c>
      <c r="T653" s="12">
        <v>5</v>
      </c>
      <c r="U653" s="18">
        <v>-3043056</v>
      </c>
      <c r="V653" s="19">
        <v>-3286500</v>
      </c>
      <c r="W653" s="13" t="s">
        <v>349</v>
      </c>
      <c r="X653" s="14" t="s">
        <v>2190</v>
      </c>
      <c r="Y653" s="13" t="s">
        <v>2177</v>
      </c>
      <c r="Z653" s="14" t="s">
        <v>2191</v>
      </c>
      <c r="AA653" s="17">
        <v>11</v>
      </c>
      <c r="AB653" s="14" t="s">
        <v>1337</v>
      </c>
      <c r="AC653" s="17">
        <v>-65730000</v>
      </c>
      <c r="AD653" s="14"/>
      <c r="AE653" s="17">
        <v>-60861111</v>
      </c>
      <c r="AF653" s="14" t="s">
        <v>1970</v>
      </c>
      <c r="AG653" s="21" t="s">
        <v>347</v>
      </c>
      <c r="AH653" s="10">
        <v>-37323121</v>
      </c>
      <c r="AI653" s="24" t="str">
        <f>VLOOKUP(Sales[[#This Row],[Store]],'Store lay bao  cao'!A:B,2,0)</f>
        <v>Lấy BC</v>
      </c>
      <c r="AJ653" s="24" t="str">
        <f>VLOOKUP(Sales[[#This Row],[Associate]],'Associate Status'!B:C,2,0)</f>
        <v>Active</v>
      </c>
    </row>
    <row r="654" spans="1:36" x14ac:dyDescent="0.25">
      <c r="A654" s="7">
        <v>2025</v>
      </c>
      <c r="B654" s="8">
        <v>5</v>
      </c>
      <c r="C654" s="8">
        <v>20</v>
      </c>
      <c r="D654" s="8" t="s">
        <v>63</v>
      </c>
      <c r="E654" s="8" t="s">
        <v>34</v>
      </c>
      <c r="F654" s="8" t="s">
        <v>63</v>
      </c>
      <c r="G654" s="9">
        <v>426447</v>
      </c>
      <c r="H654" s="10">
        <v>382270.5</v>
      </c>
      <c r="I654" s="11">
        <v>45791</v>
      </c>
      <c r="J654" s="12">
        <v>205042</v>
      </c>
      <c r="K654" s="13" t="s">
        <v>779</v>
      </c>
      <c r="L654" s="14" t="s">
        <v>47</v>
      </c>
      <c r="M654" s="11" t="s">
        <v>21</v>
      </c>
      <c r="N654" s="14" t="s">
        <v>62</v>
      </c>
      <c r="O654" s="15">
        <v>4231</v>
      </c>
      <c r="P654" s="12">
        <v>1</v>
      </c>
      <c r="Q654" s="13" t="s">
        <v>2098</v>
      </c>
      <c r="R654" s="16">
        <v>2294000</v>
      </c>
      <c r="S654" s="17">
        <v>2124074</v>
      </c>
      <c r="T654" s="12">
        <v>0</v>
      </c>
      <c r="U654" s="18">
        <v>0</v>
      </c>
      <c r="V654" s="19">
        <v>0</v>
      </c>
      <c r="W654" s="13" t="s">
        <v>2165</v>
      </c>
      <c r="X654" s="14" t="s">
        <v>1539</v>
      </c>
      <c r="Y654" s="13" t="s">
        <v>2211</v>
      </c>
      <c r="Z654" s="14" t="s">
        <v>2212</v>
      </c>
      <c r="AA654" s="17">
        <v>14</v>
      </c>
      <c r="AB654" s="14" t="s">
        <v>2213</v>
      </c>
      <c r="AC654" s="17">
        <v>2294000</v>
      </c>
      <c r="AD654" s="14" t="s">
        <v>2097</v>
      </c>
      <c r="AE654" s="17">
        <v>2124074</v>
      </c>
      <c r="AF654" s="14" t="s">
        <v>2053</v>
      </c>
      <c r="AG654" s="20" t="s">
        <v>281</v>
      </c>
      <c r="AH654" s="10">
        <v>1697627</v>
      </c>
      <c r="AI654" s="24" t="str">
        <f>VLOOKUP(Sales[[#This Row],[Store]],'Store lay bao  cao'!A:B,2,0)</f>
        <v>Lấy BC</v>
      </c>
      <c r="AJ654" s="24" t="e">
        <f>VLOOKUP(Sales[[#This Row],[Associate]],'Associate Status'!B:C,2,0)</f>
        <v>#N/A</v>
      </c>
    </row>
    <row r="655" spans="1:36" x14ac:dyDescent="0.25">
      <c r="A655" s="7">
        <v>2025</v>
      </c>
      <c r="B655" s="8">
        <v>5</v>
      </c>
      <c r="C655" s="8">
        <v>20</v>
      </c>
      <c r="D655" s="8" t="s">
        <v>60</v>
      </c>
      <c r="E655" s="8" t="s">
        <v>53</v>
      </c>
      <c r="F655" s="8" t="s">
        <v>60</v>
      </c>
      <c r="G655" s="9">
        <v>2427460</v>
      </c>
      <c r="H655" s="10">
        <v>2257200</v>
      </c>
      <c r="I655" s="11">
        <v>45791</v>
      </c>
      <c r="J655" s="12">
        <v>208269</v>
      </c>
      <c r="K655" s="13" t="s">
        <v>780</v>
      </c>
      <c r="L655" s="14" t="s">
        <v>50</v>
      </c>
      <c r="M655" s="11" t="s">
        <v>21</v>
      </c>
      <c r="N655" s="14" t="s">
        <v>62</v>
      </c>
      <c r="O655" s="15">
        <v>4233</v>
      </c>
      <c r="P655" s="12">
        <v>1</v>
      </c>
      <c r="Q655" s="13"/>
      <c r="R655" s="16">
        <v>7224000</v>
      </c>
      <c r="S655" s="17">
        <v>6688889</v>
      </c>
      <c r="T655" s="12">
        <v>0</v>
      </c>
      <c r="U655" s="18">
        <v>0</v>
      </c>
      <c r="V655" s="19">
        <v>0</v>
      </c>
      <c r="W655" s="13" t="s">
        <v>2163</v>
      </c>
      <c r="X655" s="14" t="s">
        <v>2214</v>
      </c>
      <c r="Y655" s="13" t="s">
        <v>2215</v>
      </c>
      <c r="Z655" s="14" t="s">
        <v>2216</v>
      </c>
      <c r="AA655" s="17">
        <v>17</v>
      </c>
      <c r="AB655" s="14" t="s">
        <v>137</v>
      </c>
      <c r="AC655" s="17">
        <v>7224000</v>
      </c>
      <c r="AD655" s="14" t="s">
        <v>108</v>
      </c>
      <c r="AE655" s="17">
        <v>6688889</v>
      </c>
      <c r="AF655" s="14" t="s">
        <v>2113</v>
      </c>
      <c r="AG655" s="21" t="s">
        <v>610</v>
      </c>
      <c r="AH655" s="10">
        <v>4261429</v>
      </c>
      <c r="AI655" s="24" t="str">
        <f>VLOOKUP(Sales[[#This Row],[Store]],'Store lay bao  cao'!A:B,2,0)</f>
        <v>Lấy BC</v>
      </c>
      <c r="AJ655" s="24" t="e">
        <f>VLOOKUP(Sales[[#This Row],[Associate]],'Associate Status'!B:C,2,0)</f>
        <v>#N/A</v>
      </c>
    </row>
    <row r="656" spans="1:36" x14ac:dyDescent="0.25">
      <c r="A656" s="7">
        <v>2025</v>
      </c>
      <c r="B656" s="8">
        <v>5</v>
      </c>
      <c r="C656" s="8">
        <v>20</v>
      </c>
      <c r="D656" s="8" t="s">
        <v>60</v>
      </c>
      <c r="E656" s="8" t="s">
        <v>37</v>
      </c>
      <c r="F656" s="8" t="s">
        <v>60</v>
      </c>
      <c r="G656" s="9">
        <v>6615128</v>
      </c>
      <c r="H656" s="10">
        <v>6156000</v>
      </c>
      <c r="I656" s="11">
        <v>45791</v>
      </c>
      <c r="J656" s="12">
        <v>208275</v>
      </c>
      <c r="K656" s="13" t="s">
        <v>780</v>
      </c>
      <c r="L656" s="14" t="s">
        <v>50</v>
      </c>
      <c r="M656" s="11" t="s">
        <v>21</v>
      </c>
      <c r="N656" s="14" t="s">
        <v>62</v>
      </c>
      <c r="O656" s="15">
        <v>4233</v>
      </c>
      <c r="P656" s="12">
        <v>1</v>
      </c>
      <c r="Q656" s="13"/>
      <c r="R656" s="16">
        <v>19700000</v>
      </c>
      <c r="S656" s="17">
        <v>18240741</v>
      </c>
      <c r="T656" s="12">
        <v>0</v>
      </c>
      <c r="U656" s="18">
        <v>0</v>
      </c>
      <c r="V656" s="19">
        <v>0</v>
      </c>
      <c r="W656" s="13" t="s">
        <v>2163</v>
      </c>
      <c r="X656" s="14" t="s">
        <v>2217</v>
      </c>
      <c r="Y656" s="13" t="s">
        <v>2215</v>
      </c>
      <c r="Z656" s="14" t="s">
        <v>888</v>
      </c>
      <c r="AA656" s="17">
        <v>17</v>
      </c>
      <c r="AB656" s="14" t="s">
        <v>137</v>
      </c>
      <c r="AC656" s="17">
        <v>19700000</v>
      </c>
      <c r="AD656" s="14" t="s">
        <v>108</v>
      </c>
      <c r="AE656" s="17">
        <v>18240741</v>
      </c>
      <c r="AF656" s="14" t="s">
        <v>2113</v>
      </c>
      <c r="AG656" s="20" t="s">
        <v>610</v>
      </c>
      <c r="AH656" s="10">
        <v>11625613</v>
      </c>
      <c r="AI656" s="24" t="str">
        <f>VLOOKUP(Sales[[#This Row],[Store]],'Store lay bao  cao'!A:B,2,0)</f>
        <v>Lấy BC</v>
      </c>
      <c r="AJ656" s="24" t="e">
        <f>VLOOKUP(Sales[[#This Row],[Associate]],'Associate Status'!B:C,2,0)</f>
        <v>#N/A</v>
      </c>
    </row>
    <row r="657" spans="1:36" x14ac:dyDescent="0.25">
      <c r="A657" s="7">
        <v>2025</v>
      </c>
      <c r="B657" s="8">
        <v>5</v>
      </c>
      <c r="C657" s="8">
        <v>21</v>
      </c>
      <c r="D657" s="8" t="s">
        <v>66</v>
      </c>
      <c r="E657" s="8" t="s">
        <v>37</v>
      </c>
      <c r="F657" s="8" t="s">
        <v>66</v>
      </c>
      <c r="G657" s="9">
        <v>1702281965</v>
      </c>
      <c r="H657" s="10">
        <v>1855845000</v>
      </c>
      <c r="I657" s="11">
        <v>45800</v>
      </c>
      <c r="J657" s="12">
        <v>211682</v>
      </c>
      <c r="K657" s="13" t="s">
        <v>444</v>
      </c>
      <c r="L657" s="14" t="s">
        <v>65</v>
      </c>
      <c r="M657" s="11" t="s">
        <v>15</v>
      </c>
      <c r="N657" s="14" t="s">
        <v>62</v>
      </c>
      <c r="O657" s="15">
        <v>2695</v>
      </c>
      <c r="P657" s="12">
        <v>1</v>
      </c>
      <c r="Q657" s="13" t="s">
        <v>2088</v>
      </c>
      <c r="R657" s="16">
        <v>4082859000</v>
      </c>
      <c r="S657" s="17">
        <v>3780425000</v>
      </c>
      <c r="T657" s="12">
        <v>17.43</v>
      </c>
      <c r="U657" s="18">
        <v>797815741</v>
      </c>
      <c r="V657" s="19">
        <v>861641000</v>
      </c>
      <c r="W657" s="13" t="s">
        <v>1358</v>
      </c>
      <c r="X657" s="14" t="s">
        <v>2219</v>
      </c>
      <c r="Y657" s="13" t="s">
        <v>2104</v>
      </c>
      <c r="Z657" s="14" t="s">
        <v>2220</v>
      </c>
      <c r="AA657" s="17">
        <v>17</v>
      </c>
      <c r="AB657" s="14" t="s">
        <v>2221</v>
      </c>
      <c r="AC657" s="17">
        <v>4944500000</v>
      </c>
      <c r="AD657" s="14"/>
      <c r="AE657" s="17">
        <v>4578240741</v>
      </c>
      <c r="AF657" s="14" t="s">
        <v>1978</v>
      </c>
      <c r="AG657" s="21" t="s">
        <v>751</v>
      </c>
      <c r="AH657" s="10">
        <v>2078143035</v>
      </c>
      <c r="AI657" s="24" t="str">
        <f>VLOOKUP(Sales[[#This Row],[Store]],'Store lay bao  cao'!A:B,2,0)</f>
        <v>Lấy BC</v>
      </c>
      <c r="AJ657" s="24" t="str">
        <f>VLOOKUP(Sales[[#This Row],[Associate]],'Associate Status'!B:C,2,0)</f>
        <v>Active</v>
      </c>
    </row>
    <row r="658" spans="1:36" x14ac:dyDescent="0.25">
      <c r="A658" s="7">
        <v>2025</v>
      </c>
      <c r="B658" s="8">
        <v>5</v>
      </c>
      <c r="C658" s="8">
        <v>22</v>
      </c>
      <c r="D658" s="8" t="s">
        <v>63</v>
      </c>
      <c r="E658" s="8" t="s">
        <v>37</v>
      </c>
      <c r="F658" s="8" t="s">
        <v>63</v>
      </c>
      <c r="G658" s="9">
        <v>1426858</v>
      </c>
      <c r="H658" s="10">
        <v>1223265.5999999999</v>
      </c>
      <c r="I658" s="11">
        <v>45806</v>
      </c>
      <c r="J658" s="12">
        <v>205036</v>
      </c>
      <c r="K658" s="13" t="s">
        <v>783</v>
      </c>
      <c r="L658" s="14" t="s">
        <v>47</v>
      </c>
      <c r="M658" s="11" t="s">
        <v>21</v>
      </c>
      <c r="N658" s="14" t="s">
        <v>62</v>
      </c>
      <c r="O658" s="15">
        <v>4301</v>
      </c>
      <c r="P658" s="12">
        <v>1</v>
      </c>
      <c r="Q658" s="13" t="s">
        <v>2098</v>
      </c>
      <c r="R658" s="16">
        <v>7340000</v>
      </c>
      <c r="S658" s="17">
        <v>6796296</v>
      </c>
      <c r="T658" s="12">
        <v>0</v>
      </c>
      <c r="U658" s="18">
        <v>0</v>
      </c>
      <c r="V658" s="19">
        <v>0</v>
      </c>
      <c r="W658" s="13" t="s">
        <v>1023</v>
      </c>
      <c r="X658" s="14" t="s">
        <v>1517</v>
      </c>
      <c r="Y658" s="13" t="s">
        <v>103</v>
      </c>
      <c r="Z658" s="14" t="s">
        <v>2140</v>
      </c>
      <c r="AA658" s="17">
        <v>16</v>
      </c>
      <c r="AB658" s="14" t="s">
        <v>2223</v>
      </c>
      <c r="AC658" s="17">
        <v>7340000</v>
      </c>
      <c r="AD658" s="14" t="s">
        <v>2097</v>
      </c>
      <c r="AE658" s="17">
        <v>6796296</v>
      </c>
      <c r="AF658" s="14" t="s">
        <v>255</v>
      </c>
      <c r="AG658" s="20"/>
      <c r="AH658" s="10">
        <v>5369438</v>
      </c>
      <c r="AI658" s="24" t="str">
        <f>VLOOKUP(Sales[[#This Row],[Store]],'Store lay bao  cao'!A:B,2,0)</f>
        <v>Lấy BC</v>
      </c>
      <c r="AJ658" s="24" t="str">
        <f>VLOOKUP(Sales[[#This Row],[Associate]],'Associate Status'!B:C,2,0)</f>
        <v>Active</v>
      </c>
    </row>
    <row r="659" spans="1:36" x14ac:dyDescent="0.25">
      <c r="A659" s="7">
        <v>2025</v>
      </c>
      <c r="B659" s="8">
        <v>5</v>
      </c>
      <c r="C659" s="8">
        <v>22</v>
      </c>
      <c r="D659" s="8" t="s">
        <v>69</v>
      </c>
      <c r="E659" s="8" t="s">
        <v>37</v>
      </c>
      <c r="F659" s="8" t="s">
        <v>69</v>
      </c>
      <c r="G659" s="9">
        <v>3951573</v>
      </c>
      <c r="H659" s="10">
        <v>3100000</v>
      </c>
      <c r="I659" s="11">
        <v>45807</v>
      </c>
      <c r="J659" s="12">
        <v>217279</v>
      </c>
      <c r="K659" s="13" t="s">
        <v>784</v>
      </c>
      <c r="L659" s="14" t="s">
        <v>50</v>
      </c>
      <c r="M659" s="11" t="s">
        <v>21</v>
      </c>
      <c r="N659" s="14" t="s">
        <v>62</v>
      </c>
      <c r="O659" s="15">
        <v>4305</v>
      </c>
      <c r="P659" s="12">
        <v>1</v>
      </c>
      <c r="Q659" s="13" t="s">
        <v>2098</v>
      </c>
      <c r="R659" s="16">
        <v>9424000</v>
      </c>
      <c r="S659" s="17">
        <v>8725926</v>
      </c>
      <c r="T659" s="12">
        <v>5</v>
      </c>
      <c r="U659" s="18">
        <v>459259</v>
      </c>
      <c r="V659" s="19">
        <v>496000</v>
      </c>
      <c r="W659" s="13" t="s">
        <v>2159</v>
      </c>
      <c r="X659" s="14" t="s">
        <v>2224</v>
      </c>
      <c r="Y659" s="13" t="s">
        <v>330</v>
      </c>
      <c r="Z659" s="14" t="s">
        <v>2225</v>
      </c>
      <c r="AA659" s="17">
        <v>15</v>
      </c>
      <c r="AB659" s="14" t="s">
        <v>220</v>
      </c>
      <c r="AC659" s="17">
        <v>9920000</v>
      </c>
      <c r="AD659" s="14" t="s">
        <v>1969</v>
      </c>
      <c r="AE659" s="17">
        <v>9185185</v>
      </c>
      <c r="AF659" s="14" t="s">
        <v>123</v>
      </c>
      <c r="AG659" s="21" t="s">
        <v>923</v>
      </c>
      <c r="AH659" s="10">
        <v>4774353</v>
      </c>
      <c r="AI659" s="24" t="str">
        <f>VLOOKUP(Sales[[#This Row],[Store]],'Store lay bao  cao'!A:B,2,0)</f>
        <v>Lấy BC</v>
      </c>
      <c r="AJ659" s="24" t="str">
        <f>VLOOKUP(Sales[[#This Row],[Associate]],'Associate Status'!B:C,2,0)</f>
        <v>Active</v>
      </c>
    </row>
    <row r="660" spans="1:36" x14ac:dyDescent="0.25">
      <c r="A660" s="7">
        <v>2025</v>
      </c>
      <c r="B660" s="8">
        <v>6</v>
      </c>
      <c r="C660" s="8">
        <v>23</v>
      </c>
      <c r="D660" s="8" t="s">
        <v>52</v>
      </c>
      <c r="E660" s="8" t="s">
        <v>43</v>
      </c>
      <c r="F660" s="8" t="s">
        <v>52</v>
      </c>
      <c r="G660" s="9">
        <v>2398111</v>
      </c>
      <c r="H660" s="10">
        <v>2160000</v>
      </c>
      <c r="I660" s="11">
        <v>45810</v>
      </c>
      <c r="J660" s="12">
        <v>182187</v>
      </c>
      <c r="K660" s="13" t="s">
        <v>785</v>
      </c>
      <c r="L660" s="14" t="s">
        <v>50</v>
      </c>
      <c r="M660" s="11" t="s">
        <v>21</v>
      </c>
      <c r="N660" s="14" t="s">
        <v>62</v>
      </c>
      <c r="O660" s="15">
        <v>4328</v>
      </c>
      <c r="P660" s="12">
        <v>1</v>
      </c>
      <c r="Q660" s="13"/>
      <c r="R660" s="16">
        <v>6912000</v>
      </c>
      <c r="S660" s="17">
        <v>6400000</v>
      </c>
      <c r="T660" s="12">
        <v>0</v>
      </c>
      <c r="U660" s="18">
        <v>0</v>
      </c>
      <c r="V660" s="19">
        <v>0</v>
      </c>
      <c r="W660" s="13" t="s">
        <v>2163</v>
      </c>
      <c r="X660" s="14" t="s">
        <v>2226</v>
      </c>
      <c r="Y660" s="13" t="s">
        <v>2227</v>
      </c>
      <c r="Z660" s="14" t="s">
        <v>2228</v>
      </c>
      <c r="AA660" s="17">
        <v>15</v>
      </c>
      <c r="AB660" s="14" t="s">
        <v>2229</v>
      </c>
      <c r="AC660" s="17">
        <v>6912000</v>
      </c>
      <c r="AD660" s="14" t="s">
        <v>2230</v>
      </c>
      <c r="AE660" s="17">
        <v>6400000</v>
      </c>
      <c r="AF660" s="14" t="s">
        <v>170</v>
      </c>
      <c r="AG660" s="20" t="s">
        <v>464</v>
      </c>
      <c r="AH660" s="10">
        <v>4001889</v>
      </c>
      <c r="AI660" s="24" t="str">
        <f>VLOOKUP(Sales[[#This Row],[Store]],'Store lay bao  cao'!A:B,2,0)</f>
        <v>Lấy BC</v>
      </c>
      <c r="AJ660" s="24" t="str">
        <f>VLOOKUP(Sales[[#This Row],[Associate]],'Associate Status'!B:C,2,0)</f>
        <v>Active</v>
      </c>
    </row>
    <row r="661" spans="1:36" x14ac:dyDescent="0.25">
      <c r="A661" s="7">
        <v>2025</v>
      </c>
      <c r="B661" s="8">
        <v>6</v>
      </c>
      <c r="C661" s="8">
        <v>23</v>
      </c>
      <c r="D661" s="8" t="s">
        <v>66</v>
      </c>
      <c r="E661" s="8" t="s">
        <v>53</v>
      </c>
      <c r="F661" s="8" t="s">
        <v>66</v>
      </c>
      <c r="G661" s="9">
        <v>97397754</v>
      </c>
      <c r="H661" s="10">
        <v>93190500</v>
      </c>
      <c r="I661" s="11">
        <v>45810</v>
      </c>
      <c r="J661" s="12">
        <v>210751</v>
      </c>
      <c r="K661" s="13" t="s">
        <v>518</v>
      </c>
      <c r="L661" s="14" t="s">
        <v>65</v>
      </c>
      <c r="M661" s="11" t="s">
        <v>17</v>
      </c>
      <c r="N661" s="14" t="s">
        <v>62</v>
      </c>
      <c r="O661" s="15">
        <v>1775</v>
      </c>
      <c r="P661" s="12">
        <v>1</v>
      </c>
      <c r="Q661" s="13" t="s">
        <v>2088</v>
      </c>
      <c r="R661" s="16">
        <v>285076000</v>
      </c>
      <c r="S661" s="17">
        <v>263959259</v>
      </c>
      <c r="T661" s="12">
        <v>12</v>
      </c>
      <c r="U661" s="18">
        <v>35994444</v>
      </c>
      <c r="V661" s="19">
        <v>38874000</v>
      </c>
      <c r="W661" s="13" t="s">
        <v>2170</v>
      </c>
      <c r="X661" s="14" t="s">
        <v>2232</v>
      </c>
      <c r="Y661" s="13" t="s">
        <v>2231</v>
      </c>
      <c r="Z661" s="14" t="s">
        <v>1624</v>
      </c>
      <c r="AA661" s="17">
        <v>16</v>
      </c>
      <c r="AB661" s="14" t="s">
        <v>2233</v>
      </c>
      <c r="AC661" s="17">
        <v>323950000</v>
      </c>
      <c r="AD661" s="14"/>
      <c r="AE661" s="17">
        <v>299953704</v>
      </c>
      <c r="AF661" s="14" t="s">
        <v>121</v>
      </c>
      <c r="AG661" s="21" t="s">
        <v>738</v>
      </c>
      <c r="AH661" s="10">
        <v>166561505</v>
      </c>
      <c r="AI661" s="24" t="str">
        <f>VLOOKUP(Sales[[#This Row],[Store]],'Store lay bao  cao'!A:B,2,0)</f>
        <v>Lấy BC</v>
      </c>
      <c r="AJ661" s="24" t="str">
        <f>VLOOKUP(Sales[[#This Row],[Associate]],'Associate Status'!B:C,2,0)</f>
        <v>Active</v>
      </c>
    </row>
    <row r="662" spans="1:36" x14ac:dyDescent="0.25">
      <c r="A662" s="7">
        <v>2025</v>
      </c>
      <c r="B662" s="8">
        <v>6</v>
      </c>
      <c r="C662" s="8">
        <v>23</v>
      </c>
      <c r="D662" s="8" t="s">
        <v>69</v>
      </c>
      <c r="E662" s="8" t="s">
        <v>43</v>
      </c>
      <c r="F662" s="8" t="s">
        <v>69</v>
      </c>
      <c r="G662" s="9">
        <v>27653278</v>
      </c>
      <c r="H662" s="10">
        <v>25806600.000000004</v>
      </c>
      <c r="I662" s="11">
        <v>45811</v>
      </c>
      <c r="J662" s="12">
        <v>217089</v>
      </c>
      <c r="K662" s="13" t="s">
        <v>521</v>
      </c>
      <c r="L662" s="14" t="s">
        <v>58</v>
      </c>
      <c r="M662" s="11" t="s">
        <v>17</v>
      </c>
      <c r="N662" s="14" t="s">
        <v>62</v>
      </c>
      <c r="O662" s="15">
        <v>1779</v>
      </c>
      <c r="P662" s="12">
        <v>1</v>
      </c>
      <c r="Q662" s="13" t="s">
        <v>2150</v>
      </c>
      <c r="R662" s="16">
        <v>85953150</v>
      </c>
      <c r="S662" s="17">
        <v>79586250</v>
      </c>
      <c r="T662" s="12">
        <v>5</v>
      </c>
      <c r="U662" s="18">
        <v>4188750</v>
      </c>
      <c r="V662" s="19">
        <v>4523850</v>
      </c>
      <c r="W662" s="13" t="s">
        <v>635</v>
      </c>
      <c r="X662" s="14" t="s">
        <v>2234</v>
      </c>
      <c r="Y662" s="13" t="s">
        <v>2235</v>
      </c>
      <c r="Z662" s="14" t="s">
        <v>2236</v>
      </c>
      <c r="AA662" s="17">
        <v>15</v>
      </c>
      <c r="AB662" s="14" t="s">
        <v>1337</v>
      </c>
      <c r="AC662" s="17">
        <v>90477000</v>
      </c>
      <c r="AD662" s="14" t="s">
        <v>2230</v>
      </c>
      <c r="AE662" s="17">
        <v>83775000</v>
      </c>
      <c r="AF662" s="14" t="s">
        <v>1144</v>
      </c>
      <c r="AG662" s="20" t="s">
        <v>2237</v>
      </c>
      <c r="AH662" s="10">
        <v>51932972</v>
      </c>
      <c r="AI662" s="24" t="str">
        <f>VLOOKUP(Sales[[#This Row],[Store]],'Store lay bao  cao'!A:B,2,0)</f>
        <v>Lấy BC</v>
      </c>
      <c r="AJ662" s="24" t="str">
        <f>VLOOKUP(Sales[[#This Row],[Associate]],'Associate Status'!B:C,2,0)</f>
        <v>Active</v>
      </c>
    </row>
    <row r="663" spans="1:36" x14ac:dyDescent="0.25">
      <c r="A663" s="7">
        <v>2025</v>
      </c>
      <c r="B663" s="8">
        <v>6</v>
      </c>
      <c r="C663" s="8">
        <v>23</v>
      </c>
      <c r="D663" s="8" t="s">
        <v>69</v>
      </c>
      <c r="E663" s="8" t="s">
        <v>43</v>
      </c>
      <c r="F663" s="8" t="s">
        <v>69</v>
      </c>
      <c r="G663" s="9">
        <v>27425679</v>
      </c>
      <c r="H663" s="10">
        <v>25594200</v>
      </c>
      <c r="I663" s="11">
        <v>45811</v>
      </c>
      <c r="J663" s="12">
        <v>217099</v>
      </c>
      <c r="K663" s="13" t="s">
        <v>521</v>
      </c>
      <c r="L663" s="14" t="s">
        <v>58</v>
      </c>
      <c r="M663" s="11" t="s">
        <v>17</v>
      </c>
      <c r="N663" s="14" t="s">
        <v>62</v>
      </c>
      <c r="O663" s="15">
        <v>1779</v>
      </c>
      <c r="P663" s="12">
        <v>1</v>
      </c>
      <c r="Q663" s="13" t="s">
        <v>2150</v>
      </c>
      <c r="R663" s="16">
        <v>84314400</v>
      </c>
      <c r="S663" s="17">
        <v>78068889</v>
      </c>
      <c r="T663" s="12">
        <v>5</v>
      </c>
      <c r="U663" s="18">
        <v>4108889</v>
      </c>
      <c r="V663" s="19">
        <v>4437600</v>
      </c>
      <c r="W663" s="13" t="s">
        <v>635</v>
      </c>
      <c r="X663" s="14" t="s">
        <v>2238</v>
      </c>
      <c r="Y663" s="13" t="s">
        <v>2235</v>
      </c>
      <c r="Z663" s="14" t="s">
        <v>2239</v>
      </c>
      <c r="AA663" s="17">
        <v>15</v>
      </c>
      <c r="AB663" s="14" t="s">
        <v>1337</v>
      </c>
      <c r="AC663" s="17">
        <v>88752000</v>
      </c>
      <c r="AD663" s="14" t="s">
        <v>2230</v>
      </c>
      <c r="AE663" s="17">
        <v>82177778</v>
      </c>
      <c r="AF663" s="14" t="s">
        <v>1144</v>
      </c>
      <c r="AG663" s="21" t="s">
        <v>2237</v>
      </c>
      <c r="AH663" s="10">
        <v>50643210</v>
      </c>
      <c r="AI663" s="24" t="str">
        <f>VLOOKUP(Sales[[#This Row],[Store]],'Store lay bao  cao'!A:B,2,0)</f>
        <v>Lấy BC</v>
      </c>
      <c r="AJ663" s="24" t="str">
        <f>VLOOKUP(Sales[[#This Row],[Associate]],'Associate Status'!B:C,2,0)</f>
        <v>Active</v>
      </c>
    </row>
    <row r="664" spans="1:36" x14ac:dyDescent="0.25">
      <c r="A664" s="7">
        <v>2025</v>
      </c>
      <c r="B664" s="8">
        <v>6</v>
      </c>
      <c r="C664" s="8">
        <v>23</v>
      </c>
      <c r="D664" s="8" t="s">
        <v>69</v>
      </c>
      <c r="E664" s="8" t="s">
        <v>34</v>
      </c>
      <c r="F664" s="8" t="s">
        <v>69</v>
      </c>
      <c r="G664" s="9">
        <v>35334745</v>
      </c>
      <c r="H664" s="10">
        <v>32975100</v>
      </c>
      <c r="I664" s="11">
        <v>45811</v>
      </c>
      <c r="J664" s="12">
        <v>217098</v>
      </c>
      <c r="K664" s="13" t="s">
        <v>521</v>
      </c>
      <c r="L664" s="14" t="s">
        <v>58</v>
      </c>
      <c r="M664" s="11" t="s">
        <v>17</v>
      </c>
      <c r="N664" s="14" t="s">
        <v>62</v>
      </c>
      <c r="O664" s="15">
        <v>1779</v>
      </c>
      <c r="P664" s="12">
        <v>1</v>
      </c>
      <c r="Q664" s="13" t="s">
        <v>2150</v>
      </c>
      <c r="R664" s="16">
        <v>107748050</v>
      </c>
      <c r="S664" s="17">
        <v>99766713</v>
      </c>
      <c r="T664" s="12">
        <v>5</v>
      </c>
      <c r="U664" s="18">
        <v>5250880</v>
      </c>
      <c r="V664" s="19">
        <v>5670950</v>
      </c>
      <c r="W664" s="13" t="s">
        <v>635</v>
      </c>
      <c r="X664" s="14" t="s">
        <v>2240</v>
      </c>
      <c r="Y664" s="13" t="s">
        <v>2235</v>
      </c>
      <c r="Z664" s="14" t="s">
        <v>2241</v>
      </c>
      <c r="AA664" s="17">
        <v>15</v>
      </c>
      <c r="AB664" s="14" t="s">
        <v>1337</v>
      </c>
      <c r="AC664" s="17">
        <v>113419000</v>
      </c>
      <c r="AD664" s="14" t="s">
        <v>2097</v>
      </c>
      <c r="AE664" s="17">
        <v>105017593</v>
      </c>
      <c r="AF664" s="14" t="s">
        <v>1144</v>
      </c>
      <c r="AG664" s="20" t="s">
        <v>2237</v>
      </c>
      <c r="AH664" s="10">
        <v>64431968</v>
      </c>
      <c r="AI664" s="24" t="str">
        <f>VLOOKUP(Sales[[#This Row],[Store]],'Store lay bao  cao'!A:B,2,0)</f>
        <v>Lấy BC</v>
      </c>
      <c r="AJ664" s="24" t="str">
        <f>VLOOKUP(Sales[[#This Row],[Associate]],'Associate Status'!B:C,2,0)</f>
        <v>Active</v>
      </c>
    </row>
    <row r="665" spans="1:36" x14ac:dyDescent="0.25">
      <c r="A665" s="7">
        <v>2025</v>
      </c>
      <c r="B665" s="8">
        <v>6</v>
      </c>
      <c r="C665" s="8">
        <v>23</v>
      </c>
      <c r="D665" s="8" t="s">
        <v>69</v>
      </c>
      <c r="E665" s="8" t="s">
        <v>43</v>
      </c>
      <c r="F665" s="8" t="s">
        <v>69</v>
      </c>
      <c r="G665" s="9">
        <v>-27653278</v>
      </c>
      <c r="H665" s="10">
        <v>-25806600.000000004</v>
      </c>
      <c r="I665" s="11">
        <v>45812</v>
      </c>
      <c r="J665" s="12">
        <v>217089</v>
      </c>
      <c r="K665" s="13" t="s">
        <v>528</v>
      </c>
      <c r="L665" s="14" t="s">
        <v>58</v>
      </c>
      <c r="M665" s="11" t="s">
        <v>17</v>
      </c>
      <c r="N665" s="14" t="s">
        <v>62</v>
      </c>
      <c r="O665" s="15">
        <v>1783</v>
      </c>
      <c r="P665" s="12">
        <v>-1</v>
      </c>
      <c r="Q665" s="13" t="s">
        <v>2150</v>
      </c>
      <c r="R665" s="16">
        <v>-85953150</v>
      </c>
      <c r="S665" s="17">
        <v>-79586250</v>
      </c>
      <c r="T665" s="12">
        <v>5</v>
      </c>
      <c r="U665" s="18">
        <v>-4188750</v>
      </c>
      <c r="V665" s="19">
        <v>-4523850</v>
      </c>
      <c r="W665" s="13" t="s">
        <v>2170</v>
      </c>
      <c r="X665" s="14" t="s">
        <v>2234</v>
      </c>
      <c r="Y665" s="13" t="s">
        <v>2235</v>
      </c>
      <c r="Z665" s="14" t="s">
        <v>2236</v>
      </c>
      <c r="AA665" s="17">
        <v>18</v>
      </c>
      <c r="AB665" s="14" t="s">
        <v>1337</v>
      </c>
      <c r="AC665" s="17">
        <v>-90477000</v>
      </c>
      <c r="AD665" s="14" t="s">
        <v>2230</v>
      </c>
      <c r="AE665" s="17">
        <v>-83775000</v>
      </c>
      <c r="AF665" s="14" t="s">
        <v>1144</v>
      </c>
      <c r="AG665" s="21" t="s">
        <v>2237</v>
      </c>
      <c r="AH665" s="10">
        <v>-51932972</v>
      </c>
      <c r="AI665" s="24" t="str">
        <f>VLOOKUP(Sales[[#This Row],[Store]],'Store lay bao  cao'!A:B,2,0)</f>
        <v>Lấy BC</v>
      </c>
      <c r="AJ665" s="24" t="str">
        <f>VLOOKUP(Sales[[#This Row],[Associate]],'Associate Status'!B:C,2,0)</f>
        <v>Active</v>
      </c>
    </row>
    <row r="666" spans="1:36" x14ac:dyDescent="0.25">
      <c r="A666" s="7">
        <v>2025</v>
      </c>
      <c r="B666" s="8">
        <v>6</v>
      </c>
      <c r="C666" s="8">
        <v>23</v>
      </c>
      <c r="D666" s="8" t="s">
        <v>69</v>
      </c>
      <c r="E666" s="8" t="s">
        <v>43</v>
      </c>
      <c r="F666" s="8" t="s">
        <v>69</v>
      </c>
      <c r="G666" s="9">
        <v>26401483</v>
      </c>
      <c r="H666" s="10">
        <v>24638400</v>
      </c>
      <c r="I666" s="11">
        <v>45812</v>
      </c>
      <c r="J666" s="12">
        <v>217103</v>
      </c>
      <c r="K666" s="13" t="s">
        <v>527</v>
      </c>
      <c r="L666" s="14" t="s">
        <v>58</v>
      </c>
      <c r="M666" s="11" t="s">
        <v>17</v>
      </c>
      <c r="N666" s="14" t="s">
        <v>62</v>
      </c>
      <c r="O666" s="15">
        <v>1785</v>
      </c>
      <c r="P666" s="12">
        <v>1</v>
      </c>
      <c r="Q666" s="13" t="s">
        <v>2150</v>
      </c>
      <c r="R666" s="16">
        <v>82429600</v>
      </c>
      <c r="S666" s="17">
        <v>76323704</v>
      </c>
      <c r="T666" s="12">
        <v>5</v>
      </c>
      <c r="U666" s="18">
        <v>4017037</v>
      </c>
      <c r="V666" s="19">
        <v>4338400</v>
      </c>
      <c r="W666" s="13" t="s">
        <v>2180</v>
      </c>
      <c r="X666" s="14" t="s">
        <v>2234</v>
      </c>
      <c r="Y666" s="13" t="s">
        <v>2235</v>
      </c>
      <c r="Z666" s="14" t="s">
        <v>2242</v>
      </c>
      <c r="AA666" s="17">
        <v>18</v>
      </c>
      <c r="AB666" s="14" t="s">
        <v>1337</v>
      </c>
      <c r="AC666" s="17">
        <v>86768000</v>
      </c>
      <c r="AD666" s="14" t="s">
        <v>2230</v>
      </c>
      <c r="AE666" s="17">
        <v>80340741</v>
      </c>
      <c r="AF666" s="14" t="s">
        <v>1144</v>
      </c>
      <c r="AG666" s="20" t="s">
        <v>2237</v>
      </c>
      <c r="AH666" s="10">
        <v>49922221</v>
      </c>
      <c r="AI666" s="24" t="str">
        <f>VLOOKUP(Sales[[#This Row],[Store]],'Store lay bao  cao'!A:B,2,0)</f>
        <v>Lấy BC</v>
      </c>
      <c r="AJ666" s="24" t="str">
        <f>VLOOKUP(Sales[[#This Row],[Associate]],'Associate Status'!B:C,2,0)</f>
        <v>Active</v>
      </c>
    </row>
    <row r="667" spans="1:36" x14ac:dyDescent="0.25">
      <c r="A667" s="7">
        <v>2025</v>
      </c>
      <c r="B667" s="8">
        <v>6</v>
      </c>
      <c r="C667" s="8">
        <v>24</v>
      </c>
      <c r="D667" s="8" t="s">
        <v>66</v>
      </c>
      <c r="E667" s="8" t="s">
        <v>34</v>
      </c>
      <c r="F667" s="8" t="s">
        <v>66</v>
      </c>
      <c r="G667" s="9">
        <v>20938070</v>
      </c>
      <c r="H667" s="10">
        <v>20071800</v>
      </c>
      <c r="I667" s="11">
        <v>45819</v>
      </c>
      <c r="J667" s="12">
        <v>214611</v>
      </c>
      <c r="K667" s="13" t="s">
        <v>452</v>
      </c>
      <c r="L667" s="14" t="s">
        <v>58</v>
      </c>
      <c r="M667" s="11" t="s">
        <v>15</v>
      </c>
      <c r="N667" s="14" t="s">
        <v>62</v>
      </c>
      <c r="O667" s="15">
        <v>2768</v>
      </c>
      <c r="P667" s="12">
        <v>1</v>
      </c>
      <c r="Q667" s="13" t="s">
        <v>102</v>
      </c>
      <c r="R667" s="16">
        <v>68529000</v>
      </c>
      <c r="S667" s="17">
        <v>63452778</v>
      </c>
      <c r="T667" s="12">
        <v>0</v>
      </c>
      <c r="U667" s="18">
        <v>0</v>
      </c>
      <c r="V667" s="19">
        <v>0</v>
      </c>
      <c r="W667" s="13" t="s">
        <v>2183</v>
      </c>
      <c r="X667" s="14" t="s">
        <v>2247</v>
      </c>
      <c r="Y667" s="13" t="s">
        <v>726</v>
      </c>
      <c r="Z667" s="14" t="s">
        <v>1730</v>
      </c>
      <c r="AA667" s="17">
        <v>13</v>
      </c>
      <c r="AB667" s="14" t="s">
        <v>1337</v>
      </c>
      <c r="AC667" s="17">
        <v>68529000</v>
      </c>
      <c r="AD667" s="14"/>
      <c r="AE667" s="17">
        <v>63452778</v>
      </c>
      <c r="AF667" s="14" t="s">
        <v>136</v>
      </c>
      <c r="AG667" s="21" t="s">
        <v>727</v>
      </c>
      <c r="AH667" s="10">
        <v>42514708</v>
      </c>
      <c r="AI667" s="24" t="str">
        <f>VLOOKUP(Sales[[#This Row],[Store]],'Store lay bao  cao'!A:B,2,0)</f>
        <v>Lấy BC</v>
      </c>
      <c r="AJ667" s="24" t="str">
        <f>VLOOKUP(Sales[[#This Row],[Associate]],'Associate Status'!B:C,2,0)</f>
        <v>Active</v>
      </c>
    </row>
    <row r="668" spans="1:36" x14ac:dyDescent="0.25">
      <c r="A668" s="7">
        <v>2025</v>
      </c>
      <c r="B668" s="8">
        <v>6</v>
      </c>
      <c r="C668" s="8">
        <v>24</v>
      </c>
      <c r="D668" s="8" t="s">
        <v>66</v>
      </c>
      <c r="E668" s="8" t="s">
        <v>34</v>
      </c>
      <c r="F668" s="8" t="s">
        <v>66</v>
      </c>
      <c r="G668" s="9">
        <v>7782536</v>
      </c>
      <c r="H668" s="10">
        <v>7460550</v>
      </c>
      <c r="I668" s="11">
        <v>45819</v>
      </c>
      <c r="J668" s="12">
        <v>214607</v>
      </c>
      <c r="K668" s="13" t="s">
        <v>452</v>
      </c>
      <c r="L668" s="14" t="s">
        <v>58</v>
      </c>
      <c r="M668" s="11" t="s">
        <v>15</v>
      </c>
      <c r="N668" s="14" t="s">
        <v>62</v>
      </c>
      <c r="O668" s="15">
        <v>2768</v>
      </c>
      <c r="P668" s="12">
        <v>1</v>
      </c>
      <c r="Q668" s="13" t="s">
        <v>102</v>
      </c>
      <c r="R668" s="16">
        <v>26038000</v>
      </c>
      <c r="S668" s="17">
        <v>24109259</v>
      </c>
      <c r="T668" s="12">
        <v>0</v>
      </c>
      <c r="U668" s="18">
        <v>0</v>
      </c>
      <c r="V668" s="19">
        <v>0</v>
      </c>
      <c r="W668" s="13" t="s">
        <v>2183</v>
      </c>
      <c r="X668" s="14" t="s">
        <v>2248</v>
      </c>
      <c r="Y668" s="13" t="s">
        <v>726</v>
      </c>
      <c r="Z668" s="14" t="s">
        <v>2249</v>
      </c>
      <c r="AA668" s="17">
        <v>13</v>
      </c>
      <c r="AB668" s="14" t="s">
        <v>1337</v>
      </c>
      <c r="AC668" s="17">
        <v>26038000</v>
      </c>
      <c r="AD668" s="14"/>
      <c r="AE668" s="17">
        <v>24109259</v>
      </c>
      <c r="AF668" s="14" t="s">
        <v>136</v>
      </c>
      <c r="AG668" s="20" t="s">
        <v>727</v>
      </c>
      <c r="AH668" s="10">
        <v>16326723</v>
      </c>
      <c r="AI668" s="24" t="str">
        <f>VLOOKUP(Sales[[#This Row],[Store]],'Store lay bao  cao'!A:B,2,0)</f>
        <v>Lấy BC</v>
      </c>
      <c r="AJ668" s="24" t="str">
        <f>VLOOKUP(Sales[[#This Row],[Associate]],'Associate Status'!B:C,2,0)</f>
        <v>Active</v>
      </c>
    </row>
    <row r="669" spans="1:36" x14ac:dyDescent="0.25">
      <c r="A669" s="7">
        <v>2025</v>
      </c>
      <c r="B669" s="8">
        <v>6</v>
      </c>
      <c r="C669" s="8">
        <v>24</v>
      </c>
      <c r="D669" s="8" t="s">
        <v>60</v>
      </c>
      <c r="E669" s="8" t="s">
        <v>37</v>
      </c>
      <c r="F669" s="8" t="s">
        <v>60</v>
      </c>
      <c r="G669" s="9">
        <v>8549782</v>
      </c>
      <c r="H669" s="10">
        <v>7957200</v>
      </c>
      <c r="I669" s="11">
        <v>45819</v>
      </c>
      <c r="J669" s="12">
        <v>208285</v>
      </c>
      <c r="K669" s="13" t="s">
        <v>452</v>
      </c>
      <c r="L669" s="14" t="s">
        <v>50</v>
      </c>
      <c r="M669" s="11" t="s">
        <v>15</v>
      </c>
      <c r="N669" s="14" t="s">
        <v>62</v>
      </c>
      <c r="O669" s="15">
        <v>2768</v>
      </c>
      <c r="P669" s="12">
        <v>1</v>
      </c>
      <c r="Q669" s="13" t="s">
        <v>102</v>
      </c>
      <c r="R669" s="16">
        <v>24190800</v>
      </c>
      <c r="S669" s="17">
        <v>22398889</v>
      </c>
      <c r="T669" s="12">
        <v>5</v>
      </c>
      <c r="U669" s="18">
        <v>1178889</v>
      </c>
      <c r="V669" s="19">
        <v>1273200</v>
      </c>
      <c r="W669" s="13" t="s">
        <v>2183</v>
      </c>
      <c r="X669" s="14" t="s">
        <v>2250</v>
      </c>
      <c r="Y669" s="13" t="s">
        <v>726</v>
      </c>
      <c r="Z669" s="14" t="s">
        <v>2251</v>
      </c>
      <c r="AA669" s="17">
        <v>13</v>
      </c>
      <c r="AB669" s="14" t="s">
        <v>376</v>
      </c>
      <c r="AC669" s="17">
        <v>25464000</v>
      </c>
      <c r="AD669" s="14" t="s">
        <v>108</v>
      </c>
      <c r="AE669" s="17">
        <v>23577778</v>
      </c>
      <c r="AF669" s="14" t="s">
        <v>109</v>
      </c>
      <c r="AG669" s="21" t="s">
        <v>727</v>
      </c>
      <c r="AH669" s="10">
        <v>13849107</v>
      </c>
      <c r="AI669" s="24" t="str">
        <f>VLOOKUP(Sales[[#This Row],[Store]],'Store lay bao  cao'!A:B,2,0)</f>
        <v>Lấy BC</v>
      </c>
      <c r="AJ669" s="24" t="str">
        <f>VLOOKUP(Sales[[#This Row],[Associate]],'Associate Status'!B:C,2,0)</f>
        <v>Active</v>
      </c>
    </row>
    <row r="670" spans="1:36" x14ac:dyDescent="0.25">
      <c r="A670" s="7">
        <v>2025</v>
      </c>
      <c r="B670" s="8">
        <v>6</v>
      </c>
      <c r="C670" s="8">
        <v>24</v>
      </c>
      <c r="D670" s="8" t="s">
        <v>60</v>
      </c>
      <c r="E670" s="8" t="s">
        <v>37</v>
      </c>
      <c r="F670" s="8" t="s">
        <v>60</v>
      </c>
      <c r="G670" s="9">
        <v>12125218</v>
      </c>
      <c r="H670" s="10">
        <v>11286000</v>
      </c>
      <c r="I670" s="11">
        <v>45819</v>
      </c>
      <c r="J670" s="12">
        <v>208283</v>
      </c>
      <c r="K670" s="13" t="s">
        <v>452</v>
      </c>
      <c r="L670" s="14" t="s">
        <v>50</v>
      </c>
      <c r="M670" s="11" t="s">
        <v>15</v>
      </c>
      <c r="N670" s="14" t="s">
        <v>62</v>
      </c>
      <c r="O670" s="15">
        <v>2768</v>
      </c>
      <c r="P670" s="12">
        <v>1</v>
      </c>
      <c r="Q670" s="13" t="s">
        <v>102</v>
      </c>
      <c r="R670" s="16">
        <v>34310200</v>
      </c>
      <c r="S670" s="17">
        <v>31768704</v>
      </c>
      <c r="T670" s="12">
        <v>5</v>
      </c>
      <c r="U670" s="18">
        <v>1672037</v>
      </c>
      <c r="V670" s="19">
        <v>1805800</v>
      </c>
      <c r="W670" s="13" t="s">
        <v>2183</v>
      </c>
      <c r="X670" s="14" t="s">
        <v>2252</v>
      </c>
      <c r="Y670" s="13" t="s">
        <v>726</v>
      </c>
      <c r="Z670" s="14" t="s">
        <v>2253</v>
      </c>
      <c r="AA670" s="17">
        <v>13</v>
      </c>
      <c r="AB670" s="14" t="s">
        <v>376</v>
      </c>
      <c r="AC670" s="17">
        <v>36116000</v>
      </c>
      <c r="AD670" s="14" t="s">
        <v>108</v>
      </c>
      <c r="AE670" s="17">
        <v>33440741</v>
      </c>
      <c r="AF670" s="14" t="s">
        <v>136</v>
      </c>
      <c r="AG670" s="20" t="s">
        <v>727</v>
      </c>
      <c r="AH670" s="10">
        <v>19643486</v>
      </c>
      <c r="AI670" s="24" t="str">
        <f>VLOOKUP(Sales[[#This Row],[Store]],'Store lay bao  cao'!A:B,2,0)</f>
        <v>Lấy BC</v>
      </c>
      <c r="AJ670" s="24" t="str">
        <f>VLOOKUP(Sales[[#This Row],[Associate]],'Associate Status'!B:C,2,0)</f>
        <v>Active</v>
      </c>
    </row>
    <row r="671" spans="1:36" x14ac:dyDescent="0.25">
      <c r="A671" s="7">
        <v>2025</v>
      </c>
      <c r="B671" s="8">
        <v>6</v>
      </c>
      <c r="C671" s="8">
        <v>24</v>
      </c>
      <c r="D671" s="8" t="s">
        <v>60</v>
      </c>
      <c r="E671" s="8" t="s">
        <v>34</v>
      </c>
      <c r="F671" s="8" t="s">
        <v>60</v>
      </c>
      <c r="G671" s="9">
        <v>81915648</v>
      </c>
      <c r="H671" s="10">
        <v>74587500</v>
      </c>
      <c r="I671" s="11">
        <v>45821</v>
      </c>
      <c r="J671" s="12">
        <v>203157</v>
      </c>
      <c r="K671" s="13" t="s">
        <v>449</v>
      </c>
      <c r="L671" s="14" t="s">
        <v>44</v>
      </c>
      <c r="M671" s="11" t="s">
        <v>15</v>
      </c>
      <c r="N671" s="14" t="s">
        <v>62</v>
      </c>
      <c r="O671" s="15">
        <v>2776</v>
      </c>
      <c r="P671" s="12">
        <v>1</v>
      </c>
      <c r="Q671" s="13" t="s">
        <v>102</v>
      </c>
      <c r="R671" s="16">
        <v>205201900</v>
      </c>
      <c r="S671" s="17">
        <v>190001759</v>
      </c>
      <c r="T671" s="12">
        <v>5</v>
      </c>
      <c r="U671" s="18">
        <v>10000093</v>
      </c>
      <c r="V671" s="19">
        <v>10800100</v>
      </c>
      <c r="W671" s="13" t="s">
        <v>1563</v>
      </c>
      <c r="X671" s="14" t="s">
        <v>2255</v>
      </c>
      <c r="Y671" s="13" t="s">
        <v>984</v>
      </c>
      <c r="Z671" s="14" t="s">
        <v>2256</v>
      </c>
      <c r="AA671" s="17">
        <v>10</v>
      </c>
      <c r="AB671" s="14" t="s">
        <v>2257</v>
      </c>
      <c r="AC671" s="17">
        <v>216002000</v>
      </c>
      <c r="AD671" s="14" t="s">
        <v>108</v>
      </c>
      <c r="AE671" s="17">
        <v>200001852</v>
      </c>
      <c r="AF671" s="14" t="s">
        <v>1970</v>
      </c>
      <c r="AG671" s="21" t="s">
        <v>985</v>
      </c>
      <c r="AH671" s="10">
        <v>108086111</v>
      </c>
      <c r="AI671" s="24" t="str">
        <f>VLOOKUP(Sales[[#This Row],[Store]],'Store lay bao  cao'!A:B,2,0)</f>
        <v>Lấy BC</v>
      </c>
      <c r="AJ671" s="24" t="str">
        <f>VLOOKUP(Sales[[#This Row],[Associate]],'Associate Status'!B:C,2,0)</f>
        <v>Active</v>
      </c>
    </row>
    <row r="672" spans="1:36" x14ac:dyDescent="0.25">
      <c r="A672" s="7">
        <v>2025</v>
      </c>
      <c r="B672" s="8">
        <v>6</v>
      </c>
      <c r="C672" s="8">
        <v>24</v>
      </c>
      <c r="D672" s="8" t="s">
        <v>69</v>
      </c>
      <c r="E672" s="8" t="s">
        <v>37</v>
      </c>
      <c r="F672" s="8" t="s">
        <v>69</v>
      </c>
      <c r="G672" s="9">
        <v>83032875</v>
      </c>
      <c r="H672" s="10">
        <v>82863000</v>
      </c>
      <c r="I672" s="11">
        <v>45821</v>
      </c>
      <c r="J672" s="12">
        <v>217464</v>
      </c>
      <c r="K672" s="13" t="s">
        <v>449</v>
      </c>
      <c r="L672" s="14" t="s">
        <v>55</v>
      </c>
      <c r="M672" s="11" t="s">
        <v>15</v>
      </c>
      <c r="N672" s="14" t="s">
        <v>62</v>
      </c>
      <c r="O672" s="15">
        <v>2776</v>
      </c>
      <c r="P672" s="12">
        <v>1</v>
      </c>
      <c r="Q672" s="13" t="s">
        <v>102</v>
      </c>
      <c r="R672" s="16">
        <v>204671800</v>
      </c>
      <c r="S672" s="17">
        <v>189510926</v>
      </c>
      <c r="T672" s="12">
        <v>5</v>
      </c>
      <c r="U672" s="18">
        <v>9974259</v>
      </c>
      <c r="V672" s="19">
        <v>10772200</v>
      </c>
      <c r="W672" s="13" t="s">
        <v>1563</v>
      </c>
      <c r="X672" s="14" t="s">
        <v>2258</v>
      </c>
      <c r="Y672" s="13" t="s">
        <v>984</v>
      </c>
      <c r="Z672" s="14" t="s">
        <v>2259</v>
      </c>
      <c r="AA672" s="17">
        <v>10</v>
      </c>
      <c r="AB672" s="14" t="s">
        <v>2260</v>
      </c>
      <c r="AC672" s="17">
        <v>215444000</v>
      </c>
      <c r="AD672" s="14" t="s">
        <v>108</v>
      </c>
      <c r="AE672" s="17">
        <v>199485185</v>
      </c>
      <c r="AF672" s="14" t="s">
        <v>1970</v>
      </c>
      <c r="AG672" s="20" t="s">
        <v>985</v>
      </c>
      <c r="AH672" s="10">
        <v>106478051</v>
      </c>
      <c r="AI672" s="24" t="str">
        <f>VLOOKUP(Sales[[#This Row],[Store]],'Store lay bao  cao'!A:B,2,0)</f>
        <v>Lấy BC</v>
      </c>
      <c r="AJ672" s="24" t="str">
        <f>VLOOKUP(Sales[[#This Row],[Associate]],'Associate Status'!B:C,2,0)</f>
        <v>Active</v>
      </c>
    </row>
    <row r="673" spans="1:36" x14ac:dyDescent="0.25">
      <c r="A673" s="7">
        <v>2025</v>
      </c>
      <c r="B673" s="8">
        <v>6</v>
      </c>
      <c r="C673" s="8">
        <v>24</v>
      </c>
      <c r="D673" s="8" t="s">
        <v>52</v>
      </c>
      <c r="E673" s="8" t="s">
        <v>43</v>
      </c>
      <c r="F673" s="8" t="s">
        <v>52</v>
      </c>
      <c r="G673" s="9">
        <v>15034976</v>
      </c>
      <c r="H673" s="10">
        <v>14796540</v>
      </c>
      <c r="I673" s="11">
        <v>45822</v>
      </c>
      <c r="J673" s="12">
        <v>181395</v>
      </c>
      <c r="K673" s="13" t="s">
        <v>455</v>
      </c>
      <c r="L673" s="14" t="s">
        <v>58</v>
      </c>
      <c r="M673" s="11" t="s">
        <v>15</v>
      </c>
      <c r="N673" s="14" t="s">
        <v>62</v>
      </c>
      <c r="O673" s="15">
        <v>2785</v>
      </c>
      <c r="P673" s="12">
        <v>1</v>
      </c>
      <c r="Q673" s="13" t="s">
        <v>2098</v>
      </c>
      <c r="R673" s="16">
        <v>68259400</v>
      </c>
      <c r="S673" s="17">
        <v>63203148</v>
      </c>
      <c r="T673" s="12">
        <v>5</v>
      </c>
      <c r="U673" s="18">
        <v>3326481</v>
      </c>
      <c r="V673" s="19">
        <v>3592600</v>
      </c>
      <c r="W673" s="13" t="s">
        <v>2171</v>
      </c>
      <c r="X673" s="14" t="s">
        <v>2261</v>
      </c>
      <c r="Y673" s="13" t="s">
        <v>2128</v>
      </c>
      <c r="Z673" s="14" t="s">
        <v>2262</v>
      </c>
      <c r="AA673" s="17">
        <v>10</v>
      </c>
      <c r="AB673" s="14" t="s">
        <v>2263</v>
      </c>
      <c r="AC673" s="17">
        <v>71852000</v>
      </c>
      <c r="AD673" s="14" t="s">
        <v>108</v>
      </c>
      <c r="AE673" s="17">
        <v>66529630</v>
      </c>
      <c r="AF673" s="14" t="s">
        <v>106</v>
      </c>
      <c r="AG673" s="21" t="s">
        <v>279</v>
      </c>
      <c r="AH673" s="10">
        <v>48168172</v>
      </c>
      <c r="AI673" s="24" t="str">
        <f>VLOOKUP(Sales[[#This Row],[Store]],'Store lay bao  cao'!A:B,2,0)</f>
        <v>Lấy BC</v>
      </c>
      <c r="AJ673" s="24" t="str">
        <f>VLOOKUP(Sales[[#This Row],[Associate]],'Associate Status'!B:C,2,0)</f>
        <v>Active</v>
      </c>
    </row>
    <row r="674" spans="1:36" x14ac:dyDescent="0.25">
      <c r="A674" s="7">
        <v>2025</v>
      </c>
      <c r="B674" s="8">
        <v>6</v>
      </c>
      <c r="C674" s="8">
        <v>24</v>
      </c>
      <c r="D674" s="8" t="s">
        <v>69</v>
      </c>
      <c r="E674" s="8" t="s">
        <v>34</v>
      </c>
      <c r="F674" s="8" t="s">
        <v>69</v>
      </c>
      <c r="G674" s="9">
        <v>62227309</v>
      </c>
      <c r="H674" s="10">
        <v>62100000</v>
      </c>
      <c r="I674" s="11">
        <v>45823</v>
      </c>
      <c r="J674" s="12">
        <v>217456</v>
      </c>
      <c r="K674" s="13" t="s">
        <v>456</v>
      </c>
      <c r="L674" s="14" t="s">
        <v>55</v>
      </c>
      <c r="M674" s="11" t="s">
        <v>15</v>
      </c>
      <c r="N674" s="14" t="s">
        <v>62</v>
      </c>
      <c r="O674" s="15">
        <v>2798</v>
      </c>
      <c r="P674" s="12">
        <v>1</v>
      </c>
      <c r="Q674" s="13" t="s">
        <v>2088</v>
      </c>
      <c r="R674" s="16">
        <v>153387000</v>
      </c>
      <c r="S674" s="17">
        <v>142025000</v>
      </c>
      <c r="T674" s="12">
        <v>5</v>
      </c>
      <c r="U674" s="18">
        <v>7475000</v>
      </c>
      <c r="V674" s="19">
        <v>8073000</v>
      </c>
      <c r="W674" s="13" t="s">
        <v>1359</v>
      </c>
      <c r="X674" s="14" t="s">
        <v>2264</v>
      </c>
      <c r="Y674" s="13" t="s">
        <v>2104</v>
      </c>
      <c r="Z674" s="14" t="s">
        <v>2265</v>
      </c>
      <c r="AA674" s="17">
        <v>17</v>
      </c>
      <c r="AB674" s="14" t="s">
        <v>2266</v>
      </c>
      <c r="AC674" s="17">
        <v>161460000</v>
      </c>
      <c r="AD674" s="14" t="s">
        <v>108</v>
      </c>
      <c r="AE674" s="17">
        <v>149500000</v>
      </c>
      <c r="AF674" s="14" t="s">
        <v>2082</v>
      </c>
      <c r="AG674" s="20" t="s">
        <v>751</v>
      </c>
      <c r="AH674" s="10">
        <v>79797691</v>
      </c>
      <c r="AI674" s="24" t="str">
        <f>VLOOKUP(Sales[[#This Row],[Store]],'Store lay bao  cao'!A:B,2,0)</f>
        <v>Lấy BC</v>
      </c>
      <c r="AJ674" s="24" t="str">
        <f>VLOOKUP(Sales[[#This Row],[Associate]],'Associate Status'!B:C,2,0)</f>
        <v>Active</v>
      </c>
    </row>
    <row r="675" spans="1:36" x14ac:dyDescent="0.25">
      <c r="A675" s="7">
        <v>2025</v>
      </c>
      <c r="B675" s="8">
        <v>6</v>
      </c>
      <c r="C675" s="8">
        <v>25</v>
      </c>
      <c r="D675" s="8" t="s">
        <v>57</v>
      </c>
      <c r="E675" s="8" t="s">
        <v>37</v>
      </c>
      <c r="F675" s="8" t="s">
        <v>57</v>
      </c>
      <c r="G675" s="9">
        <v>30939202</v>
      </c>
      <c r="H675" s="10">
        <v>28388250</v>
      </c>
      <c r="I675" s="11">
        <v>45825</v>
      </c>
      <c r="J675" s="12">
        <v>193274</v>
      </c>
      <c r="K675" s="13" t="s">
        <v>533</v>
      </c>
      <c r="L675" s="14" t="s">
        <v>58</v>
      </c>
      <c r="M675" s="11" t="s">
        <v>17</v>
      </c>
      <c r="N675" s="14" t="s">
        <v>62</v>
      </c>
      <c r="O675" s="15">
        <v>1829</v>
      </c>
      <c r="P675" s="12">
        <v>1</v>
      </c>
      <c r="Q675" s="13" t="s">
        <v>2088</v>
      </c>
      <c r="R675" s="16">
        <v>107493450</v>
      </c>
      <c r="S675" s="17">
        <v>99530972</v>
      </c>
      <c r="T675" s="12">
        <v>5</v>
      </c>
      <c r="U675" s="18">
        <v>5238472</v>
      </c>
      <c r="V675" s="19">
        <v>5657550</v>
      </c>
      <c r="W675" s="13" t="s">
        <v>635</v>
      </c>
      <c r="X675" s="14" t="s">
        <v>2267</v>
      </c>
      <c r="Y675" s="13" t="s">
        <v>2268</v>
      </c>
      <c r="Z675" s="14" t="s">
        <v>2269</v>
      </c>
      <c r="AA675" s="17">
        <v>11</v>
      </c>
      <c r="AB675" s="14" t="s">
        <v>1337</v>
      </c>
      <c r="AC675" s="17">
        <v>113151000</v>
      </c>
      <c r="AD675" s="14" t="s">
        <v>2270</v>
      </c>
      <c r="AE675" s="17">
        <v>104769444</v>
      </c>
      <c r="AF675" s="14" t="s">
        <v>121</v>
      </c>
      <c r="AG675" s="21" t="s">
        <v>2271</v>
      </c>
      <c r="AH675" s="10">
        <v>68591770</v>
      </c>
      <c r="AI675" s="24" t="str">
        <f>VLOOKUP(Sales[[#This Row],[Store]],'Store lay bao  cao'!A:B,2,0)</f>
        <v>Lấy BC</v>
      </c>
      <c r="AJ675" s="24" t="str">
        <f>VLOOKUP(Sales[[#This Row],[Associate]],'Associate Status'!B:C,2,0)</f>
        <v>Active</v>
      </c>
    </row>
    <row r="676" spans="1:36" x14ac:dyDescent="0.25">
      <c r="A676" s="7">
        <v>2025</v>
      </c>
      <c r="B676" s="8">
        <v>6</v>
      </c>
      <c r="C676" s="8">
        <v>25</v>
      </c>
      <c r="D676" s="8" t="s">
        <v>69</v>
      </c>
      <c r="E676" s="8" t="s">
        <v>34</v>
      </c>
      <c r="F676" s="8" t="s">
        <v>69</v>
      </c>
      <c r="G676" s="9">
        <v>102205557</v>
      </c>
      <c r="H676" s="10">
        <v>97929000</v>
      </c>
      <c r="I676" s="11">
        <v>45825</v>
      </c>
      <c r="J676" s="12">
        <v>217301</v>
      </c>
      <c r="K676" s="13" t="s">
        <v>533</v>
      </c>
      <c r="L676" s="14" t="s">
        <v>65</v>
      </c>
      <c r="M676" s="11" t="s">
        <v>17</v>
      </c>
      <c r="N676" s="14" t="s">
        <v>62</v>
      </c>
      <c r="O676" s="15">
        <v>1829</v>
      </c>
      <c r="P676" s="12">
        <v>1</v>
      </c>
      <c r="Q676" s="13" t="s">
        <v>2088</v>
      </c>
      <c r="R676" s="16">
        <v>283456250</v>
      </c>
      <c r="S676" s="17">
        <v>262459491</v>
      </c>
      <c r="T676" s="12">
        <v>5</v>
      </c>
      <c r="U676" s="18">
        <v>13813657</v>
      </c>
      <c r="V676" s="19">
        <v>14918750</v>
      </c>
      <c r="W676" s="13" t="s">
        <v>635</v>
      </c>
      <c r="X676" s="14" t="s">
        <v>2205</v>
      </c>
      <c r="Y676" s="13" t="s">
        <v>2268</v>
      </c>
      <c r="Z676" s="14" t="s">
        <v>2272</v>
      </c>
      <c r="AA676" s="17">
        <v>11</v>
      </c>
      <c r="AB676" s="14" t="s">
        <v>173</v>
      </c>
      <c r="AC676" s="17">
        <v>298375000</v>
      </c>
      <c r="AD676" s="14"/>
      <c r="AE676" s="17">
        <v>276273148</v>
      </c>
      <c r="AF676" s="14" t="s">
        <v>121</v>
      </c>
      <c r="AG676" s="20" t="s">
        <v>2271</v>
      </c>
      <c r="AH676" s="10">
        <v>160253934</v>
      </c>
      <c r="AI676" s="24" t="str">
        <f>VLOOKUP(Sales[[#This Row],[Store]],'Store lay bao  cao'!A:B,2,0)</f>
        <v>Lấy BC</v>
      </c>
      <c r="AJ676" s="24" t="str">
        <f>VLOOKUP(Sales[[#This Row],[Associate]],'Associate Status'!B:C,2,0)</f>
        <v>Active</v>
      </c>
    </row>
    <row r="677" spans="1:36" x14ac:dyDescent="0.25">
      <c r="A677" s="7">
        <v>2025</v>
      </c>
      <c r="B677" s="8">
        <v>6</v>
      </c>
      <c r="C677" s="8">
        <v>25</v>
      </c>
      <c r="D677" s="8" t="s">
        <v>66</v>
      </c>
      <c r="E677" s="8" t="s">
        <v>37</v>
      </c>
      <c r="F677" s="8" t="s">
        <v>66</v>
      </c>
      <c r="G677" s="9">
        <v>91670043</v>
      </c>
      <c r="H677" s="10">
        <v>87216750</v>
      </c>
      <c r="I677" s="11">
        <v>45825</v>
      </c>
      <c r="J677" s="12">
        <v>211119</v>
      </c>
      <c r="K677" s="13" t="s">
        <v>533</v>
      </c>
      <c r="L677" s="14" t="s">
        <v>65</v>
      </c>
      <c r="M677" s="11" t="s">
        <v>17</v>
      </c>
      <c r="N677" s="14" t="s">
        <v>62</v>
      </c>
      <c r="O677" s="15">
        <v>1829</v>
      </c>
      <c r="P677" s="12">
        <v>1</v>
      </c>
      <c r="Q677" s="13" t="s">
        <v>2088</v>
      </c>
      <c r="R677" s="16">
        <v>257151700</v>
      </c>
      <c r="S677" s="17">
        <v>238103426</v>
      </c>
      <c r="T677" s="12">
        <v>5</v>
      </c>
      <c r="U677" s="18">
        <v>12531759</v>
      </c>
      <c r="V677" s="19">
        <v>13534300</v>
      </c>
      <c r="W677" s="13" t="s">
        <v>635</v>
      </c>
      <c r="X677" s="14" t="s">
        <v>2273</v>
      </c>
      <c r="Y677" s="13" t="s">
        <v>2268</v>
      </c>
      <c r="Z677" s="14" t="s">
        <v>2274</v>
      </c>
      <c r="AA677" s="17">
        <v>11</v>
      </c>
      <c r="AB677" s="14" t="s">
        <v>2275</v>
      </c>
      <c r="AC677" s="17">
        <v>270686000</v>
      </c>
      <c r="AD677" s="14" t="s">
        <v>2097</v>
      </c>
      <c r="AE677" s="17">
        <v>250635185</v>
      </c>
      <c r="AF677" s="14" t="s">
        <v>121</v>
      </c>
      <c r="AG677" s="21" t="s">
        <v>2271</v>
      </c>
      <c r="AH677" s="10">
        <v>146433383</v>
      </c>
      <c r="AI677" s="24" t="str">
        <f>VLOOKUP(Sales[[#This Row],[Store]],'Store lay bao  cao'!A:B,2,0)</f>
        <v>Lấy BC</v>
      </c>
      <c r="AJ677" s="24" t="str">
        <f>VLOOKUP(Sales[[#This Row],[Associate]],'Associate Status'!B:C,2,0)</f>
        <v>Active</v>
      </c>
    </row>
    <row r="678" spans="1:36" x14ac:dyDescent="0.25">
      <c r="A678" s="7">
        <v>2025</v>
      </c>
      <c r="B678" s="8">
        <v>6</v>
      </c>
      <c r="C678" s="8">
        <v>25</v>
      </c>
      <c r="D678" s="8" t="s">
        <v>66</v>
      </c>
      <c r="E678" s="8" t="s">
        <v>43</v>
      </c>
      <c r="F678" s="8" t="s">
        <v>66</v>
      </c>
      <c r="G678" s="9">
        <v>60276192</v>
      </c>
      <c r="H678" s="10">
        <v>57348000</v>
      </c>
      <c r="I678" s="11">
        <v>45825</v>
      </c>
      <c r="J678" s="12">
        <v>211116</v>
      </c>
      <c r="K678" s="13" t="s">
        <v>533</v>
      </c>
      <c r="L678" s="14" t="s">
        <v>65</v>
      </c>
      <c r="M678" s="11" t="s">
        <v>17</v>
      </c>
      <c r="N678" s="14" t="s">
        <v>62</v>
      </c>
      <c r="O678" s="15">
        <v>1829</v>
      </c>
      <c r="P678" s="12">
        <v>1</v>
      </c>
      <c r="Q678" s="13" t="s">
        <v>2088</v>
      </c>
      <c r="R678" s="16">
        <v>167935300</v>
      </c>
      <c r="S678" s="17">
        <v>155495648</v>
      </c>
      <c r="T678" s="12">
        <v>5</v>
      </c>
      <c r="U678" s="18">
        <v>8183981</v>
      </c>
      <c r="V678" s="19">
        <v>8838700</v>
      </c>
      <c r="W678" s="13" t="s">
        <v>635</v>
      </c>
      <c r="X678" s="14" t="s">
        <v>2276</v>
      </c>
      <c r="Y678" s="13" t="s">
        <v>2268</v>
      </c>
      <c r="Z678" s="14" t="s">
        <v>2277</v>
      </c>
      <c r="AA678" s="17">
        <v>11</v>
      </c>
      <c r="AB678" s="14" t="s">
        <v>2275</v>
      </c>
      <c r="AC678" s="17">
        <v>176774000</v>
      </c>
      <c r="AD678" s="14" t="s">
        <v>2141</v>
      </c>
      <c r="AE678" s="17">
        <v>163679630</v>
      </c>
      <c r="AF678" s="14" t="s">
        <v>121</v>
      </c>
      <c r="AG678" s="20" t="s">
        <v>2271</v>
      </c>
      <c r="AH678" s="10">
        <v>95219456</v>
      </c>
      <c r="AI678" s="24" t="str">
        <f>VLOOKUP(Sales[[#This Row],[Store]],'Store lay bao  cao'!A:B,2,0)</f>
        <v>Lấy BC</v>
      </c>
      <c r="AJ678" s="24" t="str">
        <f>VLOOKUP(Sales[[#This Row],[Associate]],'Associate Status'!B:C,2,0)</f>
        <v>Active</v>
      </c>
    </row>
    <row r="679" spans="1:36" x14ac:dyDescent="0.25">
      <c r="A679" s="7">
        <v>2025</v>
      </c>
      <c r="B679" s="8">
        <v>6</v>
      </c>
      <c r="C679" s="8">
        <v>25</v>
      </c>
      <c r="D679" s="8" t="s">
        <v>66</v>
      </c>
      <c r="E679" s="8" t="s">
        <v>53</v>
      </c>
      <c r="F679" s="8" t="s">
        <v>66</v>
      </c>
      <c r="G679" s="9">
        <v>97397754</v>
      </c>
      <c r="H679" s="10">
        <v>93190500</v>
      </c>
      <c r="I679" s="11">
        <v>45825</v>
      </c>
      <c r="J679" s="12">
        <v>210751</v>
      </c>
      <c r="K679" s="13" t="s">
        <v>533</v>
      </c>
      <c r="L679" s="14" t="s">
        <v>65</v>
      </c>
      <c r="M679" s="11" t="s">
        <v>17</v>
      </c>
      <c r="N679" s="14" t="s">
        <v>62</v>
      </c>
      <c r="O679" s="15">
        <v>1829</v>
      </c>
      <c r="P679" s="12">
        <v>1</v>
      </c>
      <c r="Q679" s="13" t="s">
        <v>2088</v>
      </c>
      <c r="R679" s="16">
        <v>307752500</v>
      </c>
      <c r="S679" s="17">
        <v>284956019</v>
      </c>
      <c r="T679" s="12">
        <v>5</v>
      </c>
      <c r="U679" s="18">
        <v>14997685</v>
      </c>
      <c r="V679" s="19">
        <v>16197500</v>
      </c>
      <c r="W679" s="13" t="s">
        <v>635</v>
      </c>
      <c r="X679" s="14" t="s">
        <v>2232</v>
      </c>
      <c r="Y679" s="13" t="s">
        <v>2268</v>
      </c>
      <c r="Z679" s="14" t="s">
        <v>1624</v>
      </c>
      <c r="AA679" s="17">
        <v>11</v>
      </c>
      <c r="AB679" s="14" t="s">
        <v>2233</v>
      </c>
      <c r="AC679" s="17">
        <v>323950000</v>
      </c>
      <c r="AD679" s="14"/>
      <c r="AE679" s="17">
        <v>299953704</v>
      </c>
      <c r="AF679" s="14" t="s">
        <v>121</v>
      </c>
      <c r="AG679" s="21" t="s">
        <v>2271</v>
      </c>
      <c r="AH679" s="10">
        <v>187558265</v>
      </c>
      <c r="AI679" s="24" t="str">
        <f>VLOOKUP(Sales[[#This Row],[Store]],'Store lay bao  cao'!A:B,2,0)</f>
        <v>Lấy BC</v>
      </c>
      <c r="AJ679" s="24" t="str">
        <f>VLOOKUP(Sales[[#This Row],[Associate]],'Associate Status'!B:C,2,0)</f>
        <v>Active</v>
      </c>
    </row>
    <row r="680" spans="1:36" x14ac:dyDescent="0.25">
      <c r="A680" s="7">
        <v>2025</v>
      </c>
      <c r="B680" s="8">
        <v>6</v>
      </c>
      <c r="C680" s="8">
        <v>25</v>
      </c>
      <c r="D680" s="8" t="s">
        <v>60</v>
      </c>
      <c r="E680" s="8" t="s">
        <v>34</v>
      </c>
      <c r="F680" s="8" t="s">
        <v>60</v>
      </c>
      <c r="G680" s="9">
        <v>15304293</v>
      </c>
      <c r="H680" s="10">
        <v>16195410</v>
      </c>
      <c r="I680" s="11">
        <v>45825</v>
      </c>
      <c r="J680" s="12">
        <v>206907</v>
      </c>
      <c r="K680" s="13" t="s">
        <v>533</v>
      </c>
      <c r="L680" s="14" t="s">
        <v>58</v>
      </c>
      <c r="M680" s="11" t="s">
        <v>17</v>
      </c>
      <c r="N680" s="14" t="s">
        <v>62</v>
      </c>
      <c r="O680" s="15">
        <v>1829</v>
      </c>
      <c r="P680" s="12">
        <v>1</v>
      </c>
      <c r="Q680" s="13" t="s">
        <v>2088</v>
      </c>
      <c r="R680" s="16">
        <v>49824650</v>
      </c>
      <c r="S680" s="17">
        <v>46133935</v>
      </c>
      <c r="T680" s="12">
        <v>5</v>
      </c>
      <c r="U680" s="18">
        <v>2428102</v>
      </c>
      <c r="V680" s="19">
        <v>2622350</v>
      </c>
      <c r="W680" s="13" t="s">
        <v>635</v>
      </c>
      <c r="X680" s="14" t="s">
        <v>2278</v>
      </c>
      <c r="Y680" s="13" t="s">
        <v>2268</v>
      </c>
      <c r="Z680" s="14" t="s">
        <v>2279</v>
      </c>
      <c r="AA680" s="17">
        <v>11</v>
      </c>
      <c r="AB680" s="14" t="s">
        <v>1498</v>
      </c>
      <c r="AC680" s="17">
        <v>52447000</v>
      </c>
      <c r="AD680" s="14" t="s">
        <v>2218</v>
      </c>
      <c r="AE680" s="17">
        <v>48562037</v>
      </c>
      <c r="AF680" s="14" t="s">
        <v>121</v>
      </c>
      <c r="AG680" s="20" t="s">
        <v>2271</v>
      </c>
      <c r="AH680" s="10">
        <v>30829642</v>
      </c>
      <c r="AI680" s="24" t="str">
        <f>VLOOKUP(Sales[[#This Row],[Store]],'Store lay bao  cao'!A:B,2,0)</f>
        <v>Lấy BC</v>
      </c>
      <c r="AJ680" s="24" t="str">
        <f>VLOOKUP(Sales[[#This Row],[Associate]],'Associate Status'!B:C,2,0)</f>
        <v>Active</v>
      </c>
    </row>
    <row r="681" spans="1:36" x14ac:dyDescent="0.25">
      <c r="A681" s="7">
        <v>2025</v>
      </c>
      <c r="B681" s="8">
        <v>6</v>
      </c>
      <c r="C681" s="8">
        <v>25</v>
      </c>
      <c r="D681" s="8" t="s">
        <v>60</v>
      </c>
      <c r="E681" s="8" t="s">
        <v>43</v>
      </c>
      <c r="F681" s="8" t="s">
        <v>60</v>
      </c>
      <c r="G681" s="9">
        <v>64084358</v>
      </c>
      <c r="H681" s="10">
        <v>62046875</v>
      </c>
      <c r="I681" s="11">
        <v>45825</v>
      </c>
      <c r="J681" s="12">
        <v>205105</v>
      </c>
      <c r="K681" s="13" t="s">
        <v>533</v>
      </c>
      <c r="L681" s="14" t="s">
        <v>64</v>
      </c>
      <c r="M681" s="11" t="s">
        <v>17</v>
      </c>
      <c r="N681" s="14" t="s">
        <v>62</v>
      </c>
      <c r="O681" s="15">
        <v>1829</v>
      </c>
      <c r="P681" s="12">
        <v>1</v>
      </c>
      <c r="Q681" s="13" t="s">
        <v>2088</v>
      </c>
      <c r="R681" s="16">
        <v>147833300</v>
      </c>
      <c r="S681" s="17">
        <v>136882685</v>
      </c>
      <c r="T681" s="12">
        <v>5</v>
      </c>
      <c r="U681" s="18">
        <v>7204352</v>
      </c>
      <c r="V681" s="19">
        <v>7780700</v>
      </c>
      <c r="W681" s="13" t="s">
        <v>635</v>
      </c>
      <c r="X681" s="14" t="s">
        <v>2280</v>
      </c>
      <c r="Y681" s="13" t="s">
        <v>2268</v>
      </c>
      <c r="Z681" s="14" t="s">
        <v>2144</v>
      </c>
      <c r="AA681" s="17">
        <v>11</v>
      </c>
      <c r="AB681" s="14" t="s">
        <v>2145</v>
      </c>
      <c r="AC681" s="17">
        <v>155614000</v>
      </c>
      <c r="AD681" s="14" t="s">
        <v>2230</v>
      </c>
      <c r="AE681" s="17">
        <v>144087037</v>
      </c>
      <c r="AF681" s="14" t="s">
        <v>121</v>
      </c>
      <c r="AG681" s="21" t="s">
        <v>2271</v>
      </c>
      <c r="AH681" s="10">
        <v>72798327</v>
      </c>
      <c r="AI681" s="24" t="str">
        <f>VLOOKUP(Sales[[#This Row],[Store]],'Store lay bao  cao'!A:B,2,0)</f>
        <v>Lấy BC</v>
      </c>
      <c r="AJ681" s="24" t="str">
        <f>VLOOKUP(Sales[[#This Row],[Associate]],'Associate Status'!B:C,2,0)</f>
        <v>Active</v>
      </c>
    </row>
    <row r="682" spans="1:36" x14ac:dyDescent="0.25">
      <c r="A682" s="7">
        <v>2025</v>
      </c>
      <c r="B682" s="8">
        <v>6</v>
      </c>
      <c r="C682" s="8">
        <v>25</v>
      </c>
      <c r="D682" s="8" t="s">
        <v>60</v>
      </c>
      <c r="E682" s="8" t="s">
        <v>37</v>
      </c>
      <c r="F682" s="8" t="s">
        <v>60</v>
      </c>
      <c r="G682" s="9">
        <v>14371105</v>
      </c>
      <c r="H682" s="10">
        <v>15207885</v>
      </c>
      <c r="I682" s="11">
        <v>45829</v>
      </c>
      <c r="J682" s="12">
        <v>206901</v>
      </c>
      <c r="K682" s="13" t="s">
        <v>454</v>
      </c>
      <c r="L682" s="14" t="s">
        <v>58</v>
      </c>
      <c r="M682" s="11" t="s">
        <v>15</v>
      </c>
      <c r="N682" s="14" t="s">
        <v>62</v>
      </c>
      <c r="O682" s="15">
        <v>2827</v>
      </c>
      <c r="P682" s="12">
        <v>1</v>
      </c>
      <c r="Q682" s="13" t="s">
        <v>102</v>
      </c>
      <c r="R682" s="16">
        <v>49249000</v>
      </c>
      <c r="S682" s="17">
        <v>45600926</v>
      </c>
      <c r="T682" s="12">
        <v>0</v>
      </c>
      <c r="U682" s="18">
        <v>0</v>
      </c>
      <c r="V682" s="19">
        <v>0</v>
      </c>
      <c r="W682" s="13" t="s">
        <v>636</v>
      </c>
      <c r="X682" s="14" t="s">
        <v>2283</v>
      </c>
      <c r="Y682" s="13" t="s">
        <v>994</v>
      </c>
      <c r="Z682" s="14" t="s">
        <v>2284</v>
      </c>
      <c r="AA682" s="17">
        <v>10</v>
      </c>
      <c r="AB682" s="14" t="s">
        <v>1498</v>
      </c>
      <c r="AC682" s="17">
        <v>49249000</v>
      </c>
      <c r="AD682" s="14" t="s">
        <v>2218</v>
      </c>
      <c r="AE682" s="17">
        <v>45600926</v>
      </c>
      <c r="AF682" s="14" t="s">
        <v>1970</v>
      </c>
      <c r="AG682" s="20"/>
      <c r="AH682" s="10">
        <v>31229821</v>
      </c>
      <c r="AI682" s="24" t="str">
        <f>VLOOKUP(Sales[[#This Row],[Store]],'Store lay bao  cao'!A:B,2,0)</f>
        <v>Lấy BC</v>
      </c>
      <c r="AJ682" s="24" t="str">
        <f>VLOOKUP(Sales[[#This Row],[Associate]],'Associate Status'!B:C,2,0)</f>
        <v>Active</v>
      </c>
    </row>
    <row r="683" spans="1:36" x14ac:dyDescent="0.25">
      <c r="A683" s="7">
        <v>2025</v>
      </c>
      <c r="B683" s="8">
        <v>6</v>
      </c>
      <c r="C683" s="8">
        <v>25</v>
      </c>
      <c r="D683" s="8" t="s">
        <v>66</v>
      </c>
      <c r="E683" s="8" t="s">
        <v>49</v>
      </c>
      <c r="F683" s="8" t="s">
        <v>66</v>
      </c>
      <c r="G683" s="9">
        <v>9167329</v>
      </c>
      <c r="H683" s="10">
        <v>8788050</v>
      </c>
      <c r="I683" s="11">
        <v>45829</v>
      </c>
      <c r="J683" s="12">
        <v>214613</v>
      </c>
      <c r="K683" s="13" t="s">
        <v>454</v>
      </c>
      <c r="L683" s="14" t="s">
        <v>58</v>
      </c>
      <c r="M683" s="11" t="s">
        <v>15</v>
      </c>
      <c r="N683" s="14" t="s">
        <v>62</v>
      </c>
      <c r="O683" s="15">
        <v>2827</v>
      </c>
      <c r="P683" s="12">
        <v>1</v>
      </c>
      <c r="Q683" s="13" t="s">
        <v>102</v>
      </c>
      <c r="R683" s="16">
        <v>29939000</v>
      </c>
      <c r="S683" s="17">
        <v>27721296</v>
      </c>
      <c r="T683" s="12">
        <v>0</v>
      </c>
      <c r="U683" s="18">
        <v>0</v>
      </c>
      <c r="V683" s="19">
        <v>0</v>
      </c>
      <c r="W683" s="13" t="s">
        <v>636</v>
      </c>
      <c r="X683" s="14" t="s">
        <v>2285</v>
      </c>
      <c r="Y683" s="13" t="s">
        <v>994</v>
      </c>
      <c r="Z683" s="14" t="s">
        <v>2286</v>
      </c>
      <c r="AA683" s="17">
        <v>10</v>
      </c>
      <c r="AB683" s="14" t="s">
        <v>1337</v>
      </c>
      <c r="AC683" s="17">
        <v>29939000</v>
      </c>
      <c r="AD683" s="14"/>
      <c r="AE683" s="17">
        <v>27721296</v>
      </c>
      <c r="AF683" s="14" t="s">
        <v>1970</v>
      </c>
      <c r="AG683" s="21"/>
      <c r="AH683" s="10">
        <v>18553967</v>
      </c>
      <c r="AI683" s="24" t="str">
        <f>VLOOKUP(Sales[[#This Row],[Store]],'Store lay bao  cao'!A:B,2,0)</f>
        <v>Lấy BC</v>
      </c>
      <c r="AJ683" s="24" t="str">
        <f>VLOOKUP(Sales[[#This Row],[Associate]],'Associate Status'!B:C,2,0)</f>
        <v>Active</v>
      </c>
    </row>
    <row r="684" spans="1:36" x14ac:dyDescent="0.25">
      <c r="A684" s="7">
        <v>2025</v>
      </c>
      <c r="B684" s="8">
        <v>6</v>
      </c>
      <c r="C684" s="8">
        <v>25</v>
      </c>
      <c r="D684" s="8" t="s">
        <v>66</v>
      </c>
      <c r="E684" s="8" t="s">
        <v>34</v>
      </c>
      <c r="F684" s="8" t="s">
        <v>66</v>
      </c>
      <c r="G684" s="9">
        <v>28942172</v>
      </c>
      <c r="H684" s="10">
        <v>27744750</v>
      </c>
      <c r="I684" s="11">
        <v>45829</v>
      </c>
      <c r="J684" s="12">
        <v>214599</v>
      </c>
      <c r="K684" s="13" t="s">
        <v>454</v>
      </c>
      <c r="L684" s="14" t="s">
        <v>58</v>
      </c>
      <c r="M684" s="11" t="s">
        <v>15</v>
      </c>
      <c r="N684" s="14" t="s">
        <v>62</v>
      </c>
      <c r="O684" s="15">
        <v>2827</v>
      </c>
      <c r="P684" s="12">
        <v>1</v>
      </c>
      <c r="Q684" s="13" t="s">
        <v>102</v>
      </c>
      <c r="R684" s="16">
        <v>94906000</v>
      </c>
      <c r="S684" s="17">
        <v>87875926</v>
      </c>
      <c r="T684" s="12">
        <v>0</v>
      </c>
      <c r="U684" s="18">
        <v>0</v>
      </c>
      <c r="V684" s="19">
        <v>0</v>
      </c>
      <c r="W684" s="13" t="s">
        <v>636</v>
      </c>
      <c r="X684" s="14" t="s">
        <v>2287</v>
      </c>
      <c r="Y684" s="13" t="s">
        <v>994</v>
      </c>
      <c r="Z684" s="14" t="s">
        <v>2288</v>
      </c>
      <c r="AA684" s="17">
        <v>10</v>
      </c>
      <c r="AB684" s="14" t="s">
        <v>1337</v>
      </c>
      <c r="AC684" s="17">
        <v>94906000</v>
      </c>
      <c r="AD684" s="14"/>
      <c r="AE684" s="17">
        <v>87875926</v>
      </c>
      <c r="AF684" s="14" t="s">
        <v>1970</v>
      </c>
      <c r="AG684" s="20"/>
      <c r="AH684" s="10">
        <v>58933754</v>
      </c>
      <c r="AI684" s="24" t="str">
        <f>VLOOKUP(Sales[[#This Row],[Store]],'Store lay bao  cao'!A:B,2,0)</f>
        <v>Lấy BC</v>
      </c>
      <c r="AJ684" s="24" t="str">
        <f>VLOOKUP(Sales[[#This Row],[Associate]],'Associate Status'!B:C,2,0)</f>
        <v>Active</v>
      </c>
    </row>
    <row r="685" spans="1:36" x14ac:dyDescent="0.25">
      <c r="A685" s="7">
        <v>2025</v>
      </c>
      <c r="B685" s="8">
        <v>6</v>
      </c>
      <c r="C685" s="8">
        <v>25</v>
      </c>
      <c r="D685" s="8" t="s">
        <v>52</v>
      </c>
      <c r="E685" s="8" t="s">
        <v>43</v>
      </c>
      <c r="F685" s="8" t="s">
        <v>52</v>
      </c>
      <c r="G685" s="9">
        <v>2398111</v>
      </c>
      <c r="H685" s="10">
        <v>2160000</v>
      </c>
      <c r="I685" s="11">
        <v>45829</v>
      </c>
      <c r="J685" s="12">
        <v>182191</v>
      </c>
      <c r="K685" s="13" t="s">
        <v>453</v>
      </c>
      <c r="L685" s="14" t="s">
        <v>50</v>
      </c>
      <c r="M685" s="11" t="s">
        <v>15</v>
      </c>
      <c r="N685" s="14" t="s">
        <v>62</v>
      </c>
      <c r="O685" s="15">
        <v>2832</v>
      </c>
      <c r="P685" s="12">
        <v>1</v>
      </c>
      <c r="Q685" s="13" t="s">
        <v>2098</v>
      </c>
      <c r="R685" s="16">
        <v>6912000</v>
      </c>
      <c r="S685" s="17">
        <v>6400000</v>
      </c>
      <c r="T685" s="12">
        <v>0</v>
      </c>
      <c r="U685" s="18">
        <v>0</v>
      </c>
      <c r="V685" s="19">
        <v>0</v>
      </c>
      <c r="W685" s="13" t="s">
        <v>636</v>
      </c>
      <c r="X685" s="14" t="s">
        <v>2289</v>
      </c>
      <c r="Y685" s="13" t="s">
        <v>2122</v>
      </c>
      <c r="Z685" s="14" t="s">
        <v>2290</v>
      </c>
      <c r="AA685" s="17">
        <v>16</v>
      </c>
      <c r="AB685" s="14" t="s">
        <v>1247</v>
      </c>
      <c r="AC685" s="17">
        <v>6912000</v>
      </c>
      <c r="AD685" s="14" t="s">
        <v>2230</v>
      </c>
      <c r="AE685" s="17">
        <v>6400000</v>
      </c>
      <c r="AF685" s="14" t="s">
        <v>1970</v>
      </c>
      <c r="AG685" s="21" t="s">
        <v>303</v>
      </c>
      <c r="AH685" s="10">
        <v>4001889</v>
      </c>
      <c r="AI685" s="24" t="str">
        <f>VLOOKUP(Sales[[#This Row],[Store]],'Store lay bao  cao'!A:B,2,0)</f>
        <v>Lấy BC</v>
      </c>
      <c r="AJ685" s="24" t="str">
        <f>VLOOKUP(Sales[[#This Row],[Associate]],'Associate Status'!B:C,2,0)</f>
        <v>Active</v>
      </c>
    </row>
    <row r="686" spans="1:36" x14ac:dyDescent="0.25">
      <c r="A686" s="7">
        <v>2025</v>
      </c>
      <c r="B686" s="8">
        <v>6</v>
      </c>
      <c r="C686" s="8">
        <v>25</v>
      </c>
      <c r="D686" s="8" t="s">
        <v>52</v>
      </c>
      <c r="E686" s="8" t="s">
        <v>34</v>
      </c>
      <c r="F686" s="8" t="s">
        <v>52</v>
      </c>
      <c r="G686" s="9">
        <v>6564827</v>
      </c>
      <c r="H686" s="10">
        <v>5913000</v>
      </c>
      <c r="I686" s="11">
        <v>45829</v>
      </c>
      <c r="J686" s="12">
        <v>182250</v>
      </c>
      <c r="K686" s="13" t="s">
        <v>453</v>
      </c>
      <c r="L686" s="14" t="s">
        <v>50</v>
      </c>
      <c r="M686" s="11" t="s">
        <v>15</v>
      </c>
      <c r="N686" s="14" t="s">
        <v>62</v>
      </c>
      <c r="O686" s="15">
        <v>2832</v>
      </c>
      <c r="P686" s="12">
        <v>1</v>
      </c>
      <c r="Q686" s="13" t="s">
        <v>2098</v>
      </c>
      <c r="R686" s="16">
        <v>18922000</v>
      </c>
      <c r="S686" s="17">
        <v>17520370</v>
      </c>
      <c r="T686" s="12">
        <v>0</v>
      </c>
      <c r="U686" s="18">
        <v>0</v>
      </c>
      <c r="V686" s="19">
        <v>0</v>
      </c>
      <c r="W686" s="13" t="s">
        <v>636</v>
      </c>
      <c r="X686" s="14" t="s">
        <v>2291</v>
      </c>
      <c r="Y686" s="13" t="s">
        <v>2122</v>
      </c>
      <c r="Z686" s="14" t="s">
        <v>2292</v>
      </c>
      <c r="AA686" s="17">
        <v>16</v>
      </c>
      <c r="AB686" s="14" t="s">
        <v>2293</v>
      </c>
      <c r="AC686" s="17">
        <v>18922000</v>
      </c>
      <c r="AD686" s="14" t="s">
        <v>108</v>
      </c>
      <c r="AE686" s="17">
        <v>17520370</v>
      </c>
      <c r="AF686" s="14" t="s">
        <v>352</v>
      </c>
      <c r="AG686" s="20" t="s">
        <v>303</v>
      </c>
      <c r="AH686" s="10">
        <v>10955543</v>
      </c>
      <c r="AI686" s="24" t="str">
        <f>VLOOKUP(Sales[[#This Row],[Store]],'Store lay bao  cao'!A:B,2,0)</f>
        <v>Lấy BC</v>
      </c>
      <c r="AJ686" s="24" t="str">
        <f>VLOOKUP(Sales[[#This Row],[Associate]],'Associate Status'!B:C,2,0)</f>
        <v>Retired</v>
      </c>
    </row>
    <row r="687" spans="1:36" x14ac:dyDescent="0.25">
      <c r="A687" s="7">
        <v>2025</v>
      </c>
      <c r="B687" s="8">
        <v>6</v>
      </c>
      <c r="C687" s="8">
        <v>25</v>
      </c>
      <c r="D687" s="8" t="s">
        <v>69</v>
      </c>
      <c r="E687" s="8" t="s">
        <v>34</v>
      </c>
      <c r="F687" s="8" t="s">
        <v>69</v>
      </c>
      <c r="G687" s="9">
        <v>2687070</v>
      </c>
      <c r="H687" s="10">
        <v>2108000</v>
      </c>
      <c r="I687" s="11">
        <v>45830</v>
      </c>
      <c r="J687" s="12">
        <v>217294</v>
      </c>
      <c r="K687" s="13" t="s">
        <v>535</v>
      </c>
      <c r="L687" s="14" t="s">
        <v>50</v>
      </c>
      <c r="M687" s="11" t="s">
        <v>17</v>
      </c>
      <c r="N687" s="14" t="s">
        <v>62</v>
      </c>
      <c r="O687" s="15">
        <v>1848</v>
      </c>
      <c r="P687" s="12">
        <v>1</v>
      </c>
      <c r="Q687" s="13" t="s">
        <v>2088</v>
      </c>
      <c r="R687" s="16">
        <v>6746000</v>
      </c>
      <c r="S687" s="17">
        <v>6246296</v>
      </c>
      <c r="T687" s="12">
        <v>0</v>
      </c>
      <c r="U687" s="18">
        <v>0</v>
      </c>
      <c r="V687" s="19">
        <v>0</v>
      </c>
      <c r="W687" s="13" t="s">
        <v>2174</v>
      </c>
      <c r="X687" s="14" t="s">
        <v>2296</v>
      </c>
      <c r="Y687" s="13" t="s">
        <v>2294</v>
      </c>
      <c r="Z687" s="14" t="s">
        <v>2297</v>
      </c>
      <c r="AA687" s="17">
        <v>19</v>
      </c>
      <c r="AB687" s="14" t="s">
        <v>220</v>
      </c>
      <c r="AC687" s="17">
        <v>6746000</v>
      </c>
      <c r="AD687" s="14" t="s">
        <v>1969</v>
      </c>
      <c r="AE687" s="17">
        <v>6246296</v>
      </c>
      <c r="AF687" s="14" t="s">
        <v>2089</v>
      </c>
      <c r="AG687" s="21" t="s">
        <v>2295</v>
      </c>
      <c r="AH687" s="10">
        <v>3559226</v>
      </c>
      <c r="AI687" s="24" t="str">
        <f>VLOOKUP(Sales[[#This Row],[Store]],'Store lay bao  cao'!A:B,2,0)</f>
        <v>Lấy BC</v>
      </c>
      <c r="AJ687" s="24" t="str">
        <f>VLOOKUP(Sales[[#This Row],[Associate]],'Associate Status'!B:C,2,0)</f>
        <v>Active</v>
      </c>
    </row>
    <row r="688" spans="1:36" x14ac:dyDescent="0.25">
      <c r="A688" s="7">
        <v>2025</v>
      </c>
      <c r="B688" s="8">
        <v>6</v>
      </c>
      <c r="C688" s="8">
        <v>25</v>
      </c>
      <c r="D688" s="8" t="s">
        <v>69</v>
      </c>
      <c r="E688" s="8" t="s">
        <v>34</v>
      </c>
      <c r="F688" s="8" t="s">
        <v>69</v>
      </c>
      <c r="G688" s="9">
        <v>3161259</v>
      </c>
      <c r="H688" s="10">
        <v>2480000</v>
      </c>
      <c r="I688" s="11">
        <v>45830</v>
      </c>
      <c r="J688" s="12">
        <v>217293</v>
      </c>
      <c r="K688" s="13" t="s">
        <v>535</v>
      </c>
      <c r="L688" s="14" t="s">
        <v>50</v>
      </c>
      <c r="M688" s="11" t="s">
        <v>17</v>
      </c>
      <c r="N688" s="14" t="s">
        <v>62</v>
      </c>
      <c r="O688" s="15">
        <v>1848</v>
      </c>
      <c r="P688" s="12">
        <v>1</v>
      </c>
      <c r="Q688" s="13" t="s">
        <v>2088</v>
      </c>
      <c r="R688" s="16">
        <v>7936000</v>
      </c>
      <c r="S688" s="17">
        <v>7348148</v>
      </c>
      <c r="T688" s="12">
        <v>0</v>
      </c>
      <c r="U688" s="18">
        <v>0</v>
      </c>
      <c r="V688" s="19">
        <v>0</v>
      </c>
      <c r="W688" s="13" t="s">
        <v>2174</v>
      </c>
      <c r="X688" s="14" t="s">
        <v>2206</v>
      </c>
      <c r="Y688" s="13" t="s">
        <v>2294</v>
      </c>
      <c r="Z688" s="14" t="s">
        <v>2207</v>
      </c>
      <c r="AA688" s="17">
        <v>19</v>
      </c>
      <c r="AB688" s="14" t="s">
        <v>220</v>
      </c>
      <c r="AC688" s="17">
        <v>7936000</v>
      </c>
      <c r="AD688" s="14" t="s">
        <v>1969</v>
      </c>
      <c r="AE688" s="17">
        <v>7348148</v>
      </c>
      <c r="AF688" s="14" t="s">
        <v>2089</v>
      </c>
      <c r="AG688" s="20" t="s">
        <v>2295</v>
      </c>
      <c r="AH688" s="10">
        <v>4186889</v>
      </c>
      <c r="AI688" s="24" t="str">
        <f>VLOOKUP(Sales[[#This Row],[Store]],'Store lay bao  cao'!A:B,2,0)</f>
        <v>Lấy BC</v>
      </c>
      <c r="AJ688" s="24" t="str">
        <f>VLOOKUP(Sales[[#This Row],[Associate]],'Associate Status'!B:C,2,0)</f>
        <v>Active</v>
      </c>
    </row>
    <row r="689" spans="1:36" x14ac:dyDescent="0.25">
      <c r="A689" s="7">
        <v>2025</v>
      </c>
      <c r="B689" s="8">
        <v>6</v>
      </c>
      <c r="C689" s="8">
        <v>25</v>
      </c>
      <c r="D689" s="8" t="s">
        <v>69</v>
      </c>
      <c r="E689" s="8" t="s">
        <v>34</v>
      </c>
      <c r="F689" s="8" t="s">
        <v>69</v>
      </c>
      <c r="G689" s="9">
        <v>2687070</v>
      </c>
      <c r="H689" s="10">
        <v>2108000</v>
      </c>
      <c r="I689" s="11">
        <v>45830</v>
      </c>
      <c r="J689" s="12">
        <v>217289</v>
      </c>
      <c r="K689" s="13" t="s">
        <v>535</v>
      </c>
      <c r="L689" s="14" t="s">
        <v>50</v>
      </c>
      <c r="M689" s="11" t="s">
        <v>17</v>
      </c>
      <c r="N689" s="14" t="s">
        <v>62</v>
      </c>
      <c r="O689" s="15">
        <v>1848</v>
      </c>
      <c r="P689" s="12">
        <v>1</v>
      </c>
      <c r="Q689" s="13" t="s">
        <v>2088</v>
      </c>
      <c r="R689" s="16">
        <v>6746000</v>
      </c>
      <c r="S689" s="17">
        <v>6246296</v>
      </c>
      <c r="T689" s="12">
        <v>0</v>
      </c>
      <c r="U689" s="18">
        <v>0</v>
      </c>
      <c r="V689" s="19">
        <v>0</v>
      </c>
      <c r="W689" s="13" t="s">
        <v>2174</v>
      </c>
      <c r="X689" s="14" t="s">
        <v>2298</v>
      </c>
      <c r="Y689" s="13" t="s">
        <v>2294</v>
      </c>
      <c r="Z689" s="14" t="s">
        <v>2299</v>
      </c>
      <c r="AA689" s="17">
        <v>19</v>
      </c>
      <c r="AB689" s="14" t="s">
        <v>220</v>
      </c>
      <c r="AC689" s="17">
        <v>6746000</v>
      </c>
      <c r="AD689" s="14" t="s">
        <v>1969</v>
      </c>
      <c r="AE689" s="17">
        <v>6246296</v>
      </c>
      <c r="AF689" s="14" t="s">
        <v>2089</v>
      </c>
      <c r="AG689" s="21" t="s">
        <v>2295</v>
      </c>
      <c r="AH689" s="10">
        <v>3559226</v>
      </c>
      <c r="AI689" s="24" t="str">
        <f>VLOOKUP(Sales[[#This Row],[Store]],'Store lay bao  cao'!A:B,2,0)</f>
        <v>Lấy BC</v>
      </c>
      <c r="AJ689" s="24" t="str">
        <f>VLOOKUP(Sales[[#This Row],[Associate]],'Associate Status'!B:C,2,0)</f>
        <v>Active</v>
      </c>
    </row>
    <row r="690" spans="1:36" x14ac:dyDescent="0.25">
      <c r="A690" s="7">
        <v>2025</v>
      </c>
      <c r="B690" s="8">
        <v>6</v>
      </c>
      <c r="C690" s="8">
        <v>25</v>
      </c>
      <c r="D690" s="8" t="s">
        <v>69</v>
      </c>
      <c r="E690" s="8" t="s">
        <v>34</v>
      </c>
      <c r="F690" s="8" t="s">
        <v>69</v>
      </c>
      <c r="G690" s="9">
        <v>3129646</v>
      </c>
      <c r="H690" s="10">
        <v>2455200</v>
      </c>
      <c r="I690" s="11">
        <v>45830</v>
      </c>
      <c r="J690" s="12">
        <v>217288</v>
      </c>
      <c r="K690" s="13" t="s">
        <v>535</v>
      </c>
      <c r="L690" s="14" t="s">
        <v>50</v>
      </c>
      <c r="M690" s="11" t="s">
        <v>17</v>
      </c>
      <c r="N690" s="14" t="s">
        <v>62</v>
      </c>
      <c r="O690" s="15">
        <v>1848</v>
      </c>
      <c r="P690" s="12">
        <v>1</v>
      </c>
      <c r="Q690" s="13" t="s">
        <v>2088</v>
      </c>
      <c r="R690" s="16">
        <v>7857000</v>
      </c>
      <c r="S690" s="17">
        <v>7275000</v>
      </c>
      <c r="T690" s="12">
        <v>0</v>
      </c>
      <c r="U690" s="18">
        <v>0</v>
      </c>
      <c r="V690" s="19">
        <v>0</v>
      </c>
      <c r="W690" s="13" t="s">
        <v>2174</v>
      </c>
      <c r="X690" s="14" t="s">
        <v>2300</v>
      </c>
      <c r="Y690" s="13" t="s">
        <v>2294</v>
      </c>
      <c r="Z690" s="14" t="s">
        <v>2301</v>
      </c>
      <c r="AA690" s="17">
        <v>19</v>
      </c>
      <c r="AB690" s="14" t="s">
        <v>220</v>
      </c>
      <c r="AC690" s="17">
        <v>7857000</v>
      </c>
      <c r="AD690" s="14" t="s">
        <v>1969</v>
      </c>
      <c r="AE690" s="17">
        <v>7275000</v>
      </c>
      <c r="AF690" s="14" t="s">
        <v>2089</v>
      </c>
      <c r="AG690" s="20" t="s">
        <v>2295</v>
      </c>
      <c r="AH690" s="10">
        <v>4145354</v>
      </c>
      <c r="AI690" s="24" t="str">
        <f>VLOOKUP(Sales[[#This Row],[Store]],'Store lay bao  cao'!A:B,2,0)</f>
        <v>Lấy BC</v>
      </c>
      <c r="AJ690" s="24" t="str">
        <f>VLOOKUP(Sales[[#This Row],[Associate]],'Associate Status'!B:C,2,0)</f>
        <v>Active</v>
      </c>
    </row>
    <row r="691" spans="1:36" x14ac:dyDescent="0.25">
      <c r="A691" s="7">
        <v>2025</v>
      </c>
      <c r="B691" s="8">
        <v>6</v>
      </c>
      <c r="C691" s="8">
        <v>25</v>
      </c>
      <c r="D691" s="8" t="s">
        <v>63</v>
      </c>
      <c r="E691" s="8" t="s">
        <v>34</v>
      </c>
      <c r="F691" s="8" t="s">
        <v>63</v>
      </c>
      <c r="G691" s="9">
        <v>20330072</v>
      </c>
      <c r="H691" s="10">
        <v>16334600</v>
      </c>
      <c r="I691" s="11">
        <v>45830</v>
      </c>
      <c r="J691" s="12">
        <v>210764</v>
      </c>
      <c r="K691" s="13" t="s">
        <v>535</v>
      </c>
      <c r="L691" s="14" t="s">
        <v>59</v>
      </c>
      <c r="M691" s="11" t="s">
        <v>17</v>
      </c>
      <c r="N691" s="14" t="s">
        <v>62</v>
      </c>
      <c r="O691" s="15">
        <v>1848</v>
      </c>
      <c r="P691" s="12">
        <v>1</v>
      </c>
      <c r="Q691" s="13" t="s">
        <v>2088</v>
      </c>
      <c r="R691" s="16">
        <v>49714000</v>
      </c>
      <c r="S691" s="17">
        <v>46031481</v>
      </c>
      <c r="T691" s="12">
        <v>0</v>
      </c>
      <c r="U691" s="18">
        <v>0</v>
      </c>
      <c r="V691" s="19">
        <v>0</v>
      </c>
      <c r="W691" s="13" t="s">
        <v>2174</v>
      </c>
      <c r="X691" s="14" t="s">
        <v>2302</v>
      </c>
      <c r="Y691" s="13" t="s">
        <v>2294</v>
      </c>
      <c r="Z691" s="14" t="s">
        <v>2303</v>
      </c>
      <c r="AA691" s="17">
        <v>19</v>
      </c>
      <c r="AB691" s="14" t="s">
        <v>1951</v>
      </c>
      <c r="AC691" s="17">
        <v>49714000</v>
      </c>
      <c r="AD691" s="14" t="s">
        <v>108</v>
      </c>
      <c r="AE691" s="17">
        <v>46031481</v>
      </c>
      <c r="AF691" s="14" t="s">
        <v>2089</v>
      </c>
      <c r="AG691" s="21" t="s">
        <v>2295</v>
      </c>
      <c r="AH691" s="10">
        <v>25701409</v>
      </c>
      <c r="AI691" s="24" t="str">
        <f>VLOOKUP(Sales[[#This Row],[Store]],'Store lay bao  cao'!A:B,2,0)</f>
        <v>Lấy BC</v>
      </c>
      <c r="AJ691" s="24" t="str">
        <f>VLOOKUP(Sales[[#This Row],[Associate]],'Associate Status'!B:C,2,0)</f>
        <v>Active</v>
      </c>
    </row>
    <row r="692" spans="1:36" x14ac:dyDescent="0.25">
      <c r="A692" s="7">
        <v>2025</v>
      </c>
      <c r="B692" s="8">
        <v>6</v>
      </c>
      <c r="C692" s="8">
        <v>26</v>
      </c>
      <c r="D692" s="8" t="s">
        <v>69</v>
      </c>
      <c r="E692" s="8" t="s">
        <v>34</v>
      </c>
      <c r="F692" s="8" t="s">
        <v>69</v>
      </c>
      <c r="G692" s="9">
        <v>43812808</v>
      </c>
      <c r="H692" s="10">
        <v>40887000</v>
      </c>
      <c r="I692" s="11">
        <v>45831</v>
      </c>
      <c r="J692" s="12">
        <v>217093</v>
      </c>
      <c r="K692" s="13" t="s">
        <v>538</v>
      </c>
      <c r="L692" s="14" t="s">
        <v>58</v>
      </c>
      <c r="M692" s="11" t="s">
        <v>17</v>
      </c>
      <c r="N692" s="14" t="s">
        <v>62</v>
      </c>
      <c r="O692" s="15">
        <v>1849</v>
      </c>
      <c r="P692" s="12">
        <v>1</v>
      </c>
      <c r="Q692" s="13" t="s">
        <v>2098</v>
      </c>
      <c r="R692" s="16">
        <v>127383300</v>
      </c>
      <c r="S692" s="17">
        <v>117947500</v>
      </c>
      <c r="T692" s="12">
        <v>10</v>
      </c>
      <c r="U692" s="18">
        <v>13105278</v>
      </c>
      <c r="V692" s="19">
        <v>14153700</v>
      </c>
      <c r="W692" s="13" t="s">
        <v>635</v>
      </c>
      <c r="X692" s="14" t="s">
        <v>2304</v>
      </c>
      <c r="Y692" s="13" t="s">
        <v>2194</v>
      </c>
      <c r="Z692" s="14" t="s">
        <v>2305</v>
      </c>
      <c r="AA692" s="17">
        <v>12</v>
      </c>
      <c r="AB692" s="14" t="s">
        <v>2306</v>
      </c>
      <c r="AC692" s="17">
        <v>141537000</v>
      </c>
      <c r="AD692" s="14" t="s">
        <v>2097</v>
      </c>
      <c r="AE692" s="17">
        <v>131052778</v>
      </c>
      <c r="AF692" s="14" t="s">
        <v>2089</v>
      </c>
      <c r="AG692" s="20" t="s">
        <v>309</v>
      </c>
      <c r="AH692" s="10">
        <v>74134692</v>
      </c>
      <c r="AI692" s="24" t="str">
        <f>VLOOKUP(Sales[[#This Row],[Store]],'Store lay bao  cao'!A:B,2,0)</f>
        <v>Lấy BC</v>
      </c>
      <c r="AJ692" s="24" t="str">
        <f>VLOOKUP(Sales[[#This Row],[Associate]],'Associate Status'!B:C,2,0)</f>
        <v>Active</v>
      </c>
    </row>
    <row r="693" spans="1:36" x14ac:dyDescent="0.25">
      <c r="A693" s="7">
        <v>2025</v>
      </c>
      <c r="B693" s="8">
        <v>6</v>
      </c>
      <c r="C693" s="8">
        <v>26</v>
      </c>
      <c r="D693" s="8" t="s">
        <v>63</v>
      </c>
      <c r="E693" s="8" t="s">
        <v>43</v>
      </c>
      <c r="F693" s="8" t="s">
        <v>63</v>
      </c>
      <c r="G693" s="9">
        <v>29995911</v>
      </c>
      <c r="H693" s="10">
        <v>30470000</v>
      </c>
      <c r="I693" s="11">
        <v>45831</v>
      </c>
      <c r="J693" s="12">
        <v>205067</v>
      </c>
      <c r="K693" s="13" t="s">
        <v>538</v>
      </c>
      <c r="L693" s="14" t="s">
        <v>55</v>
      </c>
      <c r="M693" s="11" t="s">
        <v>17</v>
      </c>
      <c r="N693" s="14" t="s">
        <v>62</v>
      </c>
      <c r="O693" s="15">
        <v>1849</v>
      </c>
      <c r="P693" s="12">
        <v>1</v>
      </c>
      <c r="Q693" s="13" t="s">
        <v>2098</v>
      </c>
      <c r="R693" s="16">
        <v>72675000</v>
      </c>
      <c r="S693" s="17">
        <v>67291667</v>
      </c>
      <c r="T693" s="12">
        <v>5</v>
      </c>
      <c r="U693" s="18">
        <v>3541667</v>
      </c>
      <c r="V693" s="19">
        <v>3825000</v>
      </c>
      <c r="W693" s="13" t="s">
        <v>635</v>
      </c>
      <c r="X693" s="14" t="s">
        <v>2307</v>
      </c>
      <c r="Y693" s="13" t="s">
        <v>2194</v>
      </c>
      <c r="Z693" s="14" t="s">
        <v>2308</v>
      </c>
      <c r="AA693" s="17">
        <v>12</v>
      </c>
      <c r="AB693" s="14" t="s">
        <v>2309</v>
      </c>
      <c r="AC693" s="17">
        <v>76500000</v>
      </c>
      <c r="AD693" s="14" t="s">
        <v>2099</v>
      </c>
      <c r="AE693" s="17">
        <v>70833333</v>
      </c>
      <c r="AF693" s="14" t="s">
        <v>2089</v>
      </c>
      <c r="AG693" s="21" t="s">
        <v>309</v>
      </c>
      <c r="AH693" s="10">
        <v>37295756</v>
      </c>
      <c r="AI693" s="24" t="str">
        <f>VLOOKUP(Sales[[#This Row],[Store]],'Store lay bao  cao'!A:B,2,0)</f>
        <v>Lấy BC</v>
      </c>
      <c r="AJ693" s="24" t="str">
        <f>VLOOKUP(Sales[[#This Row],[Associate]],'Associate Status'!B:C,2,0)</f>
        <v>Active</v>
      </c>
    </row>
    <row r="694" spans="1:36" x14ac:dyDescent="0.25">
      <c r="A694" s="7">
        <v>2025</v>
      </c>
      <c r="B694" s="8">
        <v>6</v>
      </c>
      <c r="C694" s="8">
        <v>26</v>
      </c>
      <c r="D694" s="8" t="s">
        <v>69</v>
      </c>
      <c r="E694" s="8" t="s">
        <v>37</v>
      </c>
      <c r="F694" s="8" t="s">
        <v>69</v>
      </c>
      <c r="G694" s="9">
        <v>27994676</v>
      </c>
      <c r="H694" s="10">
        <v>26125200</v>
      </c>
      <c r="I694" s="11">
        <v>45832</v>
      </c>
      <c r="J694" s="12">
        <v>217090</v>
      </c>
      <c r="K694" s="13" t="s">
        <v>460</v>
      </c>
      <c r="L694" s="14" t="s">
        <v>58</v>
      </c>
      <c r="M694" s="11" t="s">
        <v>15</v>
      </c>
      <c r="N694" s="14" t="s">
        <v>62</v>
      </c>
      <c r="O694" s="15">
        <v>2842</v>
      </c>
      <c r="P694" s="12">
        <v>1</v>
      </c>
      <c r="Q694" s="13" t="s">
        <v>102</v>
      </c>
      <c r="R694" s="16">
        <v>92029000</v>
      </c>
      <c r="S694" s="17">
        <v>85212037</v>
      </c>
      <c r="T694" s="12">
        <v>0</v>
      </c>
      <c r="U694" s="18">
        <v>0</v>
      </c>
      <c r="V694" s="19">
        <v>0</v>
      </c>
      <c r="W694" s="13" t="s">
        <v>636</v>
      </c>
      <c r="X694" s="14" t="s">
        <v>2310</v>
      </c>
      <c r="Y694" s="13" t="s">
        <v>994</v>
      </c>
      <c r="Z694" s="14" t="s">
        <v>1754</v>
      </c>
      <c r="AA694" s="17">
        <v>10</v>
      </c>
      <c r="AB694" s="14" t="s">
        <v>1337</v>
      </c>
      <c r="AC694" s="17">
        <v>92029000</v>
      </c>
      <c r="AD694" s="14" t="s">
        <v>2097</v>
      </c>
      <c r="AE694" s="17">
        <v>85212037</v>
      </c>
      <c r="AF694" s="14" t="s">
        <v>1970</v>
      </c>
      <c r="AG694" s="20"/>
      <c r="AH694" s="10">
        <v>57217361</v>
      </c>
      <c r="AI694" s="24" t="str">
        <f>VLOOKUP(Sales[[#This Row],[Store]],'Store lay bao  cao'!A:B,2,0)</f>
        <v>Lấy BC</v>
      </c>
      <c r="AJ694" s="24" t="str">
        <f>VLOOKUP(Sales[[#This Row],[Associate]],'Associate Status'!B:C,2,0)</f>
        <v>Active</v>
      </c>
    </row>
    <row r="695" spans="1:36" x14ac:dyDescent="0.25">
      <c r="A695" s="7">
        <v>2025</v>
      </c>
      <c r="B695" s="8">
        <v>6</v>
      </c>
      <c r="C695" s="8">
        <v>26</v>
      </c>
      <c r="D695" s="8" t="s">
        <v>69</v>
      </c>
      <c r="E695" s="8" t="s">
        <v>37</v>
      </c>
      <c r="F695" s="8" t="s">
        <v>69</v>
      </c>
      <c r="G695" s="9">
        <v>19516614</v>
      </c>
      <c r="H695" s="10">
        <v>18213300</v>
      </c>
      <c r="I695" s="11">
        <v>45832</v>
      </c>
      <c r="J695" s="12">
        <v>217102</v>
      </c>
      <c r="K695" s="13" t="s">
        <v>460</v>
      </c>
      <c r="L695" s="14" t="s">
        <v>58</v>
      </c>
      <c r="M695" s="11" t="s">
        <v>15</v>
      </c>
      <c r="N695" s="14" t="s">
        <v>62</v>
      </c>
      <c r="O695" s="15">
        <v>2842</v>
      </c>
      <c r="P695" s="12">
        <v>1</v>
      </c>
      <c r="Q695" s="13" t="s">
        <v>102</v>
      </c>
      <c r="R695" s="16">
        <v>64688000</v>
      </c>
      <c r="S695" s="17">
        <v>59896296</v>
      </c>
      <c r="T695" s="12">
        <v>0</v>
      </c>
      <c r="U695" s="18">
        <v>0</v>
      </c>
      <c r="V695" s="19">
        <v>0</v>
      </c>
      <c r="W695" s="13" t="s">
        <v>636</v>
      </c>
      <c r="X695" s="14" t="s">
        <v>2310</v>
      </c>
      <c r="Y695" s="13" t="s">
        <v>994</v>
      </c>
      <c r="Z695" s="14" t="s">
        <v>2311</v>
      </c>
      <c r="AA695" s="17">
        <v>10</v>
      </c>
      <c r="AB695" s="14" t="s">
        <v>1337</v>
      </c>
      <c r="AC695" s="17">
        <v>64688000</v>
      </c>
      <c r="AD695" s="14" t="s">
        <v>2097</v>
      </c>
      <c r="AE695" s="17">
        <v>59896296</v>
      </c>
      <c r="AF695" s="14" t="s">
        <v>1970</v>
      </c>
      <c r="AG695" s="21"/>
      <c r="AH695" s="10">
        <v>40379682</v>
      </c>
      <c r="AI695" s="24" t="str">
        <f>VLOOKUP(Sales[[#This Row],[Store]],'Store lay bao  cao'!A:B,2,0)</f>
        <v>Lấy BC</v>
      </c>
      <c r="AJ695" s="24" t="str">
        <f>VLOOKUP(Sales[[#This Row],[Associate]],'Associate Status'!B:C,2,0)</f>
        <v>Active</v>
      </c>
    </row>
    <row r="696" spans="1:36" x14ac:dyDescent="0.25">
      <c r="A696" s="7">
        <v>2025</v>
      </c>
      <c r="B696" s="8">
        <v>6</v>
      </c>
      <c r="C696" s="8">
        <v>26</v>
      </c>
      <c r="D696" s="8" t="s">
        <v>60</v>
      </c>
      <c r="E696" s="8" t="s">
        <v>34</v>
      </c>
      <c r="F696" s="8" t="s">
        <v>60</v>
      </c>
      <c r="G696" s="9">
        <v>14877693</v>
      </c>
      <c r="H696" s="10">
        <v>15743970</v>
      </c>
      <c r="I696" s="11">
        <v>45832</v>
      </c>
      <c r="J696" s="12">
        <v>206908</v>
      </c>
      <c r="K696" s="13" t="s">
        <v>457</v>
      </c>
      <c r="L696" s="14" t="s">
        <v>58</v>
      </c>
      <c r="M696" s="11" t="s">
        <v>15</v>
      </c>
      <c r="N696" s="14" t="s">
        <v>62</v>
      </c>
      <c r="O696" s="15">
        <v>2844</v>
      </c>
      <c r="P696" s="12">
        <v>1</v>
      </c>
      <c r="Q696" s="13" t="s">
        <v>2102</v>
      </c>
      <c r="R696" s="16">
        <v>49667900</v>
      </c>
      <c r="S696" s="17">
        <v>45988796</v>
      </c>
      <c r="T696" s="12">
        <v>5</v>
      </c>
      <c r="U696" s="18">
        <v>2420463</v>
      </c>
      <c r="V696" s="19">
        <v>2614100</v>
      </c>
      <c r="W696" s="13" t="s">
        <v>636</v>
      </c>
      <c r="X696" s="14" t="s">
        <v>2312</v>
      </c>
      <c r="Y696" s="13" t="s">
        <v>2127</v>
      </c>
      <c r="Z696" s="14" t="s">
        <v>2313</v>
      </c>
      <c r="AA696" s="17">
        <v>17</v>
      </c>
      <c r="AB696" s="14" t="s">
        <v>1498</v>
      </c>
      <c r="AC696" s="17">
        <v>52282000</v>
      </c>
      <c r="AD696" s="14" t="s">
        <v>2218</v>
      </c>
      <c r="AE696" s="17">
        <v>48409259</v>
      </c>
      <c r="AF696" s="14" t="s">
        <v>106</v>
      </c>
      <c r="AG696" s="20" t="s">
        <v>914</v>
      </c>
      <c r="AH696" s="10">
        <v>31111103</v>
      </c>
      <c r="AI696" s="24" t="str">
        <f>VLOOKUP(Sales[[#This Row],[Store]],'Store lay bao  cao'!A:B,2,0)</f>
        <v>Lấy BC</v>
      </c>
      <c r="AJ696" s="24" t="str">
        <f>VLOOKUP(Sales[[#This Row],[Associate]],'Associate Status'!B:C,2,0)</f>
        <v>Active</v>
      </c>
    </row>
    <row r="697" spans="1:36" x14ac:dyDescent="0.25">
      <c r="A697" s="7">
        <v>2025</v>
      </c>
      <c r="B697" s="8">
        <v>6</v>
      </c>
      <c r="C697" s="8">
        <v>26</v>
      </c>
      <c r="D697" s="8" t="s">
        <v>52</v>
      </c>
      <c r="E697" s="8" t="s">
        <v>37</v>
      </c>
      <c r="F697" s="8" t="s">
        <v>52</v>
      </c>
      <c r="G697" s="9">
        <v>39186904</v>
      </c>
      <c r="H697" s="10">
        <v>38565450</v>
      </c>
      <c r="I697" s="11">
        <v>45832</v>
      </c>
      <c r="J697" s="12">
        <v>181403</v>
      </c>
      <c r="K697" s="13" t="s">
        <v>459</v>
      </c>
      <c r="L697" s="14" t="s">
        <v>58</v>
      </c>
      <c r="M697" s="11" t="s">
        <v>15</v>
      </c>
      <c r="N697" s="14" t="s">
        <v>62</v>
      </c>
      <c r="O697" s="15">
        <v>2847</v>
      </c>
      <c r="P697" s="12">
        <v>1</v>
      </c>
      <c r="Q697" s="13" t="s">
        <v>2094</v>
      </c>
      <c r="R697" s="16">
        <v>140211450</v>
      </c>
      <c r="S697" s="17">
        <v>129825417</v>
      </c>
      <c r="T697" s="12">
        <v>5</v>
      </c>
      <c r="U697" s="18">
        <v>6832917</v>
      </c>
      <c r="V697" s="19">
        <v>7379550</v>
      </c>
      <c r="W697" s="13" t="s">
        <v>636</v>
      </c>
      <c r="X697" s="14" t="s">
        <v>2314</v>
      </c>
      <c r="Y697" s="13" t="s">
        <v>2177</v>
      </c>
      <c r="Z697" s="14" t="s">
        <v>2315</v>
      </c>
      <c r="AA697" s="17">
        <v>17</v>
      </c>
      <c r="AB697" s="14" t="s">
        <v>1953</v>
      </c>
      <c r="AC697" s="17">
        <v>147591000</v>
      </c>
      <c r="AD697" s="14" t="s">
        <v>108</v>
      </c>
      <c r="AE697" s="17">
        <v>136658333</v>
      </c>
      <c r="AF697" s="14" t="s">
        <v>106</v>
      </c>
      <c r="AG697" s="21" t="s">
        <v>347</v>
      </c>
      <c r="AH697" s="10">
        <v>90638513</v>
      </c>
      <c r="AI697" s="24" t="str">
        <f>VLOOKUP(Sales[[#This Row],[Store]],'Store lay bao  cao'!A:B,2,0)</f>
        <v>Lấy BC</v>
      </c>
      <c r="AJ697" s="24" t="str">
        <f>VLOOKUP(Sales[[#This Row],[Associate]],'Associate Status'!B:C,2,0)</f>
        <v>Active</v>
      </c>
    </row>
    <row r="698" spans="1:36" x14ac:dyDescent="0.25">
      <c r="A698" s="7">
        <v>2025</v>
      </c>
      <c r="B698" s="8">
        <v>6</v>
      </c>
      <c r="C698" s="8">
        <v>26</v>
      </c>
      <c r="D698" s="8" t="s">
        <v>52</v>
      </c>
      <c r="E698" s="8" t="s">
        <v>53</v>
      </c>
      <c r="F698" s="8" t="s">
        <v>52</v>
      </c>
      <c r="G698" s="9">
        <v>10431781</v>
      </c>
      <c r="H698" s="10">
        <v>9396000</v>
      </c>
      <c r="I698" s="11">
        <v>45833</v>
      </c>
      <c r="J698" s="12">
        <v>182198</v>
      </c>
      <c r="K698" s="13" t="s">
        <v>2316</v>
      </c>
      <c r="L698" s="14" t="s">
        <v>50</v>
      </c>
      <c r="M698" s="11" t="s">
        <v>17</v>
      </c>
      <c r="N698" s="14" t="s">
        <v>62</v>
      </c>
      <c r="O698" s="15">
        <v>1859</v>
      </c>
      <c r="P698" s="12">
        <v>1</v>
      </c>
      <c r="Q698" s="13" t="s">
        <v>2088</v>
      </c>
      <c r="R698" s="16">
        <v>30068000</v>
      </c>
      <c r="S698" s="17">
        <v>27840741</v>
      </c>
      <c r="T698" s="12">
        <v>0</v>
      </c>
      <c r="U698" s="18">
        <v>0</v>
      </c>
      <c r="V698" s="19">
        <v>0</v>
      </c>
      <c r="W698" s="13" t="s">
        <v>2174</v>
      </c>
      <c r="X698" s="14" t="s">
        <v>2317</v>
      </c>
      <c r="Y698" s="13" t="s">
        <v>2294</v>
      </c>
      <c r="Z698" s="14" t="s">
        <v>2318</v>
      </c>
      <c r="AA698" s="17">
        <v>11</v>
      </c>
      <c r="AB698" s="14" t="s">
        <v>2319</v>
      </c>
      <c r="AC698" s="17">
        <v>30068000</v>
      </c>
      <c r="AD698" s="14" t="s">
        <v>108</v>
      </c>
      <c r="AE698" s="17">
        <v>27840741</v>
      </c>
      <c r="AF698" s="14" t="s">
        <v>2089</v>
      </c>
      <c r="AG698" s="20" t="s">
        <v>2295</v>
      </c>
      <c r="AH698" s="10">
        <v>17408960</v>
      </c>
      <c r="AI698" s="24" t="str">
        <f>VLOOKUP(Sales[[#This Row],[Store]],'Store lay bao  cao'!A:B,2,0)</f>
        <v>Lấy BC</v>
      </c>
      <c r="AJ698" s="24" t="str">
        <f>VLOOKUP(Sales[[#This Row],[Associate]],'Associate Status'!B:C,2,0)</f>
        <v>Active</v>
      </c>
    </row>
    <row r="699" spans="1:36" x14ac:dyDescent="0.25">
      <c r="A699" s="7">
        <v>2025</v>
      </c>
      <c r="B699" s="8">
        <v>6</v>
      </c>
      <c r="C699" s="8">
        <v>26</v>
      </c>
      <c r="D699" s="8" t="s">
        <v>52</v>
      </c>
      <c r="E699" s="8" t="s">
        <v>53</v>
      </c>
      <c r="F699" s="8" t="s">
        <v>52</v>
      </c>
      <c r="G699" s="9">
        <v>2264882.5555555555</v>
      </c>
      <c r="H699" s="10">
        <v>2295000</v>
      </c>
      <c r="I699" s="11">
        <v>45833</v>
      </c>
      <c r="J699" s="12">
        <v>182195</v>
      </c>
      <c r="K699" s="13" t="s">
        <v>2320</v>
      </c>
      <c r="L699" s="14" t="s">
        <v>50</v>
      </c>
      <c r="M699" s="11" t="s">
        <v>17</v>
      </c>
      <c r="N699" s="14" t="s">
        <v>62</v>
      </c>
      <c r="O699" s="15">
        <v>1860</v>
      </c>
      <c r="P699" s="12">
        <v>1</v>
      </c>
      <c r="Q699" s="13" t="s">
        <v>2088</v>
      </c>
      <c r="R699" s="16">
        <v>7344000</v>
      </c>
      <c r="S699" s="17">
        <v>6800000</v>
      </c>
      <c r="T699" s="12">
        <v>0</v>
      </c>
      <c r="U699" s="18">
        <v>0</v>
      </c>
      <c r="V699" s="19">
        <v>0</v>
      </c>
      <c r="W699" s="13" t="s">
        <v>2174</v>
      </c>
      <c r="X699" s="14" t="s">
        <v>1595</v>
      </c>
      <c r="Y699" s="13" t="s">
        <v>2294</v>
      </c>
      <c r="Z699" s="14" t="s">
        <v>1596</v>
      </c>
      <c r="AA699" s="17">
        <v>11</v>
      </c>
      <c r="AB699" s="14" t="s">
        <v>2321</v>
      </c>
      <c r="AC699" s="17">
        <v>7344000</v>
      </c>
      <c r="AD699" s="14" t="s">
        <v>108</v>
      </c>
      <c r="AE699" s="17">
        <v>6800000</v>
      </c>
      <c r="AF699" s="14" t="s">
        <v>2089</v>
      </c>
      <c r="AG699" s="21" t="s">
        <v>2295</v>
      </c>
      <c r="AH699" s="10">
        <v>4535117.444444444</v>
      </c>
      <c r="AI699" s="24" t="str">
        <f>VLOOKUP(Sales[[#This Row],[Store]],'Store lay bao  cao'!A:B,2,0)</f>
        <v>Lấy BC</v>
      </c>
      <c r="AJ699" s="24" t="str">
        <f>VLOOKUP(Sales[[#This Row],[Associate]],'Associate Status'!B:C,2,0)</f>
        <v>Active</v>
      </c>
    </row>
    <row r="700" spans="1:36" ht="51.75" x14ac:dyDescent="0.25">
      <c r="A700" s="7">
        <v>2025</v>
      </c>
      <c r="B700" s="8">
        <v>6</v>
      </c>
      <c r="C700" s="8">
        <v>26</v>
      </c>
      <c r="D700" s="8" t="s">
        <v>52</v>
      </c>
      <c r="E700" s="8" t="s">
        <v>34</v>
      </c>
      <c r="F700" s="8" t="s">
        <v>52</v>
      </c>
      <c r="G700" s="9">
        <v>139936535</v>
      </c>
      <c r="H700" s="10">
        <v>161672000</v>
      </c>
      <c r="I700" s="11">
        <v>45833</v>
      </c>
      <c r="J700" s="12">
        <v>180398</v>
      </c>
      <c r="K700" s="13" t="s">
        <v>458</v>
      </c>
      <c r="L700" s="14" t="s">
        <v>55</v>
      </c>
      <c r="M700" s="11" t="s">
        <v>15</v>
      </c>
      <c r="N700" s="14" t="s">
        <v>62</v>
      </c>
      <c r="O700" s="15">
        <v>2852</v>
      </c>
      <c r="P700" s="12">
        <v>1</v>
      </c>
      <c r="Q700" s="13" t="s">
        <v>2098</v>
      </c>
      <c r="R700" s="16">
        <v>337250000</v>
      </c>
      <c r="S700" s="17">
        <v>312268519</v>
      </c>
      <c r="T700" s="12">
        <v>5</v>
      </c>
      <c r="U700" s="18">
        <v>16435185</v>
      </c>
      <c r="V700" s="19">
        <v>17750000</v>
      </c>
      <c r="W700" s="13" t="s">
        <v>1563</v>
      </c>
      <c r="X700" s="23" t="s">
        <v>2322</v>
      </c>
      <c r="Y700" s="13" t="s">
        <v>329</v>
      </c>
      <c r="Z700" s="14" t="s">
        <v>2323</v>
      </c>
      <c r="AA700" s="17">
        <v>18</v>
      </c>
      <c r="AB700" s="14" t="s">
        <v>1314</v>
      </c>
      <c r="AC700" s="17">
        <v>355000000</v>
      </c>
      <c r="AD700" s="14" t="s">
        <v>893</v>
      </c>
      <c r="AE700" s="17">
        <v>328703704</v>
      </c>
      <c r="AF700" s="14" t="s">
        <v>1971</v>
      </c>
      <c r="AG700" s="20" t="s">
        <v>172</v>
      </c>
      <c r="AH700" s="10">
        <v>172331984</v>
      </c>
      <c r="AI700" s="24" t="str">
        <f>VLOOKUP(Sales[[#This Row],[Store]],'Store lay bao  cao'!A:B,2,0)</f>
        <v>Lấy BC</v>
      </c>
      <c r="AJ700" s="24" t="str">
        <f>VLOOKUP(Sales[[#This Row],[Associate]],'Associate Status'!B:C,2,0)</f>
        <v>Active</v>
      </c>
    </row>
    <row r="701" spans="1:36" x14ac:dyDescent="0.25">
      <c r="A701" s="7">
        <v>2025</v>
      </c>
      <c r="B701" s="8">
        <v>6</v>
      </c>
      <c r="C701" s="8">
        <v>26</v>
      </c>
      <c r="D701" s="8" t="s">
        <v>60</v>
      </c>
      <c r="E701" s="8" t="s">
        <v>34</v>
      </c>
      <c r="F701" s="8" t="s">
        <v>60</v>
      </c>
      <c r="G701" s="9">
        <v>59243382</v>
      </c>
      <c r="H701" s="10">
        <v>57344375</v>
      </c>
      <c r="I701" s="11">
        <v>45833</v>
      </c>
      <c r="J701" s="12">
        <v>205084</v>
      </c>
      <c r="K701" s="13" t="s">
        <v>458</v>
      </c>
      <c r="L701" s="14" t="s">
        <v>64</v>
      </c>
      <c r="M701" s="11" t="s">
        <v>15</v>
      </c>
      <c r="N701" s="14" t="s">
        <v>62</v>
      </c>
      <c r="O701" s="15">
        <v>2852</v>
      </c>
      <c r="P701" s="12">
        <v>1</v>
      </c>
      <c r="Q701" s="13" t="s">
        <v>2098</v>
      </c>
      <c r="R701" s="16">
        <v>136629000</v>
      </c>
      <c r="S701" s="17">
        <v>126508333</v>
      </c>
      <c r="T701" s="12">
        <v>5</v>
      </c>
      <c r="U701" s="18">
        <v>6658333</v>
      </c>
      <c r="V701" s="19">
        <v>7191000</v>
      </c>
      <c r="W701" s="13" t="s">
        <v>1563</v>
      </c>
      <c r="X701" s="14" t="s">
        <v>1614</v>
      </c>
      <c r="Y701" s="13" t="s">
        <v>329</v>
      </c>
      <c r="Z701" s="14" t="s">
        <v>1615</v>
      </c>
      <c r="AA701" s="17">
        <v>18</v>
      </c>
      <c r="AB701" s="14" t="s">
        <v>2145</v>
      </c>
      <c r="AC701" s="17">
        <v>143820000</v>
      </c>
      <c r="AD701" s="14" t="s">
        <v>108</v>
      </c>
      <c r="AE701" s="17">
        <v>133166667</v>
      </c>
      <c r="AF701" s="14" t="s">
        <v>1971</v>
      </c>
      <c r="AG701" s="21" t="s">
        <v>172</v>
      </c>
      <c r="AH701" s="10">
        <v>67264951</v>
      </c>
      <c r="AI701" s="24" t="str">
        <f>VLOOKUP(Sales[[#This Row],[Store]],'Store lay bao  cao'!A:B,2,0)</f>
        <v>Lấy BC</v>
      </c>
      <c r="AJ701" s="24" t="str">
        <f>VLOOKUP(Sales[[#This Row],[Associate]],'Associate Status'!B:C,2,0)</f>
        <v>Active</v>
      </c>
    </row>
    <row r="702" spans="1:36" x14ac:dyDescent="0.25">
      <c r="A702" s="7">
        <v>2025</v>
      </c>
      <c r="B702" s="8">
        <v>7</v>
      </c>
      <c r="C702" s="8">
        <v>27</v>
      </c>
      <c r="D702" s="8" t="s">
        <v>60</v>
      </c>
      <c r="E702" s="8" t="s">
        <v>37</v>
      </c>
      <c r="F702" s="8" t="s">
        <v>60</v>
      </c>
      <c r="G702" s="9">
        <v>28928848</v>
      </c>
      <c r="H702" s="10">
        <v>30613275</v>
      </c>
      <c r="I702" s="11">
        <v>45839</v>
      </c>
      <c r="J702" s="12">
        <v>206896</v>
      </c>
      <c r="K702" s="13" t="s">
        <v>461</v>
      </c>
      <c r="L702" s="14" t="s">
        <v>58</v>
      </c>
      <c r="M702" s="11" t="s">
        <v>15</v>
      </c>
      <c r="N702" s="14" t="s">
        <v>11</v>
      </c>
      <c r="O702" s="15">
        <v>2886</v>
      </c>
      <c r="P702" s="12">
        <v>1</v>
      </c>
      <c r="Q702" s="13" t="s">
        <v>2094</v>
      </c>
      <c r="R702" s="16">
        <v>108377000</v>
      </c>
      <c r="S702" s="17">
        <v>100349074</v>
      </c>
      <c r="T702" s="12">
        <v>0</v>
      </c>
      <c r="U702" s="18">
        <v>0</v>
      </c>
      <c r="V702" s="19">
        <v>0</v>
      </c>
      <c r="W702" s="13" t="s">
        <v>636</v>
      </c>
      <c r="X702" s="14" t="s">
        <v>2325</v>
      </c>
      <c r="Y702" s="13" t="s">
        <v>2154</v>
      </c>
      <c r="Z702" s="14" t="s">
        <v>2326</v>
      </c>
      <c r="AA702" s="17">
        <v>12</v>
      </c>
      <c r="AB702" s="14" t="s">
        <v>1498</v>
      </c>
      <c r="AC702" s="17">
        <v>108377000</v>
      </c>
      <c r="AD702" s="14" t="s">
        <v>2327</v>
      </c>
      <c r="AE702" s="17">
        <v>100349074</v>
      </c>
      <c r="AF702" s="14" t="s">
        <v>1970</v>
      </c>
      <c r="AG702" s="20" t="s">
        <v>223</v>
      </c>
      <c r="AH702" s="10">
        <v>71420226</v>
      </c>
      <c r="AI702" s="24" t="str">
        <f>VLOOKUP(Sales[[#This Row],[Store]],'Store lay bao  cao'!A:B,2,0)</f>
        <v>Lấy BC</v>
      </c>
      <c r="AJ702" s="24" t="str">
        <f>VLOOKUP(Sales[[#This Row],[Associate]],'Associate Status'!B:C,2,0)</f>
        <v>Active</v>
      </c>
    </row>
    <row r="703" spans="1:36" x14ac:dyDescent="0.25">
      <c r="A703" s="7">
        <v>2025</v>
      </c>
      <c r="B703" s="8">
        <v>7</v>
      </c>
      <c r="C703" s="8">
        <v>27</v>
      </c>
      <c r="D703" s="8" t="s">
        <v>69</v>
      </c>
      <c r="E703" s="8" t="s">
        <v>43</v>
      </c>
      <c r="F703" s="8" t="s">
        <v>69</v>
      </c>
      <c r="G703" s="9">
        <v>27653278</v>
      </c>
      <c r="H703" s="10">
        <v>25806600.000000004</v>
      </c>
      <c r="I703" s="11">
        <v>45839</v>
      </c>
      <c r="J703" s="12">
        <v>217089</v>
      </c>
      <c r="K703" s="13" t="s">
        <v>461</v>
      </c>
      <c r="L703" s="14" t="s">
        <v>58</v>
      </c>
      <c r="M703" s="11" t="s">
        <v>15</v>
      </c>
      <c r="N703" s="14" t="s">
        <v>62</v>
      </c>
      <c r="O703" s="15">
        <v>2886</v>
      </c>
      <c r="P703" s="12">
        <v>1</v>
      </c>
      <c r="Q703" s="13" t="s">
        <v>2094</v>
      </c>
      <c r="R703" s="16">
        <v>90477000</v>
      </c>
      <c r="S703" s="17">
        <v>83775000</v>
      </c>
      <c r="T703" s="12">
        <v>0</v>
      </c>
      <c r="U703" s="18">
        <v>0</v>
      </c>
      <c r="V703" s="19">
        <v>0</v>
      </c>
      <c r="W703" s="13" t="s">
        <v>636</v>
      </c>
      <c r="X703" s="14" t="s">
        <v>2234</v>
      </c>
      <c r="Y703" s="13" t="s">
        <v>2154</v>
      </c>
      <c r="Z703" s="14" t="s">
        <v>2236</v>
      </c>
      <c r="AA703" s="17">
        <v>12</v>
      </c>
      <c r="AB703" s="14" t="s">
        <v>1337</v>
      </c>
      <c r="AC703" s="17">
        <v>90477000</v>
      </c>
      <c r="AD703" s="14" t="s">
        <v>2230</v>
      </c>
      <c r="AE703" s="17">
        <v>83775000</v>
      </c>
      <c r="AF703" s="14" t="s">
        <v>1970</v>
      </c>
      <c r="AG703" s="21" t="s">
        <v>223</v>
      </c>
      <c r="AH703" s="10">
        <v>56121722</v>
      </c>
      <c r="AI703" s="24" t="str">
        <f>VLOOKUP(Sales[[#This Row],[Store]],'Store lay bao  cao'!A:B,2,0)</f>
        <v>Lấy BC</v>
      </c>
      <c r="AJ703" s="24" t="str">
        <f>VLOOKUP(Sales[[#This Row],[Associate]],'Associate Status'!B:C,2,0)</f>
        <v>Active</v>
      </c>
    </row>
    <row r="704" spans="1:36" x14ac:dyDescent="0.25">
      <c r="A704" s="7">
        <v>2025</v>
      </c>
      <c r="B704" s="8">
        <v>7</v>
      </c>
      <c r="C704" s="8">
        <v>27</v>
      </c>
      <c r="D704" s="8" t="s">
        <v>60</v>
      </c>
      <c r="E704" s="8" t="s">
        <v>43</v>
      </c>
      <c r="F704" s="8" t="s">
        <v>60</v>
      </c>
      <c r="G704" s="9">
        <v>7962040</v>
      </c>
      <c r="H704" s="10">
        <v>7410000</v>
      </c>
      <c r="I704" s="11">
        <v>45840</v>
      </c>
      <c r="J704" s="12">
        <v>208238</v>
      </c>
      <c r="K704" s="13" t="s">
        <v>1967</v>
      </c>
      <c r="L704" s="14" t="s">
        <v>50</v>
      </c>
      <c r="M704" s="11" t="s">
        <v>28</v>
      </c>
      <c r="N704" s="14" t="s">
        <v>11</v>
      </c>
      <c r="O704" s="15">
        <v>2734</v>
      </c>
      <c r="P704" s="12">
        <v>1</v>
      </c>
      <c r="Q704" s="13" t="s">
        <v>2098</v>
      </c>
      <c r="R704" s="16">
        <v>23712000</v>
      </c>
      <c r="S704" s="17">
        <v>21955556</v>
      </c>
      <c r="T704" s="12">
        <v>0</v>
      </c>
      <c r="U704" s="18">
        <v>0</v>
      </c>
      <c r="V704" s="19">
        <v>0</v>
      </c>
      <c r="W704" s="13" t="s">
        <v>2158</v>
      </c>
      <c r="X704" s="14" t="s">
        <v>2329</v>
      </c>
      <c r="Y704" s="13" t="s">
        <v>2330</v>
      </c>
      <c r="Z704" s="14" t="s">
        <v>2331</v>
      </c>
      <c r="AA704" s="17">
        <v>15</v>
      </c>
      <c r="AB704" s="14" t="s">
        <v>2332</v>
      </c>
      <c r="AC704" s="17">
        <v>23712000</v>
      </c>
      <c r="AD704" s="14" t="s">
        <v>2099</v>
      </c>
      <c r="AE704" s="17">
        <v>21955556</v>
      </c>
      <c r="AF704" s="14" t="s">
        <v>1375</v>
      </c>
      <c r="AG704" s="20" t="s">
        <v>2080</v>
      </c>
      <c r="AH704" s="10">
        <v>13993516</v>
      </c>
      <c r="AI704" s="24" t="str">
        <f>VLOOKUP(Sales[[#This Row],[Store]],'Store lay bao  cao'!A:B,2,0)</f>
        <v>Lấy BC</v>
      </c>
      <c r="AJ704" s="24" t="e">
        <f>VLOOKUP(Sales[[#This Row],[Associate]],'Associate Status'!B:C,2,0)</f>
        <v>#N/A</v>
      </c>
    </row>
    <row r="705" spans="1:36" ht="26.25" x14ac:dyDescent="0.25">
      <c r="A705" s="7">
        <v>2025</v>
      </c>
      <c r="B705" s="8">
        <v>7</v>
      </c>
      <c r="C705" s="8">
        <v>27</v>
      </c>
      <c r="D705" s="8" t="s">
        <v>69</v>
      </c>
      <c r="E705" s="8" t="s">
        <v>34</v>
      </c>
      <c r="F705" s="8" t="s">
        <v>69</v>
      </c>
      <c r="G705" s="9">
        <v>2687070</v>
      </c>
      <c r="H705" s="10">
        <v>2108000</v>
      </c>
      <c r="I705" s="11">
        <v>45840</v>
      </c>
      <c r="J705" s="12">
        <v>217289</v>
      </c>
      <c r="K705" s="13" t="s">
        <v>1967</v>
      </c>
      <c r="L705" s="14" t="s">
        <v>50</v>
      </c>
      <c r="M705" s="11" t="s">
        <v>28</v>
      </c>
      <c r="N705" s="14" t="s">
        <v>62</v>
      </c>
      <c r="O705" s="15">
        <v>2734</v>
      </c>
      <c r="P705" s="12">
        <v>1</v>
      </c>
      <c r="Q705" s="13" t="s">
        <v>2098</v>
      </c>
      <c r="R705" s="16">
        <v>6746000</v>
      </c>
      <c r="S705" s="17">
        <v>6246296</v>
      </c>
      <c r="T705" s="12">
        <v>0</v>
      </c>
      <c r="U705" s="18">
        <v>0</v>
      </c>
      <c r="V705" s="19">
        <v>0</v>
      </c>
      <c r="W705" s="13" t="s">
        <v>2158</v>
      </c>
      <c r="X705" s="23" t="s">
        <v>2298</v>
      </c>
      <c r="Y705" s="13" t="s">
        <v>2330</v>
      </c>
      <c r="Z705" s="14" t="s">
        <v>2299</v>
      </c>
      <c r="AA705" s="17">
        <v>15</v>
      </c>
      <c r="AB705" s="14" t="s">
        <v>220</v>
      </c>
      <c r="AC705" s="17">
        <v>6746000</v>
      </c>
      <c r="AD705" s="14" t="s">
        <v>1969</v>
      </c>
      <c r="AE705" s="17">
        <v>6246296</v>
      </c>
      <c r="AF705" s="14" t="s">
        <v>1375</v>
      </c>
      <c r="AG705" s="21" t="s">
        <v>2080</v>
      </c>
      <c r="AH705" s="10">
        <v>3559226</v>
      </c>
      <c r="AI705" s="24" t="str">
        <f>VLOOKUP(Sales[[#This Row],[Store]],'Store lay bao  cao'!A:B,2,0)</f>
        <v>Lấy BC</v>
      </c>
      <c r="AJ705" s="24" t="e">
        <f>VLOOKUP(Sales[[#This Row],[Associate]],'Associate Status'!B:C,2,0)</f>
        <v>#N/A</v>
      </c>
    </row>
    <row r="706" spans="1:36" x14ac:dyDescent="0.25">
      <c r="A706" s="7">
        <v>2025</v>
      </c>
      <c r="B706" s="8">
        <v>7</v>
      </c>
      <c r="C706" s="8">
        <v>27</v>
      </c>
      <c r="D706" s="8" t="s">
        <v>60</v>
      </c>
      <c r="E706" s="8" t="s">
        <v>34</v>
      </c>
      <c r="F706" s="8" t="s">
        <v>60</v>
      </c>
      <c r="G706" s="9">
        <v>229557979</v>
      </c>
      <c r="H706" s="10">
        <v>215730000</v>
      </c>
      <c r="I706" s="11">
        <v>45841</v>
      </c>
      <c r="J706" s="12">
        <v>203150</v>
      </c>
      <c r="K706" s="13" t="s">
        <v>462</v>
      </c>
      <c r="L706" s="14" t="s">
        <v>44</v>
      </c>
      <c r="M706" s="11" t="s">
        <v>15</v>
      </c>
      <c r="N706" s="14" t="s">
        <v>62</v>
      </c>
      <c r="O706" s="15">
        <v>2889</v>
      </c>
      <c r="P706" s="12">
        <v>1</v>
      </c>
      <c r="Q706" s="13" t="s">
        <v>102</v>
      </c>
      <c r="R706" s="16">
        <v>539550600</v>
      </c>
      <c r="S706" s="17">
        <v>499583889</v>
      </c>
      <c r="T706" s="12">
        <v>5</v>
      </c>
      <c r="U706" s="18">
        <v>26293889</v>
      </c>
      <c r="V706" s="19">
        <v>28397400</v>
      </c>
      <c r="W706" s="13" t="s">
        <v>1563</v>
      </c>
      <c r="X706" s="14" t="s">
        <v>2333</v>
      </c>
      <c r="Y706" s="13" t="s">
        <v>2246</v>
      </c>
      <c r="Z706" s="14" t="s">
        <v>2334</v>
      </c>
      <c r="AA706" s="17">
        <v>10</v>
      </c>
      <c r="AB706" s="14" t="s">
        <v>2257</v>
      </c>
      <c r="AC706" s="17">
        <v>567948000</v>
      </c>
      <c r="AD706" s="14" t="s">
        <v>108</v>
      </c>
      <c r="AE706" s="17">
        <v>525877778</v>
      </c>
      <c r="AF706" s="14" t="s">
        <v>106</v>
      </c>
      <c r="AG706" s="20" t="s">
        <v>313</v>
      </c>
      <c r="AH706" s="10">
        <v>270025910</v>
      </c>
      <c r="AI706" s="24" t="str">
        <f>VLOOKUP(Sales[[#This Row],[Store]],'Store lay bao  cao'!A:B,2,0)</f>
        <v>Lấy BC</v>
      </c>
      <c r="AJ706" s="24" t="str">
        <f>VLOOKUP(Sales[[#This Row],[Associate]],'Associate Status'!B:C,2,0)</f>
        <v>Active</v>
      </c>
    </row>
    <row r="707" spans="1:36" x14ac:dyDescent="0.25">
      <c r="A707" s="7">
        <v>2025</v>
      </c>
      <c r="B707" s="8">
        <v>7</v>
      </c>
      <c r="C707" s="8">
        <v>27</v>
      </c>
      <c r="D707" s="8" t="s">
        <v>60</v>
      </c>
      <c r="E707" s="8" t="s">
        <v>43</v>
      </c>
      <c r="F707" s="8" t="s">
        <v>60</v>
      </c>
      <c r="G707" s="9">
        <v>217412701</v>
      </c>
      <c r="H707" s="10">
        <v>181305000</v>
      </c>
      <c r="I707" s="11">
        <v>45841</v>
      </c>
      <c r="J707" s="12">
        <v>203153</v>
      </c>
      <c r="K707" s="13" t="s">
        <v>462</v>
      </c>
      <c r="L707" s="14" t="s">
        <v>44</v>
      </c>
      <c r="M707" s="11" t="s">
        <v>15</v>
      </c>
      <c r="N707" s="14" t="s">
        <v>62</v>
      </c>
      <c r="O707" s="15">
        <v>2889</v>
      </c>
      <c r="P707" s="12">
        <v>1</v>
      </c>
      <c r="Q707" s="13" t="s">
        <v>102</v>
      </c>
      <c r="R707" s="16">
        <v>510851100</v>
      </c>
      <c r="S707" s="17">
        <v>473010278</v>
      </c>
      <c r="T707" s="12">
        <v>5</v>
      </c>
      <c r="U707" s="18">
        <v>24895278</v>
      </c>
      <c r="V707" s="19">
        <v>26886900</v>
      </c>
      <c r="W707" s="13" t="s">
        <v>1563</v>
      </c>
      <c r="X707" s="14" t="s">
        <v>2335</v>
      </c>
      <c r="Y707" s="13" t="s">
        <v>2246</v>
      </c>
      <c r="Z707" s="14" t="s">
        <v>2336</v>
      </c>
      <c r="AA707" s="17">
        <v>10</v>
      </c>
      <c r="AB707" s="14" t="s">
        <v>2257</v>
      </c>
      <c r="AC707" s="17">
        <v>537738000</v>
      </c>
      <c r="AD707" s="14" t="s">
        <v>2337</v>
      </c>
      <c r="AE707" s="17">
        <v>497905556</v>
      </c>
      <c r="AF707" s="14" t="s">
        <v>106</v>
      </c>
      <c r="AG707" s="21" t="s">
        <v>313</v>
      </c>
      <c r="AH707" s="10">
        <v>255597577</v>
      </c>
      <c r="AI707" s="24" t="str">
        <f>VLOOKUP(Sales[[#This Row],[Store]],'Store lay bao  cao'!A:B,2,0)</f>
        <v>Lấy BC</v>
      </c>
      <c r="AJ707" s="24" t="str">
        <f>VLOOKUP(Sales[[#This Row],[Associate]],'Associate Status'!B:C,2,0)</f>
        <v>Active</v>
      </c>
    </row>
    <row r="708" spans="1:36" x14ac:dyDescent="0.25">
      <c r="A708" s="7">
        <v>2025</v>
      </c>
      <c r="B708" s="8">
        <v>7</v>
      </c>
      <c r="C708" s="8">
        <v>27</v>
      </c>
      <c r="D708" s="8" t="s">
        <v>66</v>
      </c>
      <c r="E708" s="8" t="s">
        <v>34</v>
      </c>
      <c r="F708" s="8" t="s">
        <v>66</v>
      </c>
      <c r="G708" s="9">
        <v>115808928</v>
      </c>
      <c r="H708" s="10">
        <v>111111750</v>
      </c>
      <c r="I708" s="11">
        <v>45841</v>
      </c>
      <c r="J708" s="12">
        <v>211218</v>
      </c>
      <c r="K708" s="13" t="s">
        <v>1272</v>
      </c>
      <c r="L708" s="14" t="s">
        <v>65</v>
      </c>
      <c r="M708" s="11" t="s">
        <v>15</v>
      </c>
      <c r="N708" s="14" t="s">
        <v>62</v>
      </c>
      <c r="O708" s="15">
        <v>2890</v>
      </c>
      <c r="P708" s="12">
        <v>1</v>
      </c>
      <c r="Q708" s="13" t="s">
        <v>2088</v>
      </c>
      <c r="R708" s="16">
        <v>333668500</v>
      </c>
      <c r="S708" s="17">
        <v>308952315</v>
      </c>
      <c r="T708" s="12">
        <v>5</v>
      </c>
      <c r="U708" s="18">
        <v>16260648</v>
      </c>
      <c r="V708" s="19">
        <v>17561500</v>
      </c>
      <c r="W708" s="13" t="s">
        <v>1563</v>
      </c>
      <c r="X708" s="14" t="s">
        <v>1883</v>
      </c>
      <c r="Y708" s="13" t="s">
        <v>917</v>
      </c>
      <c r="Z708" s="14" t="s">
        <v>2338</v>
      </c>
      <c r="AA708" s="17">
        <v>17</v>
      </c>
      <c r="AB708" s="14" t="s">
        <v>2339</v>
      </c>
      <c r="AC708" s="17">
        <v>351230000</v>
      </c>
      <c r="AD708" s="14" t="s">
        <v>2097</v>
      </c>
      <c r="AE708" s="17">
        <v>325212963</v>
      </c>
      <c r="AF708" s="14" t="s">
        <v>1973</v>
      </c>
      <c r="AG708" s="20" t="s">
        <v>918</v>
      </c>
      <c r="AH708" s="10">
        <v>193143387</v>
      </c>
      <c r="AI708" s="24" t="str">
        <f>VLOOKUP(Sales[[#This Row],[Store]],'Store lay bao  cao'!A:B,2,0)</f>
        <v>Lấy BC</v>
      </c>
      <c r="AJ708" s="24" t="str">
        <f>VLOOKUP(Sales[[#This Row],[Associate]],'Associate Status'!B:C,2,0)</f>
        <v>Active</v>
      </c>
    </row>
    <row r="709" spans="1:36" x14ac:dyDescent="0.25">
      <c r="A709" s="7">
        <v>2025</v>
      </c>
      <c r="B709" s="8">
        <v>7</v>
      </c>
      <c r="C709" s="8">
        <v>27</v>
      </c>
      <c r="D709" s="8" t="s">
        <v>52</v>
      </c>
      <c r="E709" s="8" t="s">
        <v>53</v>
      </c>
      <c r="F709" s="8" t="s">
        <v>52</v>
      </c>
      <c r="G709" s="9">
        <v>-10431781</v>
      </c>
      <c r="H709" s="10">
        <v>-9396000</v>
      </c>
      <c r="I709" s="11">
        <v>45842</v>
      </c>
      <c r="J709" s="12">
        <v>182198</v>
      </c>
      <c r="K709" s="13" t="s">
        <v>550</v>
      </c>
      <c r="L709" s="14" t="s">
        <v>50</v>
      </c>
      <c r="M709" s="11" t="s">
        <v>17</v>
      </c>
      <c r="N709" s="14" t="s">
        <v>11</v>
      </c>
      <c r="O709" s="15">
        <v>1904</v>
      </c>
      <c r="P709" s="12">
        <v>-1</v>
      </c>
      <c r="Q709" s="13" t="s">
        <v>2088</v>
      </c>
      <c r="R709" s="16">
        <v>-30068000</v>
      </c>
      <c r="S709" s="17">
        <v>-27840741</v>
      </c>
      <c r="T709" s="12">
        <v>0</v>
      </c>
      <c r="U709" s="18">
        <v>0</v>
      </c>
      <c r="V709" s="19">
        <v>0</v>
      </c>
      <c r="W709" s="13" t="s">
        <v>635</v>
      </c>
      <c r="X709" s="14" t="s">
        <v>2317</v>
      </c>
      <c r="Y709" s="13" t="s">
        <v>2294</v>
      </c>
      <c r="Z709" s="14" t="s">
        <v>2318</v>
      </c>
      <c r="AA709" s="17">
        <v>16</v>
      </c>
      <c r="AB709" s="14" t="s">
        <v>2319</v>
      </c>
      <c r="AC709" s="17">
        <v>-30068000</v>
      </c>
      <c r="AD709" s="14" t="s">
        <v>108</v>
      </c>
      <c r="AE709" s="17">
        <v>-27840741</v>
      </c>
      <c r="AF709" s="14" t="s">
        <v>2089</v>
      </c>
      <c r="AG709" s="21" t="s">
        <v>2295</v>
      </c>
      <c r="AH709" s="10">
        <v>-17408960</v>
      </c>
      <c r="AI709" s="24" t="str">
        <f>VLOOKUP(Sales[[#This Row],[Store]],'Store lay bao  cao'!A:B,2,0)</f>
        <v>Lấy BC</v>
      </c>
      <c r="AJ709" s="24" t="str">
        <f>VLOOKUP(Sales[[#This Row],[Associate]],'Associate Status'!B:C,2,0)</f>
        <v>Active</v>
      </c>
    </row>
    <row r="710" spans="1:36" x14ac:dyDescent="0.25">
      <c r="A710" s="7">
        <v>2025</v>
      </c>
      <c r="B710" s="8">
        <v>7</v>
      </c>
      <c r="C710" s="8">
        <v>27</v>
      </c>
      <c r="D710" s="8" t="s">
        <v>52</v>
      </c>
      <c r="E710" s="8" t="s">
        <v>53</v>
      </c>
      <c r="F710" s="8" t="s">
        <v>52</v>
      </c>
      <c r="G710" s="9">
        <v>-2264882.5555555555</v>
      </c>
      <c r="H710" s="10">
        <v>-2295000</v>
      </c>
      <c r="I710" s="11">
        <v>45842</v>
      </c>
      <c r="J710" s="12">
        <v>182195</v>
      </c>
      <c r="K710" s="13" t="s">
        <v>549</v>
      </c>
      <c r="L710" s="14" t="s">
        <v>50</v>
      </c>
      <c r="M710" s="11" t="s">
        <v>17</v>
      </c>
      <c r="N710" s="14" t="s">
        <v>11</v>
      </c>
      <c r="O710" s="15">
        <v>1905</v>
      </c>
      <c r="P710" s="12">
        <v>-1</v>
      </c>
      <c r="Q710" s="13" t="s">
        <v>2088</v>
      </c>
      <c r="R710" s="16">
        <v>-7344000</v>
      </c>
      <c r="S710" s="17">
        <v>-6800000</v>
      </c>
      <c r="T710" s="12">
        <v>0</v>
      </c>
      <c r="U710" s="18">
        <v>0</v>
      </c>
      <c r="V710" s="19">
        <v>0</v>
      </c>
      <c r="W710" s="13" t="s">
        <v>635</v>
      </c>
      <c r="X710" s="14" t="s">
        <v>1595</v>
      </c>
      <c r="Y710" s="13" t="s">
        <v>2294</v>
      </c>
      <c r="Z710" s="14" t="s">
        <v>1596</v>
      </c>
      <c r="AA710" s="17">
        <v>16</v>
      </c>
      <c r="AB710" s="14" t="s">
        <v>2321</v>
      </c>
      <c r="AC710" s="17">
        <v>-7344000</v>
      </c>
      <c r="AD710" s="14" t="s">
        <v>108</v>
      </c>
      <c r="AE710" s="17">
        <v>-6800000</v>
      </c>
      <c r="AF710" s="14" t="s">
        <v>2089</v>
      </c>
      <c r="AG710" s="20" t="s">
        <v>2295</v>
      </c>
      <c r="AH710" s="10">
        <v>-4535117.444444444</v>
      </c>
      <c r="AI710" s="24" t="str">
        <f>VLOOKUP(Sales[[#This Row],[Store]],'Store lay bao  cao'!A:B,2,0)</f>
        <v>Lấy BC</v>
      </c>
      <c r="AJ710" s="24" t="str">
        <f>VLOOKUP(Sales[[#This Row],[Associate]],'Associate Status'!B:C,2,0)</f>
        <v>Active</v>
      </c>
    </row>
    <row r="711" spans="1:36" x14ac:dyDescent="0.25">
      <c r="A711" s="7">
        <v>2025</v>
      </c>
      <c r="B711" s="8">
        <v>7</v>
      </c>
      <c r="C711" s="8">
        <v>27</v>
      </c>
      <c r="D711" s="8" t="s">
        <v>29</v>
      </c>
      <c r="E711" s="8" t="s">
        <v>12</v>
      </c>
      <c r="F711" s="8" t="s">
        <v>29</v>
      </c>
      <c r="G711" s="9">
        <v>5710500</v>
      </c>
      <c r="H711" s="10">
        <v>5710500</v>
      </c>
      <c r="I711" s="11">
        <v>45842</v>
      </c>
      <c r="J711" s="12">
        <v>90553</v>
      </c>
      <c r="K711" s="13" t="s">
        <v>1273</v>
      </c>
      <c r="L711" s="14" t="s">
        <v>19</v>
      </c>
      <c r="M711" s="11" t="s">
        <v>15</v>
      </c>
      <c r="N711" s="14" t="s">
        <v>11</v>
      </c>
      <c r="O711" s="15">
        <v>2895</v>
      </c>
      <c r="P711" s="12">
        <v>1</v>
      </c>
      <c r="Q711" s="13" t="s">
        <v>2098</v>
      </c>
      <c r="R711" s="16">
        <v>19035000</v>
      </c>
      <c r="S711" s="17">
        <v>17625000</v>
      </c>
      <c r="T711" s="12">
        <v>0</v>
      </c>
      <c r="U711" s="18">
        <v>0</v>
      </c>
      <c r="V711" s="19">
        <v>0</v>
      </c>
      <c r="W711" s="13" t="s">
        <v>636</v>
      </c>
      <c r="X711" s="14" t="s">
        <v>2341</v>
      </c>
      <c r="Y711" s="13" t="s">
        <v>1296</v>
      </c>
      <c r="Z711" s="14" t="s">
        <v>2342</v>
      </c>
      <c r="AA711" s="17">
        <v>19</v>
      </c>
      <c r="AB711" s="14" t="s">
        <v>2343</v>
      </c>
      <c r="AC711" s="17">
        <v>19035000</v>
      </c>
      <c r="AD711" s="14" t="s">
        <v>2099</v>
      </c>
      <c r="AE711" s="17">
        <v>17625000</v>
      </c>
      <c r="AF711" s="14" t="s">
        <v>278</v>
      </c>
      <c r="AG711" s="21" t="s">
        <v>1297</v>
      </c>
      <c r="AH711" s="10">
        <v>11914500</v>
      </c>
      <c r="AI711" s="24" t="str">
        <f>VLOOKUP(Sales[[#This Row],[Store]],'Store lay bao  cao'!A:B,2,0)</f>
        <v>Lấy BC</v>
      </c>
      <c r="AJ711" s="24" t="str">
        <f>VLOOKUP(Sales[[#This Row],[Associate]],'Associate Status'!B:C,2,0)</f>
        <v>Active</v>
      </c>
    </row>
    <row r="712" spans="1:36" x14ac:dyDescent="0.25">
      <c r="A712" s="7">
        <v>2025</v>
      </c>
      <c r="B712" s="8">
        <v>7</v>
      </c>
      <c r="C712" s="8">
        <v>27</v>
      </c>
      <c r="D712" s="8" t="s">
        <v>20</v>
      </c>
      <c r="E712" s="8" t="s">
        <v>12</v>
      </c>
      <c r="F712" s="8" t="s">
        <v>20</v>
      </c>
      <c r="G712" s="9">
        <v>8514000</v>
      </c>
      <c r="H712" s="10">
        <v>8514000</v>
      </c>
      <c r="I712" s="11">
        <v>45843</v>
      </c>
      <c r="J712" s="12">
        <v>37082</v>
      </c>
      <c r="K712" s="13" t="s">
        <v>552</v>
      </c>
      <c r="L712" s="14" t="s">
        <v>19</v>
      </c>
      <c r="M712" s="11" t="s">
        <v>17</v>
      </c>
      <c r="N712" s="14" t="s">
        <v>62</v>
      </c>
      <c r="O712" s="15">
        <v>1911</v>
      </c>
      <c r="P712" s="12">
        <v>1</v>
      </c>
      <c r="Q712" s="13" t="s">
        <v>2098</v>
      </c>
      <c r="R712" s="16">
        <v>31843000</v>
      </c>
      <c r="S712" s="17">
        <v>29484259</v>
      </c>
      <c r="T712" s="12">
        <v>0</v>
      </c>
      <c r="U712" s="18">
        <v>0</v>
      </c>
      <c r="V712" s="19">
        <v>0</v>
      </c>
      <c r="W712" s="13" t="s">
        <v>2157</v>
      </c>
      <c r="X712" s="14" t="s">
        <v>2345</v>
      </c>
      <c r="Y712" s="13" t="s">
        <v>2330</v>
      </c>
      <c r="Z712" s="14" t="s">
        <v>2346</v>
      </c>
      <c r="AA712" s="17">
        <v>12</v>
      </c>
      <c r="AB712" s="14" t="s">
        <v>2347</v>
      </c>
      <c r="AC712" s="17">
        <v>31843000</v>
      </c>
      <c r="AD712" s="14" t="s">
        <v>2100</v>
      </c>
      <c r="AE712" s="17">
        <v>29484259</v>
      </c>
      <c r="AF712" s="14" t="s">
        <v>111</v>
      </c>
      <c r="AG712" s="20" t="s">
        <v>2080</v>
      </c>
      <c r="AH712" s="10">
        <v>20970259</v>
      </c>
      <c r="AI712" s="24" t="str">
        <f>VLOOKUP(Sales[[#This Row],[Store]],'Store lay bao  cao'!A:B,2,0)</f>
        <v>Lấy BC</v>
      </c>
      <c r="AJ712" s="24" t="str">
        <f>VLOOKUP(Sales[[#This Row],[Associate]],'Associate Status'!B:C,2,0)</f>
        <v>Retired</v>
      </c>
    </row>
    <row r="713" spans="1:36" x14ac:dyDescent="0.25">
      <c r="A713" s="7">
        <v>2025</v>
      </c>
      <c r="B713" s="8">
        <v>7</v>
      </c>
      <c r="C713" s="8">
        <v>27</v>
      </c>
      <c r="D713" s="8" t="s">
        <v>69</v>
      </c>
      <c r="E713" s="8" t="s">
        <v>34</v>
      </c>
      <c r="F713" s="8" t="s">
        <v>69</v>
      </c>
      <c r="G713" s="9">
        <v>2687070</v>
      </c>
      <c r="H713" s="10">
        <v>2108000</v>
      </c>
      <c r="I713" s="11">
        <v>45843</v>
      </c>
      <c r="J713" s="12">
        <v>217294</v>
      </c>
      <c r="K713" s="13" t="s">
        <v>552</v>
      </c>
      <c r="L713" s="14" t="s">
        <v>50</v>
      </c>
      <c r="M713" s="11" t="s">
        <v>17</v>
      </c>
      <c r="N713" s="14" t="s">
        <v>62</v>
      </c>
      <c r="O713" s="15">
        <v>1911</v>
      </c>
      <c r="P713" s="12">
        <v>1</v>
      </c>
      <c r="Q713" s="13" t="s">
        <v>2098</v>
      </c>
      <c r="R713" s="16">
        <v>6746000</v>
      </c>
      <c r="S713" s="17">
        <v>6246296</v>
      </c>
      <c r="T713" s="12">
        <v>0</v>
      </c>
      <c r="U713" s="18">
        <v>0</v>
      </c>
      <c r="V713" s="19">
        <v>0</v>
      </c>
      <c r="W713" s="13" t="s">
        <v>2157</v>
      </c>
      <c r="X713" s="14" t="s">
        <v>2296</v>
      </c>
      <c r="Y713" s="13" t="s">
        <v>2330</v>
      </c>
      <c r="Z713" s="14" t="s">
        <v>2297</v>
      </c>
      <c r="AA713" s="17">
        <v>12</v>
      </c>
      <c r="AB713" s="14" t="s">
        <v>220</v>
      </c>
      <c r="AC713" s="17">
        <v>6746000</v>
      </c>
      <c r="AD713" s="14" t="s">
        <v>1969</v>
      </c>
      <c r="AE713" s="17">
        <v>6246296</v>
      </c>
      <c r="AF713" s="14" t="s">
        <v>111</v>
      </c>
      <c r="AG713" s="21" t="s">
        <v>2080</v>
      </c>
      <c r="AH713" s="10">
        <v>3559226</v>
      </c>
      <c r="AI713" s="24" t="str">
        <f>VLOOKUP(Sales[[#This Row],[Store]],'Store lay bao  cao'!A:B,2,0)</f>
        <v>Lấy BC</v>
      </c>
      <c r="AJ713" s="24" t="str">
        <f>VLOOKUP(Sales[[#This Row],[Associate]],'Associate Status'!B:C,2,0)</f>
        <v>Retired</v>
      </c>
    </row>
    <row r="714" spans="1:36" x14ac:dyDescent="0.25">
      <c r="A714" s="7">
        <v>2025</v>
      </c>
      <c r="B714" s="8">
        <v>7</v>
      </c>
      <c r="C714" s="8">
        <v>27</v>
      </c>
      <c r="D714" s="8" t="s">
        <v>60</v>
      </c>
      <c r="E714" s="8" t="s">
        <v>37</v>
      </c>
      <c r="F714" s="8" t="s">
        <v>60</v>
      </c>
      <c r="G714" s="9">
        <v>7962039</v>
      </c>
      <c r="H714" s="10">
        <v>7410000</v>
      </c>
      <c r="I714" s="11">
        <v>45843</v>
      </c>
      <c r="J714" s="12">
        <v>208287</v>
      </c>
      <c r="K714" s="13" t="s">
        <v>552</v>
      </c>
      <c r="L714" s="14" t="s">
        <v>50</v>
      </c>
      <c r="M714" s="11" t="s">
        <v>17</v>
      </c>
      <c r="N714" s="14" t="s">
        <v>11</v>
      </c>
      <c r="O714" s="15">
        <v>1911</v>
      </c>
      <c r="P714" s="12">
        <v>1</v>
      </c>
      <c r="Q714" s="13" t="s">
        <v>2098</v>
      </c>
      <c r="R714" s="16">
        <v>23712000</v>
      </c>
      <c r="S714" s="17">
        <v>21955556</v>
      </c>
      <c r="T714" s="12">
        <v>0</v>
      </c>
      <c r="U714" s="18">
        <v>0</v>
      </c>
      <c r="V714" s="19">
        <v>0</v>
      </c>
      <c r="W714" s="13" t="s">
        <v>2157</v>
      </c>
      <c r="X714" s="14" t="s">
        <v>2348</v>
      </c>
      <c r="Y714" s="13" t="s">
        <v>2330</v>
      </c>
      <c r="Z714" s="14" t="s">
        <v>2349</v>
      </c>
      <c r="AA714" s="17">
        <v>12</v>
      </c>
      <c r="AB714" s="14" t="s">
        <v>2350</v>
      </c>
      <c r="AC714" s="17">
        <v>23712000</v>
      </c>
      <c r="AD714" s="14" t="s">
        <v>108</v>
      </c>
      <c r="AE714" s="17">
        <v>21955556</v>
      </c>
      <c r="AF714" s="14" t="s">
        <v>111</v>
      </c>
      <c r="AG714" s="20" t="s">
        <v>2080</v>
      </c>
      <c r="AH714" s="10">
        <v>13993517</v>
      </c>
      <c r="AI714" s="24" t="str">
        <f>VLOOKUP(Sales[[#This Row],[Store]],'Store lay bao  cao'!A:B,2,0)</f>
        <v>Lấy BC</v>
      </c>
      <c r="AJ714" s="24" t="str">
        <f>VLOOKUP(Sales[[#This Row],[Associate]],'Associate Status'!B:C,2,0)</f>
        <v>Retired</v>
      </c>
    </row>
    <row r="715" spans="1:36" ht="77.25" x14ac:dyDescent="0.25">
      <c r="A715" s="7">
        <v>2025</v>
      </c>
      <c r="B715" s="8">
        <v>7</v>
      </c>
      <c r="C715" s="8">
        <v>27</v>
      </c>
      <c r="D715" s="8" t="s">
        <v>60</v>
      </c>
      <c r="E715" s="8" t="s">
        <v>43</v>
      </c>
      <c r="F715" s="8" t="s">
        <v>60</v>
      </c>
      <c r="G715" s="9">
        <v>7456689</v>
      </c>
      <c r="H715" s="10">
        <v>5571750</v>
      </c>
      <c r="I715" s="11">
        <v>45843</v>
      </c>
      <c r="J715" s="12">
        <v>202802</v>
      </c>
      <c r="K715" s="13" t="s">
        <v>552</v>
      </c>
      <c r="L715" s="14" t="s">
        <v>19</v>
      </c>
      <c r="M715" s="11" t="s">
        <v>17</v>
      </c>
      <c r="N715" s="14" t="s">
        <v>62</v>
      </c>
      <c r="O715" s="15">
        <v>1911</v>
      </c>
      <c r="P715" s="12">
        <v>1</v>
      </c>
      <c r="Q715" s="13" t="s">
        <v>2098</v>
      </c>
      <c r="R715" s="16">
        <v>18464000</v>
      </c>
      <c r="S715" s="17">
        <v>17096296</v>
      </c>
      <c r="T715" s="12">
        <v>0</v>
      </c>
      <c r="U715" s="18">
        <v>0</v>
      </c>
      <c r="V715" s="19">
        <v>0</v>
      </c>
      <c r="W715" s="13" t="s">
        <v>2157</v>
      </c>
      <c r="X715" s="23" t="s">
        <v>2351</v>
      </c>
      <c r="Y715" s="13" t="s">
        <v>2330</v>
      </c>
      <c r="Z715" s="14" t="s">
        <v>2352</v>
      </c>
      <c r="AA715" s="17">
        <v>12</v>
      </c>
      <c r="AB715" s="14" t="s">
        <v>2109</v>
      </c>
      <c r="AC715" s="17">
        <v>18464000</v>
      </c>
      <c r="AD715" s="14" t="s">
        <v>2141</v>
      </c>
      <c r="AE715" s="17">
        <v>17096296</v>
      </c>
      <c r="AF715" s="14" t="s">
        <v>111</v>
      </c>
      <c r="AG715" s="21" t="s">
        <v>2080</v>
      </c>
      <c r="AH715" s="10">
        <v>9639607</v>
      </c>
      <c r="AI715" s="24" t="str">
        <f>VLOOKUP(Sales[[#This Row],[Store]],'Store lay bao  cao'!A:B,2,0)</f>
        <v>Lấy BC</v>
      </c>
      <c r="AJ715" s="24" t="str">
        <f>VLOOKUP(Sales[[#This Row],[Associate]],'Associate Status'!B:C,2,0)</f>
        <v>Retired</v>
      </c>
    </row>
    <row r="716" spans="1:36" x14ac:dyDescent="0.25">
      <c r="A716" s="7">
        <v>2025</v>
      </c>
      <c r="B716" s="8">
        <v>7</v>
      </c>
      <c r="C716" s="8">
        <v>27</v>
      </c>
      <c r="D716" s="8" t="s">
        <v>60</v>
      </c>
      <c r="E716" s="8" t="s">
        <v>43</v>
      </c>
      <c r="F716" s="8" t="s">
        <v>60</v>
      </c>
      <c r="G716" s="9">
        <v>7651212</v>
      </c>
      <c r="H716" s="10">
        <v>5717100</v>
      </c>
      <c r="I716" s="11">
        <v>45843</v>
      </c>
      <c r="J716" s="12">
        <v>202750</v>
      </c>
      <c r="K716" s="13" t="s">
        <v>552</v>
      </c>
      <c r="L716" s="14" t="s">
        <v>19</v>
      </c>
      <c r="M716" s="11" t="s">
        <v>17</v>
      </c>
      <c r="N716" s="14" t="s">
        <v>62</v>
      </c>
      <c r="O716" s="15">
        <v>1911</v>
      </c>
      <c r="P716" s="12">
        <v>1</v>
      </c>
      <c r="Q716" s="13" t="s">
        <v>2098</v>
      </c>
      <c r="R716" s="16">
        <v>18945000</v>
      </c>
      <c r="S716" s="17">
        <v>17541667</v>
      </c>
      <c r="T716" s="12">
        <v>0</v>
      </c>
      <c r="U716" s="18">
        <v>0</v>
      </c>
      <c r="V716" s="19">
        <v>0</v>
      </c>
      <c r="W716" s="13" t="s">
        <v>2157</v>
      </c>
      <c r="X716" s="14" t="s">
        <v>2353</v>
      </c>
      <c r="Y716" s="13" t="s">
        <v>2330</v>
      </c>
      <c r="Z716" s="14" t="s">
        <v>2354</v>
      </c>
      <c r="AA716" s="17">
        <v>12</v>
      </c>
      <c r="AB716" s="14" t="s">
        <v>2355</v>
      </c>
      <c r="AC716" s="17">
        <v>18945000</v>
      </c>
      <c r="AD716" s="14" t="s">
        <v>2141</v>
      </c>
      <c r="AE716" s="17">
        <v>17541667</v>
      </c>
      <c r="AF716" s="14" t="s">
        <v>111</v>
      </c>
      <c r="AG716" s="20" t="s">
        <v>2080</v>
      </c>
      <c r="AH716" s="10">
        <v>9890455</v>
      </c>
      <c r="AI716" s="24" t="str">
        <f>VLOOKUP(Sales[[#This Row],[Store]],'Store lay bao  cao'!A:B,2,0)</f>
        <v>Lấy BC</v>
      </c>
      <c r="AJ716" s="24" t="str">
        <f>VLOOKUP(Sales[[#This Row],[Associate]],'Associate Status'!B:C,2,0)</f>
        <v>Retired</v>
      </c>
    </row>
    <row r="717" spans="1:36" x14ac:dyDescent="0.25">
      <c r="A717" s="7">
        <v>2025</v>
      </c>
      <c r="B717" s="8">
        <v>7</v>
      </c>
      <c r="C717" s="8">
        <v>27</v>
      </c>
      <c r="D717" s="8" t="s">
        <v>52</v>
      </c>
      <c r="E717" s="8" t="s">
        <v>43</v>
      </c>
      <c r="F717" s="8" t="s">
        <v>52</v>
      </c>
      <c r="G717" s="9">
        <v>8416330</v>
      </c>
      <c r="H717" s="10">
        <v>7120800</v>
      </c>
      <c r="I717" s="11">
        <v>45843</v>
      </c>
      <c r="J717" s="12">
        <v>186444</v>
      </c>
      <c r="K717" s="13" t="s">
        <v>552</v>
      </c>
      <c r="L717" s="14" t="s">
        <v>19</v>
      </c>
      <c r="M717" s="11" t="s">
        <v>17</v>
      </c>
      <c r="N717" s="14" t="s">
        <v>11</v>
      </c>
      <c r="O717" s="15">
        <v>1911</v>
      </c>
      <c r="P717" s="12">
        <v>1</v>
      </c>
      <c r="Q717" s="13" t="s">
        <v>2098</v>
      </c>
      <c r="R717" s="16">
        <v>23143000</v>
      </c>
      <c r="S717" s="17">
        <v>21428704</v>
      </c>
      <c r="T717" s="12">
        <v>0</v>
      </c>
      <c r="U717" s="18">
        <v>0</v>
      </c>
      <c r="V717" s="19">
        <v>0</v>
      </c>
      <c r="W717" s="13" t="s">
        <v>2157</v>
      </c>
      <c r="X717" s="14" t="s">
        <v>2356</v>
      </c>
      <c r="Y717" s="13" t="s">
        <v>2330</v>
      </c>
      <c r="Z717" s="14" t="s">
        <v>2357</v>
      </c>
      <c r="AA717" s="17">
        <v>12</v>
      </c>
      <c r="AB717" s="14" t="s">
        <v>2358</v>
      </c>
      <c r="AC717" s="17">
        <v>23143000</v>
      </c>
      <c r="AD717" s="14" t="s">
        <v>1262</v>
      </c>
      <c r="AE717" s="17">
        <v>21428704</v>
      </c>
      <c r="AF717" s="14" t="s">
        <v>111</v>
      </c>
      <c r="AG717" s="21" t="s">
        <v>2080</v>
      </c>
      <c r="AH717" s="10">
        <v>13012374</v>
      </c>
      <c r="AI717" s="24" t="str">
        <f>VLOOKUP(Sales[[#This Row],[Store]],'Store lay bao  cao'!A:B,2,0)</f>
        <v>Lấy BC</v>
      </c>
      <c r="AJ717" s="24" t="str">
        <f>VLOOKUP(Sales[[#This Row],[Associate]],'Associate Status'!B:C,2,0)</f>
        <v>Retired</v>
      </c>
    </row>
    <row r="718" spans="1:36" x14ac:dyDescent="0.25">
      <c r="A718" s="7">
        <v>2025</v>
      </c>
      <c r="B718" s="8">
        <v>7</v>
      </c>
      <c r="C718" s="8">
        <v>27</v>
      </c>
      <c r="D718" s="8" t="s">
        <v>29</v>
      </c>
      <c r="E718" s="8" t="s">
        <v>12</v>
      </c>
      <c r="F718" s="8" t="s">
        <v>29</v>
      </c>
      <c r="G718" s="9">
        <v>10109700</v>
      </c>
      <c r="H718" s="10">
        <v>10109700</v>
      </c>
      <c r="I718" s="11">
        <v>45843</v>
      </c>
      <c r="J718" s="12">
        <v>90580</v>
      </c>
      <c r="K718" s="13" t="s">
        <v>552</v>
      </c>
      <c r="L718" s="14" t="s">
        <v>19</v>
      </c>
      <c r="M718" s="11" t="s">
        <v>17</v>
      </c>
      <c r="N718" s="14" t="s">
        <v>11</v>
      </c>
      <c r="O718" s="15">
        <v>1911</v>
      </c>
      <c r="P718" s="12">
        <v>1</v>
      </c>
      <c r="Q718" s="13" t="s">
        <v>2098</v>
      </c>
      <c r="R718" s="16">
        <v>33699000</v>
      </c>
      <c r="S718" s="17">
        <v>31202778</v>
      </c>
      <c r="T718" s="12">
        <v>0</v>
      </c>
      <c r="U718" s="18">
        <v>0</v>
      </c>
      <c r="V718" s="19">
        <v>0</v>
      </c>
      <c r="W718" s="13" t="s">
        <v>2157</v>
      </c>
      <c r="X718" s="14" t="s">
        <v>2359</v>
      </c>
      <c r="Y718" s="13" t="s">
        <v>2330</v>
      </c>
      <c r="Z718" s="14" t="s">
        <v>2360</v>
      </c>
      <c r="AA718" s="17">
        <v>12</v>
      </c>
      <c r="AB718" s="14" t="s">
        <v>801</v>
      </c>
      <c r="AC718" s="17">
        <v>33699000</v>
      </c>
      <c r="AD718" s="14" t="s">
        <v>2099</v>
      </c>
      <c r="AE718" s="17">
        <v>31202778</v>
      </c>
      <c r="AF718" s="14" t="s">
        <v>111</v>
      </c>
      <c r="AG718" s="20" t="s">
        <v>2080</v>
      </c>
      <c r="AH718" s="10">
        <v>21093078</v>
      </c>
      <c r="AI718" s="24" t="str">
        <f>VLOOKUP(Sales[[#This Row],[Store]],'Store lay bao  cao'!A:B,2,0)</f>
        <v>Lấy BC</v>
      </c>
      <c r="AJ718" s="24" t="str">
        <f>VLOOKUP(Sales[[#This Row],[Associate]],'Associate Status'!B:C,2,0)</f>
        <v>Retired</v>
      </c>
    </row>
    <row r="719" spans="1:36" ht="115.5" x14ac:dyDescent="0.25">
      <c r="A719" s="7">
        <v>2025</v>
      </c>
      <c r="B719" s="8">
        <v>7</v>
      </c>
      <c r="C719" s="8">
        <v>27</v>
      </c>
      <c r="D719" s="8" t="s">
        <v>29</v>
      </c>
      <c r="E719" s="8" t="s">
        <v>12</v>
      </c>
      <c r="F719" s="8" t="s">
        <v>29</v>
      </c>
      <c r="G719" s="9">
        <v>5710500</v>
      </c>
      <c r="H719" s="10">
        <v>5710500</v>
      </c>
      <c r="I719" s="11">
        <v>45843</v>
      </c>
      <c r="J719" s="12">
        <v>90554</v>
      </c>
      <c r="K719" s="13" t="s">
        <v>552</v>
      </c>
      <c r="L719" s="14" t="s">
        <v>19</v>
      </c>
      <c r="M719" s="11" t="s">
        <v>17</v>
      </c>
      <c r="N719" s="14" t="s">
        <v>11</v>
      </c>
      <c r="O719" s="15">
        <v>1911</v>
      </c>
      <c r="P719" s="12">
        <v>1</v>
      </c>
      <c r="Q719" s="13" t="s">
        <v>2098</v>
      </c>
      <c r="R719" s="16">
        <v>19035000</v>
      </c>
      <c r="S719" s="17">
        <v>17625000</v>
      </c>
      <c r="T719" s="12">
        <v>0</v>
      </c>
      <c r="U719" s="18">
        <v>0</v>
      </c>
      <c r="V719" s="19">
        <v>0</v>
      </c>
      <c r="W719" s="13" t="s">
        <v>2157</v>
      </c>
      <c r="X719" s="23" t="s">
        <v>2341</v>
      </c>
      <c r="Y719" s="13" t="s">
        <v>2330</v>
      </c>
      <c r="Z719" s="14" t="s">
        <v>2342</v>
      </c>
      <c r="AA719" s="17">
        <v>12</v>
      </c>
      <c r="AB719" s="14" t="s">
        <v>2343</v>
      </c>
      <c r="AC719" s="17">
        <v>19035000</v>
      </c>
      <c r="AD719" s="14" t="s">
        <v>2230</v>
      </c>
      <c r="AE719" s="17">
        <v>17625000</v>
      </c>
      <c r="AF719" s="14" t="s">
        <v>111</v>
      </c>
      <c r="AG719" s="21" t="s">
        <v>2080</v>
      </c>
      <c r="AH719" s="10">
        <v>11914500</v>
      </c>
      <c r="AI719" s="24" t="str">
        <f>VLOOKUP(Sales[[#This Row],[Store]],'Store lay bao  cao'!A:B,2,0)</f>
        <v>Lấy BC</v>
      </c>
      <c r="AJ719" s="24" t="str">
        <f>VLOOKUP(Sales[[#This Row],[Associate]],'Associate Status'!B:C,2,0)</f>
        <v>Retired</v>
      </c>
    </row>
    <row r="720" spans="1:36" x14ac:dyDescent="0.25">
      <c r="A720" s="7">
        <v>2025</v>
      </c>
      <c r="B720" s="8">
        <v>7</v>
      </c>
      <c r="C720" s="8">
        <v>27</v>
      </c>
      <c r="D720" s="8" t="s">
        <v>52</v>
      </c>
      <c r="E720" s="8" t="s">
        <v>43</v>
      </c>
      <c r="F720" s="8" t="s">
        <v>52</v>
      </c>
      <c r="G720" s="9">
        <v>11521399</v>
      </c>
      <c r="H720" s="10">
        <v>9752400</v>
      </c>
      <c r="I720" s="11">
        <v>45844</v>
      </c>
      <c r="J720" s="12">
        <v>186445</v>
      </c>
      <c r="K720" s="13" t="s">
        <v>554</v>
      </c>
      <c r="L720" s="14" t="s">
        <v>19</v>
      </c>
      <c r="M720" s="11" t="s">
        <v>17</v>
      </c>
      <c r="N720" s="14" t="s">
        <v>11</v>
      </c>
      <c r="O720" s="15">
        <v>1919</v>
      </c>
      <c r="P720" s="12">
        <v>1</v>
      </c>
      <c r="Q720" s="13" t="s">
        <v>2088</v>
      </c>
      <c r="R720" s="16">
        <v>31696000</v>
      </c>
      <c r="S720" s="17">
        <v>29348148</v>
      </c>
      <c r="T720" s="12">
        <v>0</v>
      </c>
      <c r="U720" s="18">
        <v>0</v>
      </c>
      <c r="V720" s="19">
        <v>0</v>
      </c>
      <c r="W720" s="13" t="s">
        <v>635</v>
      </c>
      <c r="X720" s="14" t="s">
        <v>2361</v>
      </c>
      <c r="Y720" s="13" t="s">
        <v>2362</v>
      </c>
      <c r="Z720" s="14" t="s">
        <v>2363</v>
      </c>
      <c r="AA720" s="17">
        <v>17</v>
      </c>
      <c r="AB720" s="14" t="s">
        <v>2364</v>
      </c>
      <c r="AC720" s="17">
        <v>31696000</v>
      </c>
      <c r="AD720" s="14" t="s">
        <v>1254</v>
      </c>
      <c r="AE720" s="17">
        <v>29348148</v>
      </c>
      <c r="AF720" s="14" t="s">
        <v>129</v>
      </c>
      <c r="AG720" s="20" t="s">
        <v>2020</v>
      </c>
      <c r="AH720" s="10">
        <v>17826749</v>
      </c>
      <c r="AI720" s="24" t="str">
        <f>VLOOKUP(Sales[[#This Row],[Store]],'Store lay bao  cao'!A:B,2,0)</f>
        <v>Lấy BC</v>
      </c>
      <c r="AJ720" s="24" t="str">
        <f>VLOOKUP(Sales[[#This Row],[Associate]],'Associate Status'!B:C,2,0)</f>
        <v>Active</v>
      </c>
    </row>
    <row r="721" spans="1:36" x14ac:dyDescent="0.25">
      <c r="A721" s="7">
        <v>2025</v>
      </c>
      <c r="B721" s="8">
        <v>7</v>
      </c>
      <c r="C721" s="8">
        <v>27</v>
      </c>
      <c r="D721" s="8" t="s">
        <v>60</v>
      </c>
      <c r="E721" s="8" t="s">
        <v>43</v>
      </c>
      <c r="F721" s="8" t="s">
        <v>60</v>
      </c>
      <c r="G721" s="9">
        <v>5900511</v>
      </c>
      <c r="H721" s="10">
        <v>4408950</v>
      </c>
      <c r="I721" s="11">
        <v>45844</v>
      </c>
      <c r="J721" s="12">
        <v>202760</v>
      </c>
      <c r="K721" s="13" t="s">
        <v>554</v>
      </c>
      <c r="L721" s="14" t="s">
        <v>19</v>
      </c>
      <c r="M721" s="11" t="s">
        <v>17</v>
      </c>
      <c r="N721" s="14" t="s">
        <v>62</v>
      </c>
      <c r="O721" s="15">
        <v>1919</v>
      </c>
      <c r="P721" s="12">
        <v>1</v>
      </c>
      <c r="Q721" s="13" t="s">
        <v>2088</v>
      </c>
      <c r="R721" s="16">
        <v>14611000</v>
      </c>
      <c r="S721" s="17">
        <v>13528704</v>
      </c>
      <c r="T721" s="12">
        <v>0</v>
      </c>
      <c r="U721" s="18">
        <v>0</v>
      </c>
      <c r="V721" s="19">
        <v>0</v>
      </c>
      <c r="W721" s="13" t="s">
        <v>635</v>
      </c>
      <c r="X721" s="14" t="s">
        <v>2365</v>
      </c>
      <c r="Y721" s="13" t="s">
        <v>2362</v>
      </c>
      <c r="Z721" s="14" t="s">
        <v>2366</v>
      </c>
      <c r="AA721" s="17">
        <v>17</v>
      </c>
      <c r="AB721" s="14" t="s">
        <v>2367</v>
      </c>
      <c r="AC721" s="17">
        <v>14611000</v>
      </c>
      <c r="AD721" s="14" t="s">
        <v>2110</v>
      </c>
      <c r="AE721" s="17">
        <v>13528704</v>
      </c>
      <c r="AF721" s="14" t="s">
        <v>129</v>
      </c>
      <c r="AG721" s="21" t="s">
        <v>2020</v>
      </c>
      <c r="AH721" s="10">
        <v>7628193</v>
      </c>
      <c r="AI721" s="24" t="str">
        <f>VLOOKUP(Sales[[#This Row],[Store]],'Store lay bao  cao'!A:B,2,0)</f>
        <v>Lấy BC</v>
      </c>
      <c r="AJ721" s="24" t="str">
        <f>VLOOKUP(Sales[[#This Row],[Associate]],'Associate Status'!B:C,2,0)</f>
        <v>Active</v>
      </c>
    </row>
    <row r="722" spans="1:36" x14ac:dyDescent="0.25">
      <c r="A722" s="7">
        <v>2025</v>
      </c>
      <c r="B722" s="8">
        <v>7</v>
      </c>
      <c r="C722" s="8">
        <v>28</v>
      </c>
      <c r="D722" s="8" t="s">
        <v>69</v>
      </c>
      <c r="E722" s="8" t="s">
        <v>53</v>
      </c>
      <c r="F722" s="8" t="s">
        <v>69</v>
      </c>
      <c r="G722" s="9">
        <v>51640566</v>
      </c>
      <c r="H722" s="10">
        <v>47430000</v>
      </c>
      <c r="I722" s="11">
        <v>45848</v>
      </c>
      <c r="J722" s="12">
        <v>219165</v>
      </c>
      <c r="K722" s="13" t="s">
        <v>556</v>
      </c>
      <c r="L722" s="14" t="s">
        <v>70</v>
      </c>
      <c r="M722" s="11" t="s">
        <v>17</v>
      </c>
      <c r="N722" s="14" t="s">
        <v>14</v>
      </c>
      <c r="O722" s="15">
        <v>1935</v>
      </c>
      <c r="P722" s="12">
        <v>2</v>
      </c>
      <c r="Q722" s="13" t="s">
        <v>2088</v>
      </c>
      <c r="R722" s="16">
        <v>147312000</v>
      </c>
      <c r="S722" s="17">
        <v>136400000</v>
      </c>
      <c r="T722" s="12">
        <v>0</v>
      </c>
      <c r="U722" s="18">
        <v>0</v>
      </c>
      <c r="V722" s="19">
        <v>0</v>
      </c>
      <c r="W722" s="13" t="s">
        <v>635</v>
      </c>
      <c r="X722" s="14" t="s">
        <v>2369</v>
      </c>
      <c r="Y722" s="13" t="s">
        <v>2368</v>
      </c>
      <c r="Z722" s="14" t="s">
        <v>2370</v>
      </c>
      <c r="AA722" s="17">
        <v>19</v>
      </c>
      <c r="AB722" s="14" t="s">
        <v>2371</v>
      </c>
      <c r="AC722" s="17">
        <v>147312000</v>
      </c>
      <c r="AD722" s="14" t="s">
        <v>108</v>
      </c>
      <c r="AE722" s="17">
        <v>136400000</v>
      </c>
      <c r="AF722" s="14" t="s">
        <v>129</v>
      </c>
      <c r="AG722" s="20" t="s">
        <v>322</v>
      </c>
      <c r="AH722" s="10">
        <v>84759434</v>
      </c>
      <c r="AI722" s="24" t="str">
        <f>VLOOKUP(Sales[[#This Row],[Store]],'Store lay bao  cao'!A:B,2,0)</f>
        <v>Lấy BC</v>
      </c>
      <c r="AJ722" s="24" t="str">
        <f>VLOOKUP(Sales[[#This Row],[Associate]],'Associate Status'!B:C,2,0)</f>
        <v>Active</v>
      </c>
    </row>
    <row r="723" spans="1:36" x14ac:dyDescent="0.25">
      <c r="A723" s="7">
        <v>2025</v>
      </c>
      <c r="B723" s="8">
        <v>7</v>
      </c>
      <c r="C723" s="8">
        <v>28</v>
      </c>
      <c r="D723" s="8" t="s">
        <v>69</v>
      </c>
      <c r="E723" s="8" t="s">
        <v>43</v>
      </c>
      <c r="F723" s="8" t="s">
        <v>69</v>
      </c>
      <c r="G723" s="9">
        <v>45565204</v>
      </c>
      <c r="H723" s="10">
        <v>41850000</v>
      </c>
      <c r="I723" s="11">
        <v>45848</v>
      </c>
      <c r="J723" s="12">
        <v>219161</v>
      </c>
      <c r="K723" s="13" t="s">
        <v>556</v>
      </c>
      <c r="L723" s="14" t="s">
        <v>70</v>
      </c>
      <c r="M723" s="11" t="s">
        <v>17</v>
      </c>
      <c r="N723" s="14" t="s">
        <v>14</v>
      </c>
      <c r="O723" s="15">
        <v>1935</v>
      </c>
      <c r="P723" s="12">
        <v>1</v>
      </c>
      <c r="Q723" s="13" t="s">
        <v>2088</v>
      </c>
      <c r="R723" s="16">
        <v>122760000</v>
      </c>
      <c r="S723" s="17">
        <v>113666667</v>
      </c>
      <c r="T723" s="12">
        <v>0</v>
      </c>
      <c r="U723" s="18">
        <v>0</v>
      </c>
      <c r="V723" s="19">
        <v>0</v>
      </c>
      <c r="W723" s="13" t="s">
        <v>635</v>
      </c>
      <c r="X723" s="14" t="s">
        <v>2372</v>
      </c>
      <c r="Y723" s="13" t="s">
        <v>2368</v>
      </c>
      <c r="Z723" s="14" t="s">
        <v>2373</v>
      </c>
      <c r="AA723" s="17">
        <v>19</v>
      </c>
      <c r="AB723" s="14" t="s">
        <v>2371</v>
      </c>
      <c r="AC723" s="17">
        <v>122760000</v>
      </c>
      <c r="AD723" s="14" t="s">
        <v>2155</v>
      </c>
      <c r="AE723" s="17">
        <v>113666667</v>
      </c>
      <c r="AF723" s="14" t="s">
        <v>129</v>
      </c>
      <c r="AG723" s="21" t="s">
        <v>322</v>
      </c>
      <c r="AH723" s="10">
        <v>68101463</v>
      </c>
      <c r="AI723" s="24" t="str">
        <f>VLOOKUP(Sales[[#This Row],[Store]],'Store lay bao  cao'!A:B,2,0)</f>
        <v>Lấy BC</v>
      </c>
      <c r="AJ723" s="24" t="str">
        <f>VLOOKUP(Sales[[#This Row],[Associate]],'Associate Status'!B:C,2,0)</f>
        <v>Active</v>
      </c>
    </row>
    <row r="724" spans="1:36" x14ac:dyDescent="0.25">
      <c r="A724" s="7">
        <v>2025</v>
      </c>
      <c r="B724" s="8">
        <v>7</v>
      </c>
      <c r="C724" s="8">
        <v>28</v>
      </c>
      <c r="D724" s="8" t="s">
        <v>69</v>
      </c>
      <c r="E724" s="8" t="s">
        <v>43</v>
      </c>
      <c r="F724" s="8" t="s">
        <v>69</v>
      </c>
      <c r="G724" s="9">
        <v>5239999</v>
      </c>
      <c r="H724" s="10">
        <v>4812750</v>
      </c>
      <c r="I724" s="11">
        <v>45848</v>
      </c>
      <c r="J724" s="12">
        <v>219152</v>
      </c>
      <c r="K724" s="13" t="s">
        <v>556</v>
      </c>
      <c r="L724" s="14" t="s">
        <v>70</v>
      </c>
      <c r="M724" s="11" t="s">
        <v>17</v>
      </c>
      <c r="N724" s="14" t="s">
        <v>14</v>
      </c>
      <c r="O724" s="15">
        <v>1935</v>
      </c>
      <c r="P724" s="12">
        <v>1</v>
      </c>
      <c r="Q724" s="13" t="s">
        <v>2088</v>
      </c>
      <c r="R724" s="16">
        <v>14322000</v>
      </c>
      <c r="S724" s="17">
        <v>13261111</v>
      </c>
      <c r="T724" s="12">
        <v>0</v>
      </c>
      <c r="U724" s="18">
        <v>0</v>
      </c>
      <c r="V724" s="19">
        <v>0</v>
      </c>
      <c r="W724" s="13" t="s">
        <v>635</v>
      </c>
      <c r="X724" s="14" t="s">
        <v>2374</v>
      </c>
      <c r="Y724" s="13" t="s">
        <v>2368</v>
      </c>
      <c r="Z724" s="14" t="s">
        <v>2375</v>
      </c>
      <c r="AA724" s="17">
        <v>19</v>
      </c>
      <c r="AB724" s="14" t="s">
        <v>2371</v>
      </c>
      <c r="AC724" s="17">
        <v>14322000</v>
      </c>
      <c r="AD724" s="14" t="s">
        <v>2141</v>
      </c>
      <c r="AE724" s="17">
        <v>13261111</v>
      </c>
      <c r="AF724" s="14" t="s">
        <v>129</v>
      </c>
      <c r="AG724" s="20" t="s">
        <v>322</v>
      </c>
      <c r="AH724" s="10">
        <v>8021112</v>
      </c>
      <c r="AI724" s="24" t="str">
        <f>VLOOKUP(Sales[[#This Row],[Store]],'Store lay bao  cao'!A:B,2,0)</f>
        <v>Lấy BC</v>
      </c>
      <c r="AJ724" s="24" t="str">
        <f>VLOOKUP(Sales[[#This Row],[Associate]],'Associate Status'!B:C,2,0)</f>
        <v>Active</v>
      </c>
    </row>
    <row r="725" spans="1:36" x14ac:dyDescent="0.25">
      <c r="A725" s="7">
        <v>2025</v>
      </c>
      <c r="B725" s="8">
        <v>7</v>
      </c>
      <c r="C725" s="8">
        <v>28</v>
      </c>
      <c r="D725" s="8" t="s">
        <v>69</v>
      </c>
      <c r="E725" s="8" t="s">
        <v>43</v>
      </c>
      <c r="F725" s="8" t="s">
        <v>69</v>
      </c>
      <c r="G725" s="9">
        <v>7518259</v>
      </c>
      <c r="H725" s="10">
        <v>6905250</v>
      </c>
      <c r="I725" s="11">
        <v>45848</v>
      </c>
      <c r="J725" s="12">
        <v>219149</v>
      </c>
      <c r="K725" s="13" t="s">
        <v>556</v>
      </c>
      <c r="L725" s="14" t="s">
        <v>70</v>
      </c>
      <c r="M725" s="11" t="s">
        <v>17</v>
      </c>
      <c r="N725" s="14" t="s">
        <v>14</v>
      </c>
      <c r="O725" s="15">
        <v>1935</v>
      </c>
      <c r="P725" s="12">
        <v>1</v>
      </c>
      <c r="Q725" s="13" t="s">
        <v>2088</v>
      </c>
      <c r="R725" s="16">
        <v>20801000</v>
      </c>
      <c r="S725" s="17">
        <v>19260185</v>
      </c>
      <c r="T725" s="12">
        <v>0</v>
      </c>
      <c r="U725" s="18">
        <v>0</v>
      </c>
      <c r="V725" s="19">
        <v>0</v>
      </c>
      <c r="W725" s="13" t="s">
        <v>635</v>
      </c>
      <c r="X725" s="14" t="s">
        <v>2376</v>
      </c>
      <c r="Y725" s="13" t="s">
        <v>2368</v>
      </c>
      <c r="Z725" s="14" t="s">
        <v>2377</v>
      </c>
      <c r="AA725" s="17">
        <v>19</v>
      </c>
      <c r="AB725" s="14" t="s">
        <v>2371</v>
      </c>
      <c r="AC725" s="17">
        <v>20801000</v>
      </c>
      <c r="AD725" s="14" t="s">
        <v>2141</v>
      </c>
      <c r="AE725" s="17">
        <v>19260185</v>
      </c>
      <c r="AF725" s="14" t="s">
        <v>129</v>
      </c>
      <c r="AG725" s="21" t="s">
        <v>322</v>
      </c>
      <c r="AH725" s="10">
        <v>11741926</v>
      </c>
      <c r="AI725" s="24" t="str">
        <f>VLOOKUP(Sales[[#This Row],[Store]],'Store lay bao  cao'!A:B,2,0)</f>
        <v>Lấy BC</v>
      </c>
      <c r="AJ725" s="24" t="str">
        <f>VLOOKUP(Sales[[#This Row],[Associate]],'Associate Status'!B:C,2,0)</f>
        <v>Active</v>
      </c>
    </row>
    <row r="726" spans="1:36" x14ac:dyDescent="0.25">
      <c r="A726" s="7">
        <v>2025</v>
      </c>
      <c r="B726" s="8">
        <v>7</v>
      </c>
      <c r="C726" s="8">
        <v>28</v>
      </c>
      <c r="D726" s="8" t="s">
        <v>69</v>
      </c>
      <c r="E726" s="8" t="s">
        <v>53</v>
      </c>
      <c r="F726" s="8" t="s">
        <v>69</v>
      </c>
      <c r="G726" s="9">
        <v>-25820283</v>
      </c>
      <c r="H726" s="10">
        <v>-23715000</v>
      </c>
      <c r="I726" s="11">
        <v>45849</v>
      </c>
      <c r="J726" s="12">
        <v>219165</v>
      </c>
      <c r="K726" s="13" t="s">
        <v>557</v>
      </c>
      <c r="L726" s="14" t="s">
        <v>70</v>
      </c>
      <c r="M726" s="11" t="s">
        <v>17</v>
      </c>
      <c r="N726" s="14" t="s">
        <v>14</v>
      </c>
      <c r="O726" s="15">
        <v>1938</v>
      </c>
      <c r="P726" s="12">
        <v>-1</v>
      </c>
      <c r="Q726" s="13" t="s">
        <v>2088</v>
      </c>
      <c r="R726" s="16">
        <v>-73656000</v>
      </c>
      <c r="S726" s="17">
        <v>-68200000</v>
      </c>
      <c r="T726" s="12">
        <v>0</v>
      </c>
      <c r="U726" s="18">
        <v>0</v>
      </c>
      <c r="V726" s="19">
        <v>0</v>
      </c>
      <c r="W726" s="13" t="s">
        <v>2174</v>
      </c>
      <c r="X726" s="14" t="s">
        <v>2369</v>
      </c>
      <c r="Y726" s="13" t="s">
        <v>2368</v>
      </c>
      <c r="Z726" s="14" t="s">
        <v>2370</v>
      </c>
      <c r="AA726" s="17">
        <v>11</v>
      </c>
      <c r="AB726" s="14" t="s">
        <v>2371</v>
      </c>
      <c r="AC726" s="17">
        <v>-73656000</v>
      </c>
      <c r="AD726" s="14" t="s">
        <v>108</v>
      </c>
      <c r="AE726" s="17">
        <v>-68200000</v>
      </c>
      <c r="AF726" s="14" t="s">
        <v>129</v>
      </c>
      <c r="AG726" s="20" t="s">
        <v>322</v>
      </c>
      <c r="AH726" s="10">
        <v>-42379717</v>
      </c>
      <c r="AI726" s="24" t="str">
        <f>VLOOKUP(Sales[[#This Row],[Store]],'Store lay bao  cao'!A:B,2,0)</f>
        <v>Lấy BC</v>
      </c>
      <c r="AJ726" s="24" t="str">
        <f>VLOOKUP(Sales[[#This Row],[Associate]],'Associate Status'!B:C,2,0)</f>
        <v>Active</v>
      </c>
    </row>
    <row r="727" spans="1:36" x14ac:dyDescent="0.25">
      <c r="A727" s="7">
        <v>2025</v>
      </c>
      <c r="B727" s="8">
        <v>7</v>
      </c>
      <c r="C727" s="8">
        <v>28</v>
      </c>
      <c r="D727" s="8" t="s">
        <v>52</v>
      </c>
      <c r="E727" s="8" t="s">
        <v>34</v>
      </c>
      <c r="F727" s="8" t="s">
        <v>52</v>
      </c>
      <c r="G727" s="9">
        <v>31962651</v>
      </c>
      <c r="H727" s="10">
        <v>31455765</v>
      </c>
      <c r="I727" s="11">
        <v>45849</v>
      </c>
      <c r="J727" s="12">
        <v>181391</v>
      </c>
      <c r="K727" s="13" t="s">
        <v>467</v>
      </c>
      <c r="L727" s="14" t="s">
        <v>58</v>
      </c>
      <c r="M727" s="11" t="s">
        <v>15</v>
      </c>
      <c r="N727" s="14" t="s">
        <v>11</v>
      </c>
      <c r="O727" s="15">
        <v>2930</v>
      </c>
      <c r="P727" s="12">
        <v>1</v>
      </c>
      <c r="Q727" s="13" t="s">
        <v>2088</v>
      </c>
      <c r="R727" s="16">
        <v>139194000</v>
      </c>
      <c r="S727" s="17">
        <v>128883333</v>
      </c>
      <c r="T727" s="12">
        <v>0</v>
      </c>
      <c r="U727" s="18">
        <v>0</v>
      </c>
      <c r="V727" s="19">
        <v>0</v>
      </c>
      <c r="W727" s="13" t="s">
        <v>1563</v>
      </c>
      <c r="X727" s="14" t="s">
        <v>2378</v>
      </c>
      <c r="Y727" s="13" t="s">
        <v>917</v>
      </c>
      <c r="Z727" s="14" t="s">
        <v>2379</v>
      </c>
      <c r="AA727" s="17">
        <v>14</v>
      </c>
      <c r="AB727" s="14" t="s">
        <v>2380</v>
      </c>
      <c r="AC727" s="17">
        <v>139194000</v>
      </c>
      <c r="AD727" s="14" t="s">
        <v>108</v>
      </c>
      <c r="AE727" s="17">
        <v>128883333</v>
      </c>
      <c r="AF727" s="14" t="s">
        <v>136</v>
      </c>
      <c r="AG727" s="21" t="s">
        <v>918</v>
      </c>
      <c r="AH727" s="10">
        <v>96920682</v>
      </c>
      <c r="AI727" s="24" t="str">
        <f>VLOOKUP(Sales[[#This Row],[Store]],'Store lay bao  cao'!A:B,2,0)</f>
        <v>Lấy BC</v>
      </c>
      <c r="AJ727" s="24" t="str">
        <f>VLOOKUP(Sales[[#This Row],[Associate]],'Associate Status'!B:C,2,0)</f>
        <v>Active</v>
      </c>
    </row>
    <row r="728" spans="1:36" x14ac:dyDescent="0.25">
      <c r="A728" s="7">
        <v>2025</v>
      </c>
      <c r="B728" s="8">
        <v>7</v>
      </c>
      <c r="C728" s="8">
        <v>29</v>
      </c>
      <c r="D728" s="8" t="s">
        <v>60</v>
      </c>
      <c r="E728" s="8" t="s">
        <v>37</v>
      </c>
      <c r="F728" s="8" t="s">
        <v>60</v>
      </c>
      <c r="G728" s="9">
        <v>7962039</v>
      </c>
      <c r="H728" s="10">
        <v>7410000</v>
      </c>
      <c r="I728" s="11">
        <v>45855</v>
      </c>
      <c r="J728" s="12">
        <v>208286</v>
      </c>
      <c r="K728" s="13" t="s">
        <v>1979</v>
      </c>
      <c r="L728" s="14" t="s">
        <v>50</v>
      </c>
      <c r="M728" s="11" t="s">
        <v>28</v>
      </c>
      <c r="N728" s="14" t="s">
        <v>11</v>
      </c>
      <c r="O728" s="15">
        <v>2785</v>
      </c>
      <c r="P728" s="12">
        <v>1</v>
      </c>
      <c r="Q728" s="13" t="s">
        <v>2088</v>
      </c>
      <c r="R728" s="16">
        <v>23712000</v>
      </c>
      <c r="S728" s="17">
        <v>21955556</v>
      </c>
      <c r="T728" s="12">
        <v>0</v>
      </c>
      <c r="U728" s="18">
        <v>0</v>
      </c>
      <c r="V728" s="19">
        <v>0</v>
      </c>
      <c r="W728" s="13" t="s">
        <v>2164</v>
      </c>
      <c r="X728" s="14" t="s">
        <v>2384</v>
      </c>
      <c r="Y728" s="13" t="s">
        <v>2381</v>
      </c>
      <c r="Z728" s="14" t="s">
        <v>2349</v>
      </c>
      <c r="AA728" s="17">
        <v>15</v>
      </c>
      <c r="AB728" s="14" t="s">
        <v>2385</v>
      </c>
      <c r="AC728" s="17">
        <v>23712000</v>
      </c>
      <c r="AD728" s="14" t="s">
        <v>108</v>
      </c>
      <c r="AE728" s="17">
        <v>21955556</v>
      </c>
      <c r="AF728" s="14" t="s">
        <v>1187</v>
      </c>
      <c r="AG728" s="20" t="s">
        <v>2382</v>
      </c>
      <c r="AH728" s="10">
        <v>13993517</v>
      </c>
      <c r="AI728" s="24" t="str">
        <f>VLOOKUP(Sales[[#This Row],[Store]],'Store lay bao  cao'!A:B,2,0)</f>
        <v>Lấy BC</v>
      </c>
      <c r="AJ728" s="24" t="str">
        <f>VLOOKUP(Sales[[#This Row],[Associate]],'Associate Status'!B:C,2,0)</f>
        <v>Retired</v>
      </c>
    </row>
    <row r="729" spans="1:36" x14ac:dyDescent="0.25">
      <c r="A729" s="7">
        <v>2025</v>
      </c>
      <c r="B729" s="8">
        <v>7</v>
      </c>
      <c r="C729" s="8">
        <v>29</v>
      </c>
      <c r="D729" s="8" t="s">
        <v>60</v>
      </c>
      <c r="E729" s="8" t="s">
        <v>43</v>
      </c>
      <c r="F729" s="8" t="s">
        <v>60</v>
      </c>
      <c r="G729" s="9">
        <v>3798861</v>
      </c>
      <c r="H729" s="10">
        <v>3534000</v>
      </c>
      <c r="I729" s="11">
        <v>45855</v>
      </c>
      <c r="J729" s="12">
        <v>208245</v>
      </c>
      <c r="K729" s="13" t="s">
        <v>1979</v>
      </c>
      <c r="L729" s="14" t="s">
        <v>50</v>
      </c>
      <c r="M729" s="11" t="s">
        <v>28</v>
      </c>
      <c r="N729" s="14" t="s">
        <v>11</v>
      </c>
      <c r="O729" s="15">
        <v>2785</v>
      </c>
      <c r="P729" s="12">
        <v>1</v>
      </c>
      <c r="Q729" s="13" t="s">
        <v>2088</v>
      </c>
      <c r="R729" s="16">
        <v>11309000</v>
      </c>
      <c r="S729" s="17">
        <v>10471296</v>
      </c>
      <c r="T729" s="12">
        <v>0</v>
      </c>
      <c r="U729" s="18">
        <v>0</v>
      </c>
      <c r="V729" s="19">
        <v>0</v>
      </c>
      <c r="W729" s="13" t="s">
        <v>2164</v>
      </c>
      <c r="X729" s="14" t="s">
        <v>2386</v>
      </c>
      <c r="Y729" s="13" t="s">
        <v>2381</v>
      </c>
      <c r="Z729" s="14" t="s">
        <v>2387</v>
      </c>
      <c r="AA729" s="17">
        <v>15</v>
      </c>
      <c r="AB729" s="14" t="s">
        <v>2385</v>
      </c>
      <c r="AC729" s="17">
        <v>11309000</v>
      </c>
      <c r="AD729" s="14" t="s">
        <v>2230</v>
      </c>
      <c r="AE729" s="17">
        <v>10471296</v>
      </c>
      <c r="AF729" s="14" t="s">
        <v>1187</v>
      </c>
      <c r="AG729" s="21" t="s">
        <v>2382</v>
      </c>
      <c r="AH729" s="10">
        <v>6672435</v>
      </c>
      <c r="AI729" s="24" t="str">
        <f>VLOOKUP(Sales[[#This Row],[Store]],'Store lay bao  cao'!A:B,2,0)</f>
        <v>Lấy BC</v>
      </c>
      <c r="AJ729" s="24" t="str">
        <f>VLOOKUP(Sales[[#This Row],[Associate]],'Associate Status'!B:C,2,0)</f>
        <v>Retired</v>
      </c>
    </row>
    <row r="730" spans="1:36" ht="77.25" x14ac:dyDescent="0.25">
      <c r="A730" s="7">
        <v>2025</v>
      </c>
      <c r="B730" s="8">
        <v>7</v>
      </c>
      <c r="C730" s="8">
        <v>29</v>
      </c>
      <c r="D730" s="8" t="s">
        <v>52</v>
      </c>
      <c r="E730" s="8" t="s">
        <v>43</v>
      </c>
      <c r="F730" s="8" t="s">
        <v>52</v>
      </c>
      <c r="G730" s="9">
        <v>4046811</v>
      </c>
      <c r="H730" s="10">
        <v>3645000</v>
      </c>
      <c r="I730" s="11">
        <v>45856</v>
      </c>
      <c r="J730" s="12">
        <v>182162</v>
      </c>
      <c r="K730" s="13" t="s">
        <v>791</v>
      </c>
      <c r="L730" s="14" t="s">
        <v>50</v>
      </c>
      <c r="M730" s="11" t="s">
        <v>21</v>
      </c>
      <c r="N730" s="14" t="s">
        <v>11</v>
      </c>
      <c r="O730" s="15">
        <v>4599</v>
      </c>
      <c r="P730" s="12">
        <v>1</v>
      </c>
      <c r="Q730" s="13" t="s">
        <v>2098</v>
      </c>
      <c r="R730" s="16">
        <v>11664000</v>
      </c>
      <c r="S730" s="17">
        <v>10800000</v>
      </c>
      <c r="T730" s="12">
        <v>0</v>
      </c>
      <c r="U730" s="18">
        <v>0</v>
      </c>
      <c r="V730" s="19">
        <v>0</v>
      </c>
      <c r="W730" s="13" t="s">
        <v>2159</v>
      </c>
      <c r="X730" s="23" t="s">
        <v>2388</v>
      </c>
      <c r="Y730" s="13" t="s">
        <v>2389</v>
      </c>
      <c r="Z730" s="14" t="s">
        <v>2390</v>
      </c>
      <c r="AA730" s="17">
        <v>11</v>
      </c>
      <c r="AB730" s="14" t="s">
        <v>1247</v>
      </c>
      <c r="AC730" s="17">
        <v>11664000</v>
      </c>
      <c r="AD730" s="14" t="s">
        <v>2100</v>
      </c>
      <c r="AE730" s="17">
        <v>10800000</v>
      </c>
      <c r="AF730" s="14" t="s">
        <v>618</v>
      </c>
      <c r="AG730" s="20" t="s">
        <v>1079</v>
      </c>
      <c r="AH730" s="10">
        <v>6753189</v>
      </c>
      <c r="AI730" s="24" t="str">
        <f>VLOOKUP(Sales[[#This Row],[Store]],'Store lay bao  cao'!A:B,2,0)</f>
        <v>Lấy BC</v>
      </c>
      <c r="AJ730" s="24" t="str">
        <f>VLOOKUP(Sales[[#This Row],[Associate]],'Associate Status'!B:C,2,0)</f>
        <v>Active</v>
      </c>
    </row>
    <row r="731" spans="1:36" x14ac:dyDescent="0.25">
      <c r="A731" s="7">
        <v>2025</v>
      </c>
      <c r="B731" s="8">
        <v>7</v>
      </c>
      <c r="C731" s="8">
        <v>29</v>
      </c>
      <c r="D731" s="8" t="s">
        <v>60</v>
      </c>
      <c r="E731" s="8" t="s">
        <v>37</v>
      </c>
      <c r="F731" s="8" t="s">
        <v>60</v>
      </c>
      <c r="G731" s="9">
        <v>3651924</v>
      </c>
      <c r="H731" s="10">
        <v>3397200</v>
      </c>
      <c r="I731" s="11">
        <v>45856</v>
      </c>
      <c r="J731" s="12">
        <v>208299</v>
      </c>
      <c r="K731" s="13" t="s">
        <v>791</v>
      </c>
      <c r="L731" s="14" t="s">
        <v>50</v>
      </c>
      <c r="M731" s="11" t="s">
        <v>21</v>
      </c>
      <c r="N731" s="14" t="s">
        <v>11</v>
      </c>
      <c r="O731" s="15">
        <v>4599</v>
      </c>
      <c r="P731" s="12">
        <v>1</v>
      </c>
      <c r="Q731" s="13" t="s">
        <v>2098</v>
      </c>
      <c r="R731" s="16">
        <v>10872000</v>
      </c>
      <c r="S731" s="17">
        <v>10066667</v>
      </c>
      <c r="T731" s="12">
        <v>0</v>
      </c>
      <c r="U731" s="18">
        <v>0</v>
      </c>
      <c r="V731" s="19">
        <v>0</v>
      </c>
      <c r="W731" s="13" t="s">
        <v>2159</v>
      </c>
      <c r="X731" s="14" t="s">
        <v>2391</v>
      </c>
      <c r="Y731" s="13" t="s">
        <v>2389</v>
      </c>
      <c r="Z731" s="14" t="s">
        <v>2392</v>
      </c>
      <c r="AA731" s="17">
        <v>11</v>
      </c>
      <c r="AB731" s="14" t="s">
        <v>2393</v>
      </c>
      <c r="AC731" s="17">
        <v>10872000</v>
      </c>
      <c r="AD731" s="14" t="s">
        <v>108</v>
      </c>
      <c r="AE731" s="17">
        <v>10066667</v>
      </c>
      <c r="AF731" s="14" t="s">
        <v>618</v>
      </c>
      <c r="AG731" s="21" t="s">
        <v>1079</v>
      </c>
      <c r="AH731" s="10">
        <v>6414743</v>
      </c>
      <c r="AI731" s="24" t="str">
        <f>VLOOKUP(Sales[[#This Row],[Store]],'Store lay bao  cao'!A:B,2,0)</f>
        <v>Lấy BC</v>
      </c>
      <c r="AJ731" s="24" t="str">
        <f>VLOOKUP(Sales[[#This Row],[Associate]],'Associate Status'!B:C,2,0)</f>
        <v>Active</v>
      </c>
    </row>
    <row r="732" spans="1:36" ht="102.75" x14ac:dyDescent="0.25">
      <c r="A732" s="7">
        <v>2025</v>
      </c>
      <c r="B732" s="8">
        <v>7</v>
      </c>
      <c r="C732" s="8">
        <v>29</v>
      </c>
      <c r="D732" s="8" t="s">
        <v>60</v>
      </c>
      <c r="E732" s="8" t="s">
        <v>34</v>
      </c>
      <c r="F732" s="8" t="s">
        <v>60</v>
      </c>
      <c r="G732" s="9">
        <v>3309074</v>
      </c>
      <c r="H732" s="10">
        <v>3078000</v>
      </c>
      <c r="I732" s="11">
        <v>45856</v>
      </c>
      <c r="J732" s="12">
        <v>208329</v>
      </c>
      <c r="K732" s="13" t="s">
        <v>791</v>
      </c>
      <c r="L732" s="14" t="s">
        <v>50</v>
      </c>
      <c r="M732" s="11" t="s">
        <v>21</v>
      </c>
      <c r="N732" s="14" t="s">
        <v>11</v>
      </c>
      <c r="O732" s="15">
        <v>4599</v>
      </c>
      <c r="P732" s="12">
        <v>1</v>
      </c>
      <c r="Q732" s="13" t="s">
        <v>2098</v>
      </c>
      <c r="R732" s="16">
        <v>9850000</v>
      </c>
      <c r="S732" s="17">
        <v>9120370</v>
      </c>
      <c r="T732" s="12">
        <v>0</v>
      </c>
      <c r="U732" s="18">
        <v>0</v>
      </c>
      <c r="V732" s="19">
        <v>0</v>
      </c>
      <c r="W732" s="13" t="s">
        <v>2159</v>
      </c>
      <c r="X732" s="23" t="s">
        <v>2394</v>
      </c>
      <c r="Y732" s="13" t="s">
        <v>2389</v>
      </c>
      <c r="Z732" s="14" t="s">
        <v>2395</v>
      </c>
      <c r="AA732" s="17">
        <v>11</v>
      </c>
      <c r="AB732" s="14" t="s">
        <v>137</v>
      </c>
      <c r="AC732" s="17">
        <v>9850000</v>
      </c>
      <c r="AD732" s="14" t="s">
        <v>108</v>
      </c>
      <c r="AE732" s="17">
        <v>9120370</v>
      </c>
      <c r="AF732" s="14" t="s">
        <v>618</v>
      </c>
      <c r="AG732" s="20" t="s">
        <v>1079</v>
      </c>
      <c r="AH732" s="10">
        <v>5811296</v>
      </c>
      <c r="AI732" s="24" t="str">
        <f>VLOOKUP(Sales[[#This Row],[Store]],'Store lay bao  cao'!A:B,2,0)</f>
        <v>Lấy BC</v>
      </c>
      <c r="AJ732" s="24" t="str">
        <f>VLOOKUP(Sales[[#This Row],[Associate]],'Associate Status'!B:C,2,0)</f>
        <v>Active</v>
      </c>
    </row>
    <row r="733" spans="1:36" x14ac:dyDescent="0.25">
      <c r="A733" s="7">
        <v>2025</v>
      </c>
      <c r="B733" s="8">
        <v>7</v>
      </c>
      <c r="C733" s="8">
        <v>29</v>
      </c>
      <c r="D733" s="8" t="s">
        <v>60</v>
      </c>
      <c r="E733" s="8" t="s">
        <v>43</v>
      </c>
      <c r="F733" s="8" t="s">
        <v>60</v>
      </c>
      <c r="G733" s="9">
        <v>2207055</v>
      </c>
      <c r="H733" s="10">
        <v>2052000</v>
      </c>
      <c r="I733" s="11">
        <v>45856</v>
      </c>
      <c r="J733" s="12">
        <v>208261</v>
      </c>
      <c r="K733" s="13" t="s">
        <v>791</v>
      </c>
      <c r="L733" s="14" t="s">
        <v>50</v>
      </c>
      <c r="M733" s="11" t="s">
        <v>21</v>
      </c>
      <c r="N733" s="14" t="s">
        <v>11</v>
      </c>
      <c r="O733" s="15">
        <v>4599</v>
      </c>
      <c r="P733" s="12">
        <v>1</v>
      </c>
      <c r="Q733" s="13" t="s">
        <v>2098</v>
      </c>
      <c r="R733" s="16">
        <v>6567000</v>
      </c>
      <c r="S733" s="17">
        <v>6080556</v>
      </c>
      <c r="T733" s="12">
        <v>0</v>
      </c>
      <c r="U733" s="18">
        <v>0</v>
      </c>
      <c r="V733" s="19">
        <v>0</v>
      </c>
      <c r="W733" s="13" t="s">
        <v>2159</v>
      </c>
      <c r="X733" s="14" t="s">
        <v>2396</v>
      </c>
      <c r="Y733" s="13" t="s">
        <v>2389</v>
      </c>
      <c r="Z733" s="14" t="s">
        <v>2397</v>
      </c>
      <c r="AA733" s="17">
        <v>11</v>
      </c>
      <c r="AB733" s="14" t="s">
        <v>194</v>
      </c>
      <c r="AC733" s="17">
        <v>6567000</v>
      </c>
      <c r="AD733" s="14" t="s">
        <v>2230</v>
      </c>
      <c r="AE733" s="17">
        <v>6080556</v>
      </c>
      <c r="AF733" s="14" t="s">
        <v>618</v>
      </c>
      <c r="AG733" s="21" t="s">
        <v>1079</v>
      </c>
      <c r="AH733" s="10">
        <v>3873501</v>
      </c>
      <c r="AI733" s="24" t="str">
        <f>VLOOKUP(Sales[[#This Row],[Store]],'Store lay bao  cao'!A:B,2,0)</f>
        <v>Lấy BC</v>
      </c>
      <c r="AJ733" s="24" t="str">
        <f>VLOOKUP(Sales[[#This Row],[Associate]],'Associate Status'!B:C,2,0)</f>
        <v>Active</v>
      </c>
    </row>
    <row r="734" spans="1:36" x14ac:dyDescent="0.25">
      <c r="A734" s="7">
        <v>2025</v>
      </c>
      <c r="B734" s="8">
        <v>7</v>
      </c>
      <c r="C734" s="8">
        <v>29</v>
      </c>
      <c r="D734" s="8" t="s">
        <v>52</v>
      </c>
      <c r="E734" s="8" t="s">
        <v>37</v>
      </c>
      <c r="F734" s="8" t="s">
        <v>52</v>
      </c>
      <c r="G734" s="9">
        <v>5860382</v>
      </c>
      <c r="H734" s="10">
        <v>5278500</v>
      </c>
      <c r="I734" s="11">
        <v>45856</v>
      </c>
      <c r="J734" s="12">
        <v>182224</v>
      </c>
      <c r="K734" s="13" t="s">
        <v>791</v>
      </c>
      <c r="L734" s="14" t="s">
        <v>50</v>
      </c>
      <c r="M734" s="11" t="s">
        <v>21</v>
      </c>
      <c r="N734" s="14" t="s">
        <v>11</v>
      </c>
      <c r="O734" s="15">
        <v>4599</v>
      </c>
      <c r="P734" s="12">
        <v>1</v>
      </c>
      <c r="Q734" s="13" t="s">
        <v>2098</v>
      </c>
      <c r="R734" s="16">
        <v>16892000</v>
      </c>
      <c r="S734" s="17">
        <v>15640741</v>
      </c>
      <c r="T734" s="12">
        <v>0</v>
      </c>
      <c r="U734" s="18">
        <v>0</v>
      </c>
      <c r="V734" s="19">
        <v>0</v>
      </c>
      <c r="W734" s="13" t="s">
        <v>2159</v>
      </c>
      <c r="X734" s="14" t="s">
        <v>1071</v>
      </c>
      <c r="Y734" s="13" t="s">
        <v>2389</v>
      </c>
      <c r="Z734" s="14" t="s">
        <v>896</v>
      </c>
      <c r="AA734" s="17">
        <v>11</v>
      </c>
      <c r="AB734" s="14" t="s">
        <v>2398</v>
      </c>
      <c r="AC734" s="17">
        <v>16892000</v>
      </c>
      <c r="AD734" s="14" t="s">
        <v>108</v>
      </c>
      <c r="AE734" s="17">
        <v>15640741</v>
      </c>
      <c r="AF734" s="14" t="s">
        <v>618</v>
      </c>
      <c r="AG734" s="20" t="s">
        <v>1079</v>
      </c>
      <c r="AH734" s="10">
        <v>9780359</v>
      </c>
      <c r="AI734" s="24" t="str">
        <f>VLOOKUP(Sales[[#This Row],[Store]],'Store lay bao  cao'!A:B,2,0)</f>
        <v>Lấy BC</v>
      </c>
      <c r="AJ734" s="24" t="str">
        <f>VLOOKUP(Sales[[#This Row],[Associate]],'Associate Status'!B:C,2,0)</f>
        <v>Active</v>
      </c>
    </row>
    <row r="735" spans="1:36" x14ac:dyDescent="0.25">
      <c r="A735" s="7">
        <v>2025</v>
      </c>
      <c r="B735" s="8">
        <v>7</v>
      </c>
      <c r="C735" s="8">
        <v>29</v>
      </c>
      <c r="D735" s="8" t="s">
        <v>52</v>
      </c>
      <c r="E735" s="8" t="s">
        <v>43</v>
      </c>
      <c r="F735" s="8" t="s">
        <v>52</v>
      </c>
      <c r="G735" s="9">
        <v>2398111</v>
      </c>
      <c r="H735" s="10">
        <v>2160000</v>
      </c>
      <c r="I735" s="11">
        <v>45856</v>
      </c>
      <c r="J735" s="12">
        <v>182188</v>
      </c>
      <c r="K735" s="13" t="s">
        <v>791</v>
      </c>
      <c r="L735" s="14" t="s">
        <v>50</v>
      </c>
      <c r="M735" s="11" t="s">
        <v>21</v>
      </c>
      <c r="N735" s="14" t="s">
        <v>11</v>
      </c>
      <c r="O735" s="15">
        <v>4599</v>
      </c>
      <c r="P735" s="12">
        <v>1</v>
      </c>
      <c r="Q735" s="13" t="s">
        <v>2098</v>
      </c>
      <c r="R735" s="16">
        <v>6912000</v>
      </c>
      <c r="S735" s="17">
        <v>6400000</v>
      </c>
      <c r="T735" s="12">
        <v>0</v>
      </c>
      <c r="U735" s="18">
        <v>0</v>
      </c>
      <c r="V735" s="19">
        <v>0</v>
      </c>
      <c r="W735" s="13" t="s">
        <v>2159</v>
      </c>
      <c r="X735" s="14" t="s">
        <v>2399</v>
      </c>
      <c r="Y735" s="13" t="s">
        <v>2389</v>
      </c>
      <c r="Z735" s="14" t="s">
        <v>2400</v>
      </c>
      <c r="AA735" s="17">
        <v>11</v>
      </c>
      <c r="AB735" s="14" t="s">
        <v>2401</v>
      </c>
      <c r="AC735" s="17">
        <v>6912000</v>
      </c>
      <c r="AD735" s="14" t="s">
        <v>2100</v>
      </c>
      <c r="AE735" s="17">
        <v>6400000</v>
      </c>
      <c r="AF735" s="14" t="s">
        <v>618</v>
      </c>
      <c r="AG735" s="21" t="s">
        <v>1079</v>
      </c>
      <c r="AH735" s="10">
        <v>4001889</v>
      </c>
      <c r="AI735" s="24" t="str">
        <f>VLOOKUP(Sales[[#This Row],[Store]],'Store lay bao  cao'!A:B,2,0)</f>
        <v>Lấy BC</v>
      </c>
      <c r="AJ735" s="24" t="str">
        <f>VLOOKUP(Sales[[#This Row],[Associate]],'Associate Status'!B:C,2,0)</f>
        <v>Active</v>
      </c>
    </row>
    <row r="736" spans="1:36" x14ac:dyDescent="0.25">
      <c r="A736" s="7">
        <v>2025</v>
      </c>
      <c r="B736" s="8">
        <v>7</v>
      </c>
      <c r="C736" s="8">
        <v>29</v>
      </c>
      <c r="D736" s="8" t="s">
        <v>52</v>
      </c>
      <c r="E736" s="8" t="s">
        <v>43</v>
      </c>
      <c r="F736" s="8" t="s">
        <v>52</v>
      </c>
      <c r="G736" s="9">
        <v>3597165</v>
      </c>
      <c r="H736" s="10">
        <v>3240000</v>
      </c>
      <c r="I736" s="11">
        <v>45856</v>
      </c>
      <c r="J736" s="12">
        <v>182175</v>
      </c>
      <c r="K736" s="13" t="s">
        <v>790</v>
      </c>
      <c r="L736" s="14" t="s">
        <v>50</v>
      </c>
      <c r="M736" s="11" t="s">
        <v>21</v>
      </c>
      <c r="N736" s="14" t="s">
        <v>11</v>
      </c>
      <c r="O736" s="15">
        <v>4600</v>
      </c>
      <c r="P736" s="12">
        <v>1</v>
      </c>
      <c r="Q736" s="13" t="s">
        <v>2098</v>
      </c>
      <c r="R736" s="16">
        <v>10368000</v>
      </c>
      <c r="S736" s="17">
        <v>9600000</v>
      </c>
      <c r="T736" s="12">
        <v>0</v>
      </c>
      <c r="U736" s="18">
        <v>0</v>
      </c>
      <c r="V736" s="19">
        <v>0</v>
      </c>
      <c r="W736" s="13" t="s">
        <v>2159</v>
      </c>
      <c r="X736" s="14" t="s">
        <v>2402</v>
      </c>
      <c r="Y736" s="13" t="s">
        <v>2389</v>
      </c>
      <c r="Z736" s="14" t="s">
        <v>2403</v>
      </c>
      <c r="AA736" s="17">
        <v>11</v>
      </c>
      <c r="AB736" s="14" t="s">
        <v>2404</v>
      </c>
      <c r="AC736" s="17">
        <v>10368000</v>
      </c>
      <c r="AD736" s="14" t="s">
        <v>2100</v>
      </c>
      <c r="AE736" s="17">
        <v>9600000</v>
      </c>
      <c r="AF736" s="14" t="s">
        <v>618</v>
      </c>
      <c r="AG736" s="20" t="s">
        <v>1079</v>
      </c>
      <c r="AH736" s="10">
        <v>6002835</v>
      </c>
      <c r="AI736" s="24" t="str">
        <f>VLOOKUP(Sales[[#This Row],[Store]],'Store lay bao  cao'!A:B,2,0)</f>
        <v>Lấy BC</v>
      </c>
      <c r="AJ736" s="24" t="str">
        <f>VLOOKUP(Sales[[#This Row],[Associate]],'Associate Status'!B:C,2,0)</f>
        <v>Active</v>
      </c>
    </row>
    <row r="737" spans="1:36" x14ac:dyDescent="0.25">
      <c r="A737" s="7">
        <v>2025</v>
      </c>
      <c r="B737" s="8">
        <v>7</v>
      </c>
      <c r="C737" s="8">
        <v>29</v>
      </c>
      <c r="D737" s="8" t="s">
        <v>69</v>
      </c>
      <c r="E737" s="8" t="s">
        <v>37</v>
      </c>
      <c r="F737" s="8" t="s">
        <v>69</v>
      </c>
      <c r="G737" s="9">
        <v>20504342</v>
      </c>
      <c r="H737" s="10">
        <v>18832500</v>
      </c>
      <c r="I737" s="11">
        <v>45856</v>
      </c>
      <c r="J737" s="12">
        <v>219141</v>
      </c>
      <c r="K737" s="13" t="s">
        <v>558</v>
      </c>
      <c r="L737" s="14" t="s">
        <v>70</v>
      </c>
      <c r="M737" s="11" t="s">
        <v>17</v>
      </c>
      <c r="N737" s="14" t="s">
        <v>14</v>
      </c>
      <c r="O737" s="15">
        <v>1956</v>
      </c>
      <c r="P737" s="12">
        <v>1</v>
      </c>
      <c r="Q737" s="13" t="s">
        <v>2088</v>
      </c>
      <c r="R737" s="16">
        <v>56367300</v>
      </c>
      <c r="S737" s="17">
        <v>52191944</v>
      </c>
      <c r="T737" s="12">
        <v>5</v>
      </c>
      <c r="U737" s="18">
        <v>2746944</v>
      </c>
      <c r="V737" s="19">
        <v>2966700</v>
      </c>
      <c r="W737" s="13" t="s">
        <v>635</v>
      </c>
      <c r="X737" s="14" t="s">
        <v>2405</v>
      </c>
      <c r="Y737" s="13" t="s">
        <v>2268</v>
      </c>
      <c r="Z737" s="14" t="s">
        <v>2406</v>
      </c>
      <c r="AA737" s="17">
        <v>14</v>
      </c>
      <c r="AB737" s="14" t="s">
        <v>2407</v>
      </c>
      <c r="AC737" s="17">
        <v>59334000</v>
      </c>
      <c r="AD737" s="14" t="s">
        <v>108</v>
      </c>
      <c r="AE737" s="17">
        <v>54938889</v>
      </c>
      <c r="AF737" s="14" t="s">
        <v>121</v>
      </c>
      <c r="AG737" s="21" t="s">
        <v>2271</v>
      </c>
      <c r="AH737" s="10">
        <v>31687602</v>
      </c>
      <c r="AI737" s="24" t="str">
        <f>VLOOKUP(Sales[[#This Row],[Store]],'Store lay bao  cao'!A:B,2,0)</f>
        <v>Lấy BC</v>
      </c>
      <c r="AJ737" s="24" t="str">
        <f>VLOOKUP(Sales[[#This Row],[Associate]],'Associate Status'!B:C,2,0)</f>
        <v>Active</v>
      </c>
    </row>
    <row r="738" spans="1:36" x14ac:dyDescent="0.25">
      <c r="A738" s="7">
        <v>2025</v>
      </c>
      <c r="B738" s="8">
        <v>7</v>
      </c>
      <c r="C738" s="8">
        <v>29</v>
      </c>
      <c r="D738" s="8" t="s">
        <v>60</v>
      </c>
      <c r="E738" s="8" t="s">
        <v>37</v>
      </c>
      <c r="F738" s="8" t="s">
        <v>60</v>
      </c>
      <c r="G738" s="9">
        <v>1945223</v>
      </c>
      <c r="H738" s="10">
        <v>1453500</v>
      </c>
      <c r="I738" s="11">
        <v>45856</v>
      </c>
      <c r="J738" s="12">
        <v>202783</v>
      </c>
      <c r="K738" s="13" t="s">
        <v>1991</v>
      </c>
      <c r="L738" s="14" t="s">
        <v>19</v>
      </c>
      <c r="M738" s="11" t="s">
        <v>28</v>
      </c>
      <c r="N738" s="14" t="s">
        <v>62</v>
      </c>
      <c r="O738" s="15">
        <v>2811</v>
      </c>
      <c r="P738" s="12">
        <v>1</v>
      </c>
      <c r="Q738" s="13" t="s">
        <v>2098</v>
      </c>
      <c r="R738" s="16">
        <v>4817000</v>
      </c>
      <c r="S738" s="17">
        <v>4460185</v>
      </c>
      <c r="T738" s="12">
        <v>0</v>
      </c>
      <c r="U738" s="18">
        <v>0</v>
      </c>
      <c r="V738" s="19">
        <v>0</v>
      </c>
      <c r="W738" s="13" t="s">
        <v>2162</v>
      </c>
      <c r="X738" s="14" t="s">
        <v>1986</v>
      </c>
      <c r="Y738" s="13" t="s">
        <v>1480</v>
      </c>
      <c r="Z738" s="14" t="s">
        <v>1987</v>
      </c>
      <c r="AA738" s="17">
        <v>20</v>
      </c>
      <c r="AB738" s="14" t="s">
        <v>2244</v>
      </c>
      <c r="AC738" s="17">
        <v>4817000</v>
      </c>
      <c r="AD738" s="14" t="s">
        <v>108</v>
      </c>
      <c r="AE738" s="17">
        <v>4460185</v>
      </c>
      <c r="AF738" s="14" t="s">
        <v>1157</v>
      </c>
      <c r="AG738" s="20" t="s">
        <v>1481</v>
      </c>
      <c r="AH738" s="10">
        <v>2514962</v>
      </c>
      <c r="AI738" s="24" t="str">
        <f>VLOOKUP(Sales[[#This Row],[Store]],'Store lay bao  cao'!A:B,2,0)</f>
        <v>Lấy BC</v>
      </c>
      <c r="AJ738" s="24" t="e">
        <f>VLOOKUP(Sales[[#This Row],[Associate]],'Associate Status'!B:C,2,0)</f>
        <v>#N/A</v>
      </c>
    </row>
    <row r="739" spans="1:36" x14ac:dyDescent="0.25">
      <c r="A739" s="7">
        <v>2025</v>
      </c>
      <c r="B739" s="8">
        <v>7</v>
      </c>
      <c r="C739" s="8">
        <v>29</v>
      </c>
      <c r="D739" s="8" t="s">
        <v>60</v>
      </c>
      <c r="E739" s="8" t="s">
        <v>37</v>
      </c>
      <c r="F739" s="8" t="s">
        <v>60</v>
      </c>
      <c r="G739" s="9">
        <v>4411092</v>
      </c>
      <c r="H739" s="10">
        <v>4104000</v>
      </c>
      <c r="I739" s="11">
        <v>45857</v>
      </c>
      <c r="J739" s="12">
        <v>208293</v>
      </c>
      <c r="K739" s="13" t="s">
        <v>792</v>
      </c>
      <c r="L739" s="14" t="s">
        <v>50</v>
      </c>
      <c r="M739" s="11" t="s">
        <v>21</v>
      </c>
      <c r="N739" s="14" t="s">
        <v>11</v>
      </c>
      <c r="O739" s="15">
        <v>4630</v>
      </c>
      <c r="P739" s="12">
        <v>1</v>
      </c>
      <c r="Q739" s="13" t="s">
        <v>2098</v>
      </c>
      <c r="R739" s="16">
        <v>13133000</v>
      </c>
      <c r="S739" s="17">
        <v>12160185</v>
      </c>
      <c r="T739" s="12">
        <v>0</v>
      </c>
      <c r="U739" s="18">
        <v>0</v>
      </c>
      <c r="V739" s="19">
        <v>0</v>
      </c>
      <c r="W739" s="13" t="s">
        <v>2163</v>
      </c>
      <c r="X739" s="14" t="s">
        <v>2408</v>
      </c>
      <c r="Y739" s="13" t="s">
        <v>2227</v>
      </c>
      <c r="Z739" s="14" t="s">
        <v>2409</v>
      </c>
      <c r="AA739" s="17">
        <v>16</v>
      </c>
      <c r="AB739" s="14" t="s">
        <v>2410</v>
      </c>
      <c r="AC739" s="17">
        <v>13133000</v>
      </c>
      <c r="AD739" s="14" t="s">
        <v>108</v>
      </c>
      <c r="AE739" s="17">
        <v>12160185</v>
      </c>
      <c r="AF739" s="14" t="s">
        <v>170</v>
      </c>
      <c r="AG739" s="21" t="s">
        <v>464</v>
      </c>
      <c r="AH739" s="10">
        <v>7749093</v>
      </c>
      <c r="AI739" s="24" t="str">
        <f>VLOOKUP(Sales[[#This Row],[Store]],'Store lay bao  cao'!A:B,2,0)</f>
        <v>Lấy BC</v>
      </c>
      <c r="AJ739" s="24" t="str">
        <f>VLOOKUP(Sales[[#This Row],[Associate]],'Associate Status'!B:C,2,0)</f>
        <v>Active</v>
      </c>
    </row>
    <row r="740" spans="1:36" x14ac:dyDescent="0.25">
      <c r="A740" s="7">
        <v>2025</v>
      </c>
      <c r="B740" s="8">
        <v>7</v>
      </c>
      <c r="C740" s="8">
        <v>29</v>
      </c>
      <c r="D740" s="8" t="s">
        <v>60</v>
      </c>
      <c r="E740" s="8" t="s">
        <v>37</v>
      </c>
      <c r="F740" s="8" t="s">
        <v>60</v>
      </c>
      <c r="G740" s="9">
        <v>2593631</v>
      </c>
      <c r="H740" s="10">
        <v>1938000</v>
      </c>
      <c r="I740" s="11">
        <v>45858</v>
      </c>
      <c r="J740" s="12">
        <v>202780</v>
      </c>
      <c r="K740" s="13" t="s">
        <v>1999</v>
      </c>
      <c r="L740" s="14" t="s">
        <v>19</v>
      </c>
      <c r="M740" s="11" t="s">
        <v>28</v>
      </c>
      <c r="N740" s="14" t="s">
        <v>62</v>
      </c>
      <c r="O740" s="15">
        <v>2839</v>
      </c>
      <c r="P740" s="12">
        <v>1</v>
      </c>
      <c r="Q740" s="13" t="s">
        <v>2098</v>
      </c>
      <c r="R740" s="16">
        <v>6422000</v>
      </c>
      <c r="S740" s="17">
        <v>5946296</v>
      </c>
      <c r="T740" s="12">
        <v>0</v>
      </c>
      <c r="U740" s="18">
        <v>0</v>
      </c>
      <c r="V740" s="19">
        <v>0</v>
      </c>
      <c r="W740" s="13" t="s">
        <v>2169</v>
      </c>
      <c r="X740" s="14" t="s">
        <v>2411</v>
      </c>
      <c r="Y740" s="13" t="s">
        <v>2179</v>
      </c>
      <c r="Z740" s="14" t="s">
        <v>1546</v>
      </c>
      <c r="AA740" s="17">
        <v>14</v>
      </c>
      <c r="AB740" s="14" t="s">
        <v>2412</v>
      </c>
      <c r="AC740" s="17">
        <v>6422000</v>
      </c>
      <c r="AD740" s="14" t="s">
        <v>108</v>
      </c>
      <c r="AE740" s="17">
        <v>5946296</v>
      </c>
      <c r="AF740" s="14" t="s">
        <v>846</v>
      </c>
      <c r="AG740" s="20" t="s">
        <v>252</v>
      </c>
      <c r="AH740" s="10">
        <v>3352665</v>
      </c>
      <c r="AI740" s="24" t="str">
        <f>VLOOKUP(Sales[[#This Row],[Store]],'Store lay bao  cao'!A:B,2,0)</f>
        <v>Lấy BC</v>
      </c>
      <c r="AJ740" s="24" t="str">
        <f>VLOOKUP(Sales[[#This Row],[Associate]],'Associate Status'!B:C,2,0)</f>
        <v>Active</v>
      </c>
    </row>
    <row r="741" spans="1:36" x14ac:dyDescent="0.25">
      <c r="A741" s="7">
        <v>2025</v>
      </c>
      <c r="B741" s="8">
        <v>7</v>
      </c>
      <c r="C741" s="8">
        <v>30</v>
      </c>
      <c r="D741" s="8" t="s">
        <v>69</v>
      </c>
      <c r="E741" s="8" t="s">
        <v>37</v>
      </c>
      <c r="F741" s="8" t="s">
        <v>69</v>
      </c>
      <c r="G741" s="9">
        <v>20504342</v>
      </c>
      <c r="H741" s="10">
        <v>18832500</v>
      </c>
      <c r="I741" s="11">
        <v>45861</v>
      </c>
      <c r="J741" s="12">
        <v>219141</v>
      </c>
      <c r="K741" s="13" t="s">
        <v>473</v>
      </c>
      <c r="L741" s="14" t="s">
        <v>70</v>
      </c>
      <c r="M741" s="11" t="s">
        <v>15</v>
      </c>
      <c r="N741" s="14" t="s">
        <v>14</v>
      </c>
      <c r="O741" s="15">
        <v>2978</v>
      </c>
      <c r="P741" s="12">
        <v>1</v>
      </c>
      <c r="Q741" s="13" t="s">
        <v>102</v>
      </c>
      <c r="R741" s="16">
        <v>59334000</v>
      </c>
      <c r="S741" s="17">
        <v>54938889</v>
      </c>
      <c r="T741" s="12">
        <v>0</v>
      </c>
      <c r="U741" s="18">
        <v>0</v>
      </c>
      <c r="V741" s="19">
        <v>0</v>
      </c>
      <c r="W741" s="13" t="s">
        <v>1563</v>
      </c>
      <c r="X741" s="14" t="s">
        <v>2405</v>
      </c>
      <c r="Y741" s="13" t="s">
        <v>265</v>
      </c>
      <c r="Z741" s="14" t="s">
        <v>2406</v>
      </c>
      <c r="AA741" s="17">
        <v>14</v>
      </c>
      <c r="AB741" s="14" t="s">
        <v>2407</v>
      </c>
      <c r="AC741" s="17">
        <v>59334000</v>
      </c>
      <c r="AD741" s="14" t="s">
        <v>108</v>
      </c>
      <c r="AE741" s="17">
        <v>54938889</v>
      </c>
      <c r="AF741" s="14" t="s">
        <v>136</v>
      </c>
      <c r="AG741" s="21" t="s">
        <v>266</v>
      </c>
      <c r="AH741" s="10">
        <v>34434547</v>
      </c>
      <c r="AI741" s="24" t="str">
        <f>VLOOKUP(Sales[[#This Row],[Store]],'Store lay bao  cao'!A:B,2,0)</f>
        <v>Lấy BC</v>
      </c>
      <c r="AJ741" s="24" t="str">
        <f>VLOOKUP(Sales[[#This Row],[Associate]],'Associate Status'!B:C,2,0)</f>
        <v>Active</v>
      </c>
    </row>
    <row r="742" spans="1:36" x14ac:dyDescent="0.25">
      <c r="A742" s="7">
        <v>2025</v>
      </c>
      <c r="B742" s="8">
        <v>7</v>
      </c>
      <c r="C742" s="8">
        <v>30</v>
      </c>
      <c r="D742" s="8" t="s">
        <v>69</v>
      </c>
      <c r="E742" s="8" t="s">
        <v>37</v>
      </c>
      <c r="F742" s="8" t="s">
        <v>69</v>
      </c>
      <c r="G742" s="9">
        <v>5088115</v>
      </c>
      <c r="H742" s="10">
        <v>4673250</v>
      </c>
      <c r="I742" s="11">
        <v>45861</v>
      </c>
      <c r="J742" s="12">
        <v>219155</v>
      </c>
      <c r="K742" s="13" t="s">
        <v>473</v>
      </c>
      <c r="L742" s="14" t="s">
        <v>70</v>
      </c>
      <c r="M742" s="11" t="s">
        <v>15</v>
      </c>
      <c r="N742" s="14" t="s">
        <v>14</v>
      </c>
      <c r="O742" s="15">
        <v>2978</v>
      </c>
      <c r="P742" s="12">
        <v>1</v>
      </c>
      <c r="Q742" s="13" t="s">
        <v>102</v>
      </c>
      <c r="R742" s="16">
        <v>15175000</v>
      </c>
      <c r="S742" s="17">
        <v>14050926</v>
      </c>
      <c r="T742" s="12">
        <v>0</v>
      </c>
      <c r="U742" s="18">
        <v>0</v>
      </c>
      <c r="V742" s="19">
        <v>0</v>
      </c>
      <c r="W742" s="13" t="s">
        <v>1563</v>
      </c>
      <c r="X742" s="14" t="s">
        <v>2413</v>
      </c>
      <c r="Y742" s="13" t="s">
        <v>265</v>
      </c>
      <c r="Z742" s="14" t="s">
        <v>2414</v>
      </c>
      <c r="AA742" s="17">
        <v>14</v>
      </c>
      <c r="AB742" s="14" t="s">
        <v>2407</v>
      </c>
      <c r="AC742" s="17">
        <v>15175000</v>
      </c>
      <c r="AD742" s="14" t="s">
        <v>108</v>
      </c>
      <c r="AE742" s="17">
        <v>14050926</v>
      </c>
      <c r="AF742" s="14" t="s">
        <v>136</v>
      </c>
      <c r="AG742" s="20" t="s">
        <v>266</v>
      </c>
      <c r="AH742" s="10">
        <v>8962811</v>
      </c>
      <c r="AI742" s="24" t="str">
        <f>VLOOKUP(Sales[[#This Row],[Store]],'Store lay bao  cao'!A:B,2,0)</f>
        <v>Lấy BC</v>
      </c>
      <c r="AJ742" s="24" t="str">
        <f>VLOOKUP(Sales[[#This Row],[Associate]],'Associate Status'!B:C,2,0)</f>
        <v>Active</v>
      </c>
    </row>
    <row r="743" spans="1:36" x14ac:dyDescent="0.25">
      <c r="A743" s="7">
        <v>2025</v>
      </c>
      <c r="B743" s="8">
        <v>7</v>
      </c>
      <c r="C743" s="8">
        <v>30</v>
      </c>
      <c r="D743" s="8" t="s">
        <v>69</v>
      </c>
      <c r="E743" s="8" t="s">
        <v>43</v>
      </c>
      <c r="F743" s="8" t="s">
        <v>69</v>
      </c>
      <c r="G743" s="9">
        <v>7518259</v>
      </c>
      <c r="H743" s="10">
        <v>6905250</v>
      </c>
      <c r="I743" s="11">
        <v>45861</v>
      </c>
      <c r="J743" s="12">
        <v>219150</v>
      </c>
      <c r="K743" s="13" t="s">
        <v>473</v>
      </c>
      <c r="L743" s="14" t="s">
        <v>70</v>
      </c>
      <c r="M743" s="11" t="s">
        <v>15</v>
      </c>
      <c r="N743" s="14" t="s">
        <v>14</v>
      </c>
      <c r="O743" s="15">
        <v>2978</v>
      </c>
      <c r="P743" s="12">
        <v>1</v>
      </c>
      <c r="Q743" s="13" t="s">
        <v>102</v>
      </c>
      <c r="R743" s="16">
        <v>20801000</v>
      </c>
      <c r="S743" s="17">
        <v>19260185</v>
      </c>
      <c r="T743" s="12">
        <v>0</v>
      </c>
      <c r="U743" s="18">
        <v>0</v>
      </c>
      <c r="V743" s="19">
        <v>0</v>
      </c>
      <c r="W743" s="13" t="s">
        <v>1563</v>
      </c>
      <c r="X743" s="14" t="s">
        <v>2415</v>
      </c>
      <c r="Y743" s="13" t="s">
        <v>265</v>
      </c>
      <c r="Z743" s="14" t="s">
        <v>2416</v>
      </c>
      <c r="AA743" s="17">
        <v>14</v>
      </c>
      <c r="AB743" s="14" t="s">
        <v>2407</v>
      </c>
      <c r="AC743" s="17">
        <v>20801000</v>
      </c>
      <c r="AD743" s="14" t="s">
        <v>2155</v>
      </c>
      <c r="AE743" s="17">
        <v>19260185</v>
      </c>
      <c r="AF743" s="14" t="s">
        <v>136</v>
      </c>
      <c r="AG743" s="21" t="s">
        <v>266</v>
      </c>
      <c r="AH743" s="10">
        <v>11741926</v>
      </c>
      <c r="AI743" s="24" t="str">
        <f>VLOOKUP(Sales[[#This Row],[Store]],'Store lay bao  cao'!A:B,2,0)</f>
        <v>Lấy BC</v>
      </c>
      <c r="AJ743" s="24" t="str">
        <f>VLOOKUP(Sales[[#This Row],[Associate]],'Associate Status'!B:C,2,0)</f>
        <v>Active</v>
      </c>
    </row>
    <row r="744" spans="1:36" x14ac:dyDescent="0.25">
      <c r="A744" s="7">
        <v>2025</v>
      </c>
      <c r="B744" s="8">
        <v>7</v>
      </c>
      <c r="C744" s="8">
        <v>30</v>
      </c>
      <c r="D744" s="8" t="s">
        <v>60</v>
      </c>
      <c r="E744" s="8" t="s">
        <v>37</v>
      </c>
      <c r="F744" s="8" t="s">
        <v>60</v>
      </c>
      <c r="G744" s="9">
        <v>16557433</v>
      </c>
      <c r="H744" s="10">
        <v>17521515</v>
      </c>
      <c r="I744" s="11">
        <v>45861</v>
      </c>
      <c r="J744" s="12">
        <v>206897</v>
      </c>
      <c r="K744" s="13" t="s">
        <v>472</v>
      </c>
      <c r="L744" s="14" t="s">
        <v>58</v>
      </c>
      <c r="M744" s="11" t="s">
        <v>15</v>
      </c>
      <c r="N744" s="14" t="s">
        <v>11</v>
      </c>
      <c r="O744" s="15">
        <v>2980</v>
      </c>
      <c r="P744" s="12">
        <v>1</v>
      </c>
      <c r="Q744" s="13" t="s">
        <v>2088</v>
      </c>
      <c r="R744" s="16">
        <v>61068000</v>
      </c>
      <c r="S744" s="17">
        <v>56544444</v>
      </c>
      <c r="T744" s="12">
        <v>0</v>
      </c>
      <c r="U744" s="18">
        <v>0</v>
      </c>
      <c r="V744" s="19">
        <v>0</v>
      </c>
      <c r="W744" s="13" t="s">
        <v>1563</v>
      </c>
      <c r="X744" s="14" t="s">
        <v>2417</v>
      </c>
      <c r="Y744" s="13" t="s">
        <v>329</v>
      </c>
      <c r="Z744" s="14" t="s">
        <v>1298</v>
      </c>
      <c r="AA744" s="17">
        <v>15</v>
      </c>
      <c r="AB744" s="14" t="s">
        <v>1498</v>
      </c>
      <c r="AC744" s="17">
        <v>61068000</v>
      </c>
      <c r="AD744" s="14" t="s">
        <v>2418</v>
      </c>
      <c r="AE744" s="17">
        <v>56544444</v>
      </c>
      <c r="AF744" s="14" t="s">
        <v>1978</v>
      </c>
      <c r="AG744" s="20" t="s">
        <v>172</v>
      </c>
      <c r="AH744" s="10">
        <v>39987011</v>
      </c>
      <c r="AI744" s="24" t="str">
        <f>VLOOKUP(Sales[[#This Row],[Store]],'Store lay bao  cao'!A:B,2,0)</f>
        <v>Lấy BC</v>
      </c>
      <c r="AJ744" s="24" t="str">
        <f>VLOOKUP(Sales[[#This Row],[Associate]],'Associate Status'!B:C,2,0)</f>
        <v>Active</v>
      </c>
    </row>
    <row r="745" spans="1:36" x14ac:dyDescent="0.25">
      <c r="A745" s="7">
        <v>2025</v>
      </c>
      <c r="B745" s="8">
        <v>7</v>
      </c>
      <c r="C745" s="8">
        <v>30</v>
      </c>
      <c r="D745" s="8" t="s">
        <v>60</v>
      </c>
      <c r="E745" s="8" t="s">
        <v>34</v>
      </c>
      <c r="F745" s="8" t="s">
        <v>60</v>
      </c>
      <c r="G745" s="9">
        <v>23063090</v>
      </c>
      <c r="H745" s="10">
        <v>24405975</v>
      </c>
      <c r="I745" s="11">
        <v>45861</v>
      </c>
      <c r="J745" s="12">
        <v>206909</v>
      </c>
      <c r="K745" s="13" t="s">
        <v>472</v>
      </c>
      <c r="L745" s="14" t="s">
        <v>58</v>
      </c>
      <c r="M745" s="11" t="s">
        <v>15</v>
      </c>
      <c r="N745" s="14" t="s">
        <v>11</v>
      </c>
      <c r="O745" s="15">
        <v>2980</v>
      </c>
      <c r="P745" s="12">
        <v>1</v>
      </c>
      <c r="Q745" s="13" t="s">
        <v>2088</v>
      </c>
      <c r="R745" s="16">
        <v>81715000</v>
      </c>
      <c r="S745" s="17">
        <v>75662037</v>
      </c>
      <c r="T745" s="12">
        <v>0</v>
      </c>
      <c r="U745" s="18">
        <v>0</v>
      </c>
      <c r="V745" s="19">
        <v>0</v>
      </c>
      <c r="W745" s="13" t="s">
        <v>1563</v>
      </c>
      <c r="X745" s="14" t="s">
        <v>2419</v>
      </c>
      <c r="Y745" s="13" t="s">
        <v>329</v>
      </c>
      <c r="Z745" s="14" t="s">
        <v>2420</v>
      </c>
      <c r="AA745" s="17">
        <v>15</v>
      </c>
      <c r="AB745" s="14" t="s">
        <v>1498</v>
      </c>
      <c r="AC745" s="17">
        <v>81715000</v>
      </c>
      <c r="AD745" s="14" t="s">
        <v>2218</v>
      </c>
      <c r="AE745" s="17">
        <v>75662037</v>
      </c>
      <c r="AF745" s="14" t="s">
        <v>1978</v>
      </c>
      <c r="AG745" s="21" t="s">
        <v>172</v>
      </c>
      <c r="AH745" s="10">
        <v>52598947</v>
      </c>
      <c r="AI745" s="24" t="str">
        <f>VLOOKUP(Sales[[#This Row],[Store]],'Store lay bao  cao'!A:B,2,0)</f>
        <v>Lấy BC</v>
      </c>
      <c r="AJ745" s="24" t="str">
        <f>VLOOKUP(Sales[[#This Row],[Associate]],'Associate Status'!B:C,2,0)</f>
        <v>Active</v>
      </c>
    </row>
    <row r="746" spans="1:36" x14ac:dyDescent="0.25">
      <c r="A746" s="7">
        <v>2025</v>
      </c>
      <c r="B746" s="8">
        <v>7</v>
      </c>
      <c r="C746" s="8">
        <v>30</v>
      </c>
      <c r="D746" s="8" t="s">
        <v>69</v>
      </c>
      <c r="E746" s="8" t="s">
        <v>37</v>
      </c>
      <c r="F746" s="8" t="s">
        <v>69</v>
      </c>
      <c r="G746" s="9">
        <v>-20504342</v>
      </c>
      <c r="H746" s="10">
        <v>-18832500</v>
      </c>
      <c r="I746" s="11">
        <v>45862</v>
      </c>
      <c r="J746" s="12">
        <v>219141</v>
      </c>
      <c r="K746" s="13" t="s">
        <v>563</v>
      </c>
      <c r="L746" s="14" t="s">
        <v>70</v>
      </c>
      <c r="M746" s="11" t="s">
        <v>17</v>
      </c>
      <c r="N746" s="14" t="s">
        <v>14</v>
      </c>
      <c r="O746" s="15">
        <v>1984</v>
      </c>
      <c r="P746" s="12">
        <v>-1</v>
      </c>
      <c r="Q746" s="13" t="s">
        <v>2094</v>
      </c>
      <c r="R746" s="16">
        <v>-56367300</v>
      </c>
      <c r="S746" s="17">
        <v>-52191944</v>
      </c>
      <c r="T746" s="12">
        <v>5</v>
      </c>
      <c r="U746" s="18">
        <v>-2746944</v>
      </c>
      <c r="V746" s="19">
        <v>-2966700</v>
      </c>
      <c r="W746" s="13" t="s">
        <v>635</v>
      </c>
      <c r="X746" s="14" t="s">
        <v>2405</v>
      </c>
      <c r="Y746" s="13" t="s">
        <v>2268</v>
      </c>
      <c r="Z746" s="14" t="s">
        <v>2406</v>
      </c>
      <c r="AA746" s="17">
        <v>17</v>
      </c>
      <c r="AB746" s="14" t="s">
        <v>2407</v>
      </c>
      <c r="AC746" s="17">
        <v>-59334000</v>
      </c>
      <c r="AD746" s="14" t="s">
        <v>108</v>
      </c>
      <c r="AE746" s="17">
        <v>-54938889</v>
      </c>
      <c r="AF746" s="14" t="s">
        <v>121</v>
      </c>
      <c r="AG746" s="20" t="s">
        <v>2271</v>
      </c>
      <c r="AH746" s="10">
        <v>-31687602</v>
      </c>
      <c r="AI746" s="24" t="str">
        <f>VLOOKUP(Sales[[#This Row],[Store]],'Store lay bao  cao'!A:B,2,0)</f>
        <v>Lấy BC</v>
      </c>
      <c r="AJ746" s="24" t="str">
        <f>VLOOKUP(Sales[[#This Row],[Associate]],'Associate Status'!B:C,2,0)</f>
        <v>Active</v>
      </c>
    </row>
    <row r="747" spans="1:36" x14ac:dyDescent="0.25">
      <c r="A747" s="7">
        <v>2025</v>
      </c>
      <c r="B747" s="8">
        <v>7</v>
      </c>
      <c r="C747" s="8">
        <v>30</v>
      </c>
      <c r="D747" s="8" t="s">
        <v>69</v>
      </c>
      <c r="E747" s="8" t="s">
        <v>37</v>
      </c>
      <c r="F747" s="8" t="s">
        <v>69</v>
      </c>
      <c r="G747" s="9">
        <v>17325973</v>
      </c>
      <c r="H747" s="10">
        <v>16168950</v>
      </c>
      <c r="I747" s="11">
        <v>45862</v>
      </c>
      <c r="J747" s="12">
        <v>217094</v>
      </c>
      <c r="K747" s="13" t="s">
        <v>562</v>
      </c>
      <c r="L747" s="14" t="s">
        <v>58</v>
      </c>
      <c r="M747" s="11" t="s">
        <v>17</v>
      </c>
      <c r="N747" s="14" t="s">
        <v>62</v>
      </c>
      <c r="O747" s="15">
        <v>1985</v>
      </c>
      <c r="P747" s="12">
        <v>1</v>
      </c>
      <c r="Q747" s="13" t="s">
        <v>2094</v>
      </c>
      <c r="R747" s="16">
        <v>52686050</v>
      </c>
      <c r="S747" s="17">
        <v>48783380</v>
      </c>
      <c r="T747" s="12">
        <v>5</v>
      </c>
      <c r="U747" s="18">
        <v>2567546</v>
      </c>
      <c r="V747" s="19">
        <v>2772950</v>
      </c>
      <c r="W747" s="13" t="s">
        <v>635</v>
      </c>
      <c r="X747" s="14" t="s">
        <v>2310</v>
      </c>
      <c r="Y747" s="13" t="s">
        <v>2268</v>
      </c>
      <c r="Z747" s="14" t="s">
        <v>2421</v>
      </c>
      <c r="AA747" s="17">
        <v>17</v>
      </c>
      <c r="AB747" s="14" t="s">
        <v>2306</v>
      </c>
      <c r="AC747" s="17">
        <v>55459000</v>
      </c>
      <c r="AD747" s="14" t="s">
        <v>2097</v>
      </c>
      <c r="AE747" s="17">
        <v>51350926</v>
      </c>
      <c r="AF747" s="14" t="s">
        <v>121</v>
      </c>
      <c r="AG747" s="21" t="s">
        <v>2271</v>
      </c>
      <c r="AH747" s="10">
        <v>31457407</v>
      </c>
      <c r="AI747" s="24" t="str">
        <f>VLOOKUP(Sales[[#This Row],[Store]],'Store lay bao  cao'!A:B,2,0)</f>
        <v>Lấy BC</v>
      </c>
      <c r="AJ747" s="24" t="str">
        <f>VLOOKUP(Sales[[#This Row],[Associate]],'Associate Status'!B:C,2,0)</f>
        <v>Active</v>
      </c>
    </row>
    <row r="748" spans="1:36" x14ac:dyDescent="0.25">
      <c r="A748" s="7">
        <v>2025</v>
      </c>
      <c r="B748" s="8">
        <v>7</v>
      </c>
      <c r="C748" s="8">
        <v>30</v>
      </c>
      <c r="D748" s="8" t="s">
        <v>69</v>
      </c>
      <c r="E748" s="8" t="s">
        <v>34</v>
      </c>
      <c r="F748" s="8" t="s">
        <v>69</v>
      </c>
      <c r="G748" s="9">
        <v>9416809</v>
      </c>
      <c r="H748" s="10">
        <v>4324500</v>
      </c>
      <c r="I748" s="11">
        <v>45862</v>
      </c>
      <c r="J748" s="12">
        <v>219154</v>
      </c>
      <c r="K748" s="13" t="s">
        <v>476</v>
      </c>
      <c r="L748" s="14" t="s">
        <v>70</v>
      </c>
      <c r="M748" s="11" t="s">
        <v>15</v>
      </c>
      <c r="N748" s="14" t="s">
        <v>62</v>
      </c>
      <c r="O748" s="15">
        <v>2987</v>
      </c>
      <c r="P748" s="12">
        <v>1</v>
      </c>
      <c r="Q748" s="13" t="s">
        <v>2102</v>
      </c>
      <c r="R748" s="16">
        <v>28303000</v>
      </c>
      <c r="S748" s="17">
        <v>26206481</v>
      </c>
      <c r="T748" s="12">
        <v>0</v>
      </c>
      <c r="U748" s="18">
        <v>0</v>
      </c>
      <c r="V748" s="19">
        <v>0</v>
      </c>
      <c r="W748" s="13" t="s">
        <v>349</v>
      </c>
      <c r="X748" s="14" t="s">
        <v>2422</v>
      </c>
      <c r="Y748" s="13" t="s">
        <v>2127</v>
      </c>
      <c r="Z748" s="14" t="s">
        <v>2423</v>
      </c>
      <c r="AA748" s="17">
        <v>18</v>
      </c>
      <c r="AB748" s="14" t="s">
        <v>2407</v>
      </c>
      <c r="AC748" s="17">
        <v>28303000</v>
      </c>
      <c r="AD748" s="14" t="s">
        <v>108</v>
      </c>
      <c r="AE748" s="17">
        <v>26206481</v>
      </c>
      <c r="AF748" s="14" t="s">
        <v>1971</v>
      </c>
      <c r="AG748" s="20" t="s">
        <v>914</v>
      </c>
      <c r="AH748" s="10">
        <v>16789672</v>
      </c>
      <c r="AI748" s="24" t="str">
        <f>VLOOKUP(Sales[[#This Row],[Store]],'Store lay bao  cao'!A:B,2,0)</f>
        <v>Lấy BC</v>
      </c>
      <c r="AJ748" s="24" t="str">
        <f>VLOOKUP(Sales[[#This Row],[Associate]],'Associate Status'!B:C,2,0)</f>
        <v>Active</v>
      </c>
    </row>
    <row r="749" spans="1:36" x14ac:dyDescent="0.25">
      <c r="A749" s="7">
        <v>2025</v>
      </c>
      <c r="B749" s="8">
        <v>7</v>
      </c>
      <c r="C749" s="8">
        <v>31</v>
      </c>
      <c r="D749" s="8" t="s">
        <v>69</v>
      </c>
      <c r="E749" s="8" t="s">
        <v>43</v>
      </c>
      <c r="F749" s="8" t="s">
        <v>69</v>
      </c>
      <c r="G749" s="9">
        <v>291506506</v>
      </c>
      <c r="H749" s="10">
        <v>230850000</v>
      </c>
      <c r="I749" s="11">
        <v>45868</v>
      </c>
      <c r="J749" s="12">
        <v>219138</v>
      </c>
      <c r="K749" s="13" t="s">
        <v>570</v>
      </c>
      <c r="L749" s="14" t="s">
        <v>44</v>
      </c>
      <c r="M749" s="11" t="s">
        <v>17</v>
      </c>
      <c r="N749" s="14" t="s">
        <v>62</v>
      </c>
      <c r="O749" s="15">
        <v>2015</v>
      </c>
      <c r="P749" s="12">
        <v>1</v>
      </c>
      <c r="Q749" s="13" t="s">
        <v>2088</v>
      </c>
      <c r="R749" s="16">
        <v>526338000</v>
      </c>
      <c r="S749" s="17">
        <v>487350000</v>
      </c>
      <c r="T749" s="12">
        <v>10</v>
      </c>
      <c r="U749" s="18">
        <v>54150000</v>
      </c>
      <c r="V749" s="19">
        <v>58482000</v>
      </c>
      <c r="W749" s="13" t="s">
        <v>635</v>
      </c>
      <c r="X749" s="14" t="s">
        <v>2424</v>
      </c>
      <c r="Y749" s="13" t="s">
        <v>2125</v>
      </c>
      <c r="Z749" s="14" t="s">
        <v>959</v>
      </c>
      <c r="AA749" s="17">
        <v>11</v>
      </c>
      <c r="AB749" s="14" t="s">
        <v>137</v>
      </c>
      <c r="AC749" s="17">
        <v>584820000</v>
      </c>
      <c r="AD749" s="14" t="s">
        <v>2425</v>
      </c>
      <c r="AE749" s="17">
        <v>541500000</v>
      </c>
      <c r="AF749" s="14" t="s">
        <v>121</v>
      </c>
      <c r="AG749" s="21" t="s">
        <v>262</v>
      </c>
      <c r="AH749" s="10">
        <v>195843494</v>
      </c>
      <c r="AI749" s="24" t="str">
        <f>VLOOKUP(Sales[[#This Row],[Store]],'Store lay bao  cao'!A:B,2,0)</f>
        <v>Lấy BC</v>
      </c>
      <c r="AJ749" s="24" t="str">
        <f>VLOOKUP(Sales[[#This Row],[Associate]],'Associate Status'!B:C,2,0)</f>
        <v>Active</v>
      </c>
    </row>
    <row r="750" spans="1:36" x14ac:dyDescent="0.25">
      <c r="A750" s="7">
        <v>2025</v>
      </c>
      <c r="B750" s="8">
        <v>7</v>
      </c>
      <c r="C750" s="8">
        <v>31</v>
      </c>
      <c r="D750" s="8" t="s">
        <v>69</v>
      </c>
      <c r="E750" s="8" t="s">
        <v>37</v>
      </c>
      <c r="F750" s="8" t="s">
        <v>69</v>
      </c>
      <c r="G750" s="9">
        <v>83032875</v>
      </c>
      <c r="H750" s="10">
        <v>82863000</v>
      </c>
      <c r="I750" s="11">
        <v>45868</v>
      </c>
      <c r="J750" s="12">
        <v>217465</v>
      </c>
      <c r="K750" s="13" t="s">
        <v>479</v>
      </c>
      <c r="L750" s="14" t="s">
        <v>55</v>
      </c>
      <c r="M750" s="11" t="s">
        <v>15</v>
      </c>
      <c r="N750" s="14" t="s">
        <v>62</v>
      </c>
      <c r="O750" s="15">
        <v>3016</v>
      </c>
      <c r="P750" s="12">
        <v>1</v>
      </c>
      <c r="Q750" s="13" t="s">
        <v>2088</v>
      </c>
      <c r="R750" s="16">
        <v>204671800</v>
      </c>
      <c r="S750" s="17">
        <v>189510926</v>
      </c>
      <c r="T750" s="12">
        <v>5</v>
      </c>
      <c r="U750" s="18">
        <v>9974259</v>
      </c>
      <c r="V750" s="19">
        <v>10772200</v>
      </c>
      <c r="W750" s="13" t="s">
        <v>2171</v>
      </c>
      <c r="X750" s="14" t="s">
        <v>2426</v>
      </c>
      <c r="Y750" s="13" t="s">
        <v>2282</v>
      </c>
      <c r="Z750" s="14" t="s">
        <v>2427</v>
      </c>
      <c r="AA750" s="17">
        <v>13</v>
      </c>
      <c r="AB750" s="14" t="s">
        <v>2260</v>
      </c>
      <c r="AC750" s="17">
        <v>215444000</v>
      </c>
      <c r="AD750" s="14" t="s">
        <v>108</v>
      </c>
      <c r="AE750" s="17">
        <v>199485185</v>
      </c>
      <c r="AF750" s="14" t="s">
        <v>1973</v>
      </c>
      <c r="AG750" s="20" t="s">
        <v>348</v>
      </c>
      <c r="AH750" s="10">
        <v>106478051</v>
      </c>
      <c r="AI750" s="24" t="str">
        <f>VLOOKUP(Sales[[#This Row],[Store]],'Store lay bao  cao'!A:B,2,0)</f>
        <v>Lấy BC</v>
      </c>
      <c r="AJ750" s="24" t="str">
        <f>VLOOKUP(Sales[[#This Row],[Associate]],'Associate Status'!B:C,2,0)</f>
        <v>Active</v>
      </c>
    </row>
    <row r="751" spans="1:36" x14ac:dyDescent="0.25">
      <c r="A751" s="7">
        <v>2025</v>
      </c>
      <c r="B751" s="8">
        <v>7</v>
      </c>
      <c r="C751" s="8">
        <v>31</v>
      </c>
      <c r="D751" s="8" t="s">
        <v>69</v>
      </c>
      <c r="E751" s="8" t="s">
        <v>34</v>
      </c>
      <c r="F751" s="8" t="s">
        <v>69</v>
      </c>
      <c r="G751" s="9">
        <v>196383329</v>
      </c>
      <c r="H751" s="10">
        <v>155520000</v>
      </c>
      <c r="I751" s="11">
        <v>45868</v>
      </c>
      <c r="J751" s="12">
        <v>219140</v>
      </c>
      <c r="K751" s="13" t="s">
        <v>480</v>
      </c>
      <c r="L751" s="14" t="s">
        <v>44</v>
      </c>
      <c r="M751" s="11" t="s">
        <v>15</v>
      </c>
      <c r="N751" s="14" t="s">
        <v>62</v>
      </c>
      <c r="O751" s="15">
        <v>3022</v>
      </c>
      <c r="P751" s="12">
        <v>1</v>
      </c>
      <c r="Q751" s="13" t="s">
        <v>102</v>
      </c>
      <c r="R751" s="16">
        <v>393984000</v>
      </c>
      <c r="S751" s="17">
        <v>364800000</v>
      </c>
      <c r="T751" s="12">
        <v>0</v>
      </c>
      <c r="U751" s="18">
        <v>0</v>
      </c>
      <c r="V751" s="19">
        <v>0</v>
      </c>
      <c r="W751" s="13" t="s">
        <v>1563</v>
      </c>
      <c r="X751" s="14" t="s">
        <v>2428</v>
      </c>
      <c r="Y751" s="13" t="s">
        <v>984</v>
      </c>
      <c r="Z751" s="14" t="s">
        <v>2429</v>
      </c>
      <c r="AA751" s="17">
        <v>16</v>
      </c>
      <c r="AB751" s="14" t="s">
        <v>254</v>
      </c>
      <c r="AC751" s="17">
        <v>393984000</v>
      </c>
      <c r="AD751" s="14" t="s">
        <v>108</v>
      </c>
      <c r="AE751" s="17">
        <v>364800000</v>
      </c>
      <c r="AF751" s="14" t="s">
        <v>1970</v>
      </c>
      <c r="AG751" s="21"/>
      <c r="AH751" s="10">
        <v>168416671</v>
      </c>
      <c r="AI751" s="24" t="str">
        <f>VLOOKUP(Sales[[#This Row],[Store]],'Store lay bao  cao'!A:B,2,0)</f>
        <v>Lấy BC</v>
      </c>
      <c r="AJ751" s="24" t="str">
        <f>VLOOKUP(Sales[[#This Row],[Associate]],'Associate Status'!B:C,2,0)</f>
        <v>Active</v>
      </c>
    </row>
    <row r="752" spans="1:36" ht="77.25" x14ac:dyDescent="0.25">
      <c r="A752" s="7">
        <v>2025</v>
      </c>
      <c r="B752" s="8">
        <v>7</v>
      </c>
      <c r="C752" s="8">
        <v>31</v>
      </c>
      <c r="D752" s="8" t="s">
        <v>69</v>
      </c>
      <c r="E752" s="8" t="s">
        <v>43</v>
      </c>
      <c r="F752" s="8" t="s">
        <v>69</v>
      </c>
      <c r="G752" s="9">
        <v>211725777</v>
      </c>
      <c r="H752" s="10">
        <v>167670000</v>
      </c>
      <c r="I752" s="11">
        <v>45868</v>
      </c>
      <c r="J752" s="12">
        <v>219139</v>
      </c>
      <c r="K752" s="13" t="s">
        <v>480</v>
      </c>
      <c r="L752" s="14" t="s">
        <v>44</v>
      </c>
      <c r="M752" s="11" t="s">
        <v>15</v>
      </c>
      <c r="N752" s="14" t="s">
        <v>62</v>
      </c>
      <c r="O752" s="15">
        <v>3022</v>
      </c>
      <c r="P752" s="12">
        <v>1</v>
      </c>
      <c r="Q752" s="13" t="s">
        <v>102</v>
      </c>
      <c r="R752" s="16">
        <v>424764000</v>
      </c>
      <c r="S752" s="17">
        <v>393300000</v>
      </c>
      <c r="T752" s="12">
        <v>0</v>
      </c>
      <c r="U752" s="18">
        <v>0</v>
      </c>
      <c r="V752" s="19">
        <v>0</v>
      </c>
      <c r="W752" s="13" t="s">
        <v>1563</v>
      </c>
      <c r="X752" s="23" t="s">
        <v>2430</v>
      </c>
      <c r="Y752" s="13" t="s">
        <v>984</v>
      </c>
      <c r="Z752" s="14" t="s">
        <v>2431</v>
      </c>
      <c r="AA752" s="17">
        <v>16</v>
      </c>
      <c r="AB752" s="14" t="s">
        <v>254</v>
      </c>
      <c r="AC752" s="17">
        <v>424764000</v>
      </c>
      <c r="AD752" s="14" t="s">
        <v>2337</v>
      </c>
      <c r="AE752" s="17">
        <v>393300000</v>
      </c>
      <c r="AF752" s="14" t="s">
        <v>1970</v>
      </c>
      <c r="AG752" s="20"/>
      <c r="AH752" s="10">
        <v>181574223</v>
      </c>
      <c r="AI752" s="24" t="str">
        <f>VLOOKUP(Sales[[#This Row],[Store]],'Store lay bao  cao'!A:B,2,0)</f>
        <v>Lấy BC</v>
      </c>
      <c r="AJ752" s="24" t="str">
        <f>VLOOKUP(Sales[[#This Row],[Associate]],'Associate Status'!B:C,2,0)</f>
        <v>Active</v>
      </c>
    </row>
    <row r="753" spans="1:36" x14ac:dyDescent="0.25">
      <c r="A753" s="7">
        <v>2025</v>
      </c>
      <c r="B753" s="8">
        <v>7</v>
      </c>
      <c r="C753" s="8">
        <v>31</v>
      </c>
      <c r="D753" s="8" t="s">
        <v>69</v>
      </c>
      <c r="E753" s="8" t="s">
        <v>37</v>
      </c>
      <c r="F753" s="8" t="s">
        <v>69</v>
      </c>
      <c r="G753" s="9">
        <v>34933324</v>
      </c>
      <c r="H753" s="10">
        <v>32085000</v>
      </c>
      <c r="I753" s="11">
        <v>45869</v>
      </c>
      <c r="J753" s="12">
        <v>219142</v>
      </c>
      <c r="K753" s="13" t="s">
        <v>481</v>
      </c>
      <c r="L753" s="14" t="s">
        <v>70</v>
      </c>
      <c r="M753" s="11" t="s">
        <v>15</v>
      </c>
      <c r="N753" s="14" t="s">
        <v>14</v>
      </c>
      <c r="O753" s="15">
        <v>3030</v>
      </c>
      <c r="P753" s="12">
        <v>1</v>
      </c>
      <c r="Q753" s="13" t="s">
        <v>102</v>
      </c>
      <c r="R753" s="16">
        <v>104346000</v>
      </c>
      <c r="S753" s="17">
        <v>96616667</v>
      </c>
      <c r="T753" s="12">
        <v>0</v>
      </c>
      <c r="U753" s="18">
        <v>0</v>
      </c>
      <c r="V753" s="19">
        <v>0</v>
      </c>
      <c r="W753" s="13" t="s">
        <v>2168</v>
      </c>
      <c r="X753" s="14" t="s">
        <v>2433</v>
      </c>
      <c r="Y753" s="13" t="s">
        <v>2154</v>
      </c>
      <c r="Z753" s="14" t="s">
        <v>2434</v>
      </c>
      <c r="AA753" s="17">
        <v>14</v>
      </c>
      <c r="AB753" s="14" t="s">
        <v>2407</v>
      </c>
      <c r="AC753" s="17">
        <v>104346000</v>
      </c>
      <c r="AD753" s="14" t="s">
        <v>108</v>
      </c>
      <c r="AE753" s="17">
        <v>96616667</v>
      </c>
      <c r="AF753" s="14" t="s">
        <v>1970</v>
      </c>
      <c r="AG753" s="21"/>
      <c r="AH753" s="10">
        <v>61683343</v>
      </c>
      <c r="AI753" s="24" t="str">
        <f>VLOOKUP(Sales[[#This Row],[Store]],'Store lay bao  cao'!A:B,2,0)</f>
        <v>Lấy BC</v>
      </c>
      <c r="AJ753" s="24" t="str">
        <f>VLOOKUP(Sales[[#This Row],[Associate]],'Associate Status'!B:C,2,0)</f>
        <v>Active</v>
      </c>
    </row>
    <row r="754" spans="1:36" x14ac:dyDescent="0.25">
      <c r="A754" s="7">
        <v>2025</v>
      </c>
      <c r="B754" s="8">
        <v>7</v>
      </c>
      <c r="C754" s="8">
        <v>31</v>
      </c>
      <c r="D754" s="8" t="s">
        <v>69</v>
      </c>
      <c r="E754" s="8" t="s">
        <v>53</v>
      </c>
      <c r="F754" s="8" t="s">
        <v>69</v>
      </c>
      <c r="G754" s="9">
        <v>30376804</v>
      </c>
      <c r="H754" s="10">
        <v>27900000</v>
      </c>
      <c r="I754" s="11">
        <v>45869</v>
      </c>
      <c r="J754" s="12">
        <v>219164</v>
      </c>
      <c r="K754" s="13" t="s">
        <v>481</v>
      </c>
      <c r="L754" s="14" t="s">
        <v>70</v>
      </c>
      <c r="M754" s="11" t="s">
        <v>15</v>
      </c>
      <c r="N754" s="14" t="s">
        <v>14</v>
      </c>
      <c r="O754" s="15">
        <v>3030</v>
      </c>
      <c r="P754" s="12">
        <v>1</v>
      </c>
      <c r="Q754" s="13" t="s">
        <v>102</v>
      </c>
      <c r="R754" s="16">
        <v>90024000</v>
      </c>
      <c r="S754" s="17">
        <v>83355556</v>
      </c>
      <c r="T754" s="12">
        <v>0</v>
      </c>
      <c r="U754" s="18">
        <v>0</v>
      </c>
      <c r="V754" s="19">
        <v>0</v>
      </c>
      <c r="W754" s="13" t="s">
        <v>2168</v>
      </c>
      <c r="X754" s="14" t="s">
        <v>2435</v>
      </c>
      <c r="Y754" s="13" t="s">
        <v>2154</v>
      </c>
      <c r="Z754" s="14" t="s">
        <v>2436</v>
      </c>
      <c r="AA754" s="17">
        <v>14</v>
      </c>
      <c r="AB754" s="14" t="s">
        <v>2407</v>
      </c>
      <c r="AC754" s="17">
        <v>90024000</v>
      </c>
      <c r="AD754" s="14" t="s">
        <v>108</v>
      </c>
      <c r="AE754" s="17">
        <v>83355556</v>
      </c>
      <c r="AF754" s="14" t="s">
        <v>1970</v>
      </c>
      <c r="AG754" s="20"/>
      <c r="AH754" s="10">
        <v>52978752</v>
      </c>
      <c r="AI754" s="24" t="str">
        <f>VLOOKUP(Sales[[#This Row],[Store]],'Store lay bao  cao'!A:B,2,0)</f>
        <v>Lấy BC</v>
      </c>
      <c r="AJ754" s="24" t="str">
        <f>VLOOKUP(Sales[[#This Row],[Associate]],'Associate Status'!B:C,2,0)</f>
        <v>Active</v>
      </c>
    </row>
    <row r="755" spans="1:36" x14ac:dyDescent="0.25">
      <c r="A755" s="7">
        <v>2025</v>
      </c>
      <c r="B755" s="8">
        <v>7</v>
      </c>
      <c r="C755" s="8">
        <v>31</v>
      </c>
      <c r="D755" s="8" t="s">
        <v>60</v>
      </c>
      <c r="E755" s="8" t="s">
        <v>34</v>
      </c>
      <c r="F755" s="8" t="s">
        <v>60</v>
      </c>
      <c r="G755" s="9">
        <v>92229594</v>
      </c>
      <c r="H755" s="10">
        <v>84341250</v>
      </c>
      <c r="I755" s="11">
        <v>45869</v>
      </c>
      <c r="J755" s="12">
        <v>203158</v>
      </c>
      <c r="K755" s="13" t="s">
        <v>569</v>
      </c>
      <c r="L755" s="14" t="s">
        <v>44</v>
      </c>
      <c r="M755" s="11" t="s">
        <v>17</v>
      </c>
      <c r="N755" s="14" t="s">
        <v>62</v>
      </c>
      <c r="O755" s="15">
        <v>2020</v>
      </c>
      <c r="P755" s="12">
        <v>1</v>
      </c>
      <c r="Q755" s="13" t="s">
        <v>2150</v>
      </c>
      <c r="R755" s="16">
        <v>216153000</v>
      </c>
      <c r="S755" s="17">
        <v>200141667</v>
      </c>
      <c r="T755" s="12">
        <v>10</v>
      </c>
      <c r="U755" s="18">
        <v>22237963</v>
      </c>
      <c r="V755" s="19">
        <v>24017000</v>
      </c>
      <c r="W755" s="13" t="s">
        <v>635</v>
      </c>
      <c r="X755" s="14" t="s">
        <v>2437</v>
      </c>
      <c r="Y755" s="13" t="s">
        <v>2103</v>
      </c>
      <c r="Z755" s="14" t="s">
        <v>2438</v>
      </c>
      <c r="AA755" s="17">
        <v>19</v>
      </c>
      <c r="AB755" s="14" t="s">
        <v>2257</v>
      </c>
      <c r="AC755" s="17">
        <v>240170000</v>
      </c>
      <c r="AD755" s="14" t="s">
        <v>108</v>
      </c>
      <c r="AE755" s="17">
        <v>222379630</v>
      </c>
      <c r="AF755" s="14" t="s">
        <v>129</v>
      </c>
      <c r="AG755" s="21" t="s">
        <v>207</v>
      </c>
      <c r="AH755" s="10">
        <v>107912073</v>
      </c>
      <c r="AI755" s="24" t="str">
        <f>VLOOKUP(Sales[[#This Row],[Store]],'Store lay bao  cao'!A:B,2,0)</f>
        <v>Lấy BC</v>
      </c>
      <c r="AJ755" s="24" t="str">
        <f>VLOOKUP(Sales[[#This Row],[Associate]],'Associate Status'!B:C,2,0)</f>
        <v>Active</v>
      </c>
    </row>
    <row r="756" spans="1:36" x14ac:dyDescent="0.25">
      <c r="A756" s="7">
        <v>2025</v>
      </c>
      <c r="B756" s="8">
        <v>8</v>
      </c>
      <c r="C756" s="8">
        <v>31</v>
      </c>
      <c r="D756" s="8" t="s">
        <v>69</v>
      </c>
      <c r="E756" s="8" t="s">
        <v>37</v>
      </c>
      <c r="F756" s="8" t="s">
        <v>69</v>
      </c>
      <c r="G756" s="9">
        <v>13213909</v>
      </c>
      <c r="H756" s="10">
        <v>12136500</v>
      </c>
      <c r="I756" s="11">
        <v>45871</v>
      </c>
      <c r="J756" s="12">
        <v>219159</v>
      </c>
      <c r="K756" s="13" t="s">
        <v>483</v>
      </c>
      <c r="L756" s="14" t="s">
        <v>70</v>
      </c>
      <c r="M756" s="11" t="s">
        <v>15</v>
      </c>
      <c r="N756" s="14" t="s">
        <v>14</v>
      </c>
      <c r="O756" s="15">
        <v>3044</v>
      </c>
      <c r="P756" s="12">
        <v>1</v>
      </c>
      <c r="Q756" s="13" t="s">
        <v>102</v>
      </c>
      <c r="R756" s="16">
        <v>35635000</v>
      </c>
      <c r="S756" s="17">
        <v>32995370</v>
      </c>
      <c r="T756" s="12">
        <v>0</v>
      </c>
      <c r="U756" s="18">
        <v>0</v>
      </c>
      <c r="V756" s="19">
        <v>0</v>
      </c>
      <c r="W756" s="13" t="s">
        <v>1357</v>
      </c>
      <c r="X756" s="14" t="s">
        <v>2439</v>
      </c>
      <c r="Y756" s="13" t="s">
        <v>2154</v>
      </c>
      <c r="Z756" s="14" t="s">
        <v>2440</v>
      </c>
      <c r="AA756" s="17"/>
      <c r="AB756" s="14" t="s">
        <v>2407</v>
      </c>
      <c r="AC756" s="17">
        <v>35635000</v>
      </c>
      <c r="AD756" s="14" t="s">
        <v>108</v>
      </c>
      <c r="AE756" s="17">
        <v>32995370</v>
      </c>
      <c r="AF756" s="14" t="s">
        <v>1970</v>
      </c>
      <c r="AG756" s="20"/>
      <c r="AH756" s="10">
        <v>19781461</v>
      </c>
      <c r="AI756" s="24" t="str">
        <f>VLOOKUP(Sales[[#This Row],[Store]],'Store lay bao  cao'!A:B,2,0)</f>
        <v>Lấy BC</v>
      </c>
      <c r="AJ756" s="24" t="str">
        <f>VLOOKUP(Sales[[#This Row],[Associate]],'Associate Status'!B:C,2,0)</f>
        <v>Active</v>
      </c>
    </row>
    <row r="757" spans="1:36" x14ac:dyDescent="0.25">
      <c r="A757" s="7">
        <v>2025</v>
      </c>
      <c r="B757" s="8">
        <v>8</v>
      </c>
      <c r="C757" s="8">
        <v>31</v>
      </c>
      <c r="D757" s="8" t="s">
        <v>63</v>
      </c>
      <c r="E757" s="8" t="s">
        <v>34</v>
      </c>
      <c r="F757" s="8" t="s">
        <v>63</v>
      </c>
      <c r="G757" s="9">
        <v>112981289</v>
      </c>
      <c r="H757" s="10">
        <v>114785000</v>
      </c>
      <c r="I757" s="11">
        <v>45872</v>
      </c>
      <c r="J757" s="12">
        <v>205073</v>
      </c>
      <c r="K757" s="13" t="s">
        <v>482</v>
      </c>
      <c r="L757" s="14" t="s">
        <v>55</v>
      </c>
      <c r="M757" s="11" t="s">
        <v>15</v>
      </c>
      <c r="N757" s="14" t="s">
        <v>62</v>
      </c>
      <c r="O757" s="15">
        <v>3050</v>
      </c>
      <c r="P757" s="12">
        <v>1</v>
      </c>
      <c r="Q757" s="13" t="s">
        <v>2102</v>
      </c>
      <c r="R757" s="16">
        <v>229570000</v>
      </c>
      <c r="S757" s="17">
        <v>212564815</v>
      </c>
      <c r="T757" s="12">
        <v>0</v>
      </c>
      <c r="U757" s="18">
        <v>0</v>
      </c>
      <c r="V757" s="19">
        <v>0</v>
      </c>
      <c r="W757" s="13" t="s">
        <v>2168</v>
      </c>
      <c r="X757" s="14" t="s">
        <v>2441</v>
      </c>
      <c r="Y757" s="13" t="s">
        <v>495</v>
      </c>
      <c r="Z757" s="14" t="s">
        <v>2442</v>
      </c>
      <c r="AA757" s="17"/>
      <c r="AB757" s="14" t="s">
        <v>2443</v>
      </c>
      <c r="AC757" s="17">
        <v>229570000</v>
      </c>
      <c r="AD757" s="14" t="s">
        <v>108</v>
      </c>
      <c r="AE757" s="17">
        <v>212564815</v>
      </c>
      <c r="AF757" s="14" t="s">
        <v>278</v>
      </c>
      <c r="AG757" s="21" t="s">
        <v>496</v>
      </c>
      <c r="AH757" s="10">
        <v>99583526</v>
      </c>
      <c r="AI757" s="24" t="str">
        <f>VLOOKUP(Sales[[#This Row],[Store]],'Store lay bao  cao'!A:B,2,0)</f>
        <v>Lấy BC</v>
      </c>
      <c r="AJ757" s="24" t="str">
        <f>VLOOKUP(Sales[[#This Row],[Associate]],'Associate Status'!B:C,2,0)</f>
        <v>Active</v>
      </c>
    </row>
    <row r="758" spans="1:36" x14ac:dyDescent="0.25">
      <c r="A758" s="7">
        <v>2025</v>
      </c>
      <c r="B758" s="8">
        <v>8</v>
      </c>
      <c r="C758" s="8">
        <v>32</v>
      </c>
      <c r="D758" s="8" t="s">
        <v>51</v>
      </c>
      <c r="E758" s="8" t="s">
        <v>34</v>
      </c>
      <c r="F758" s="8" t="s">
        <v>51</v>
      </c>
      <c r="G758" s="9">
        <v>1032112</v>
      </c>
      <c r="H758" s="10">
        <v>899750</v>
      </c>
      <c r="I758" s="11">
        <v>45874</v>
      </c>
      <c r="J758" s="12">
        <v>174904</v>
      </c>
      <c r="K758" s="13" t="s">
        <v>486</v>
      </c>
      <c r="L758" s="14" t="s">
        <v>47</v>
      </c>
      <c r="M758" s="11" t="s">
        <v>15</v>
      </c>
      <c r="N758" s="14" t="s">
        <v>11</v>
      </c>
      <c r="O758" s="15">
        <v>3052</v>
      </c>
      <c r="P758" s="12">
        <v>1</v>
      </c>
      <c r="Q758" s="13" t="s">
        <v>2094</v>
      </c>
      <c r="R758" s="16">
        <v>5015000</v>
      </c>
      <c r="S758" s="17">
        <v>4643519</v>
      </c>
      <c r="T758" s="12">
        <v>0</v>
      </c>
      <c r="U758" s="18">
        <v>0</v>
      </c>
      <c r="V758" s="19">
        <v>0</v>
      </c>
      <c r="W758" s="13" t="s">
        <v>2444</v>
      </c>
      <c r="X758" s="14" t="s">
        <v>1431</v>
      </c>
      <c r="Y758" s="13" t="s">
        <v>2105</v>
      </c>
      <c r="Z758" s="14" t="s">
        <v>1095</v>
      </c>
      <c r="AA758" s="17"/>
      <c r="AB758" s="14" t="s">
        <v>301</v>
      </c>
      <c r="AC758" s="17">
        <v>5015000</v>
      </c>
      <c r="AD758" s="14" t="s">
        <v>849</v>
      </c>
      <c r="AE758" s="17">
        <v>4643519</v>
      </c>
      <c r="AF758" s="14" t="s">
        <v>278</v>
      </c>
      <c r="AG758" s="20" t="s">
        <v>197</v>
      </c>
      <c r="AH758" s="10">
        <v>3611407</v>
      </c>
      <c r="AI758" s="24" t="str">
        <f>VLOOKUP(Sales[[#This Row],[Store]],'Store lay bao  cao'!A:B,2,0)</f>
        <v>Lấy BC</v>
      </c>
      <c r="AJ758" s="24" t="str">
        <f>VLOOKUP(Sales[[#This Row],[Associate]],'Associate Status'!B:C,2,0)</f>
        <v>Active</v>
      </c>
    </row>
    <row r="759" spans="1:36" x14ac:dyDescent="0.25">
      <c r="A759" s="7">
        <v>2025</v>
      </c>
      <c r="B759" s="8">
        <v>8</v>
      </c>
      <c r="C759" s="8">
        <v>32</v>
      </c>
      <c r="D759" s="8" t="s">
        <v>60</v>
      </c>
      <c r="E759" s="8" t="s">
        <v>37</v>
      </c>
      <c r="F759" s="8" t="s">
        <v>60</v>
      </c>
      <c r="G759" s="9">
        <v>3047516</v>
      </c>
      <c r="H759" s="10">
        <v>2277150</v>
      </c>
      <c r="I759" s="11">
        <v>45874</v>
      </c>
      <c r="J759" s="12">
        <v>202779</v>
      </c>
      <c r="K759" s="13" t="s">
        <v>485</v>
      </c>
      <c r="L759" s="14" t="s">
        <v>19</v>
      </c>
      <c r="M759" s="11" t="s">
        <v>15</v>
      </c>
      <c r="N759" s="14" t="s">
        <v>62</v>
      </c>
      <c r="O759" s="15">
        <v>3056</v>
      </c>
      <c r="P759" s="12">
        <v>1</v>
      </c>
      <c r="Q759" s="13" t="s">
        <v>2102</v>
      </c>
      <c r="R759" s="16">
        <v>7546000</v>
      </c>
      <c r="S759" s="17">
        <v>6987037</v>
      </c>
      <c r="T759" s="12">
        <v>0</v>
      </c>
      <c r="U759" s="18">
        <v>0</v>
      </c>
      <c r="V759" s="19">
        <v>0</v>
      </c>
      <c r="W759" s="13" t="s">
        <v>1563</v>
      </c>
      <c r="X759" s="14" t="s">
        <v>1405</v>
      </c>
      <c r="Y759" s="13" t="s">
        <v>2127</v>
      </c>
      <c r="Z759" s="14" t="s">
        <v>1406</v>
      </c>
      <c r="AA759" s="17"/>
      <c r="AB759" s="14" t="s">
        <v>2446</v>
      </c>
      <c r="AC759" s="17">
        <v>7546000</v>
      </c>
      <c r="AD759" s="14" t="s">
        <v>108</v>
      </c>
      <c r="AE759" s="17">
        <v>6987037</v>
      </c>
      <c r="AF759" s="14" t="s">
        <v>136</v>
      </c>
      <c r="AG759" s="21" t="s">
        <v>914</v>
      </c>
      <c r="AH759" s="10">
        <v>3939521</v>
      </c>
      <c r="AI759" s="24" t="str">
        <f>VLOOKUP(Sales[[#This Row],[Store]],'Store lay bao  cao'!A:B,2,0)</f>
        <v>Lấy BC</v>
      </c>
      <c r="AJ759" s="24" t="str">
        <f>VLOOKUP(Sales[[#This Row],[Associate]],'Associate Status'!B:C,2,0)</f>
        <v>Active</v>
      </c>
    </row>
    <row r="760" spans="1:36" ht="153.75" x14ac:dyDescent="0.25">
      <c r="A760" s="7">
        <v>2025</v>
      </c>
      <c r="B760" s="8">
        <v>8</v>
      </c>
      <c r="C760" s="8">
        <v>32</v>
      </c>
      <c r="D760" s="8" t="s">
        <v>29</v>
      </c>
      <c r="E760" s="8" t="s">
        <v>12</v>
      </c>
      <c r="F760" s="8" t="s">
        <v>29</v>
      </c>
      <c r="G760" s="9">
        <v>10236600</v>
      </c>
      <c r="H760" s="10">
        <v>10236600</v>
      </c>
      <c r="I760" s="11">
        <v>45874</v>
      </c>
      <c r="J760" s="12">
        <v>90581</v>
      </c>
      <c r="K760" s="13" t="s">
        <v>485</v>
      </c>
      <c r="L760" s="14" t="s">
        <v>19</v>
      </c>
      <c r="M760" s="11" t="s">
        <v>15</v>
      </c>
      <c r="N760" s="14" t="s">
        <v>11</v>
      </c>
      <c r="O760" s="15">
        <v>3056</v>
      </c>
      <c r="P760" s="12">
        <v>1</v>
      </c>
      <c r="Q760" s="13" t="s">
        <v>2102</v>
      </c>
      <c r="R760" s="16">
        <v>34122000</v>
      </c>
      <c r="S760" s="17">
        <v>31594444</v>
      </c>
      <c r="T760" s="12">
        <v>0</v>
      </c>
      <c r="U760" s="18">
        <v>0</v>
      </c>
      <c r="V760" s="19">
        <v>0</v>
      </c>
      <c r="W760" s="13" t="s">
        <v>1563</v>
      </c>
      <c r="X760" s="23" t="s">
        <v>2447</v>
      </c>
      <c r="Y760" s="13" t="s">
        <v>2127</v>
      </c>
      <c r="Z760" s="14" t="s">
        <v>2360</v>
      </c>
      <c r="AA760" s="17"/>
      <c r="AB760" s="14" t="s">
        <v>801</v>
      </c>
      <c r="AC760" s="17">
        <v>34122000</v>
      </c>
      <c r="AD760" s="14" t="s">
        <v>2099</v>
      </c>
      <c r="AE760" s="17">
        <v>31594444</v>
      </c>
      <c r="AF760" s="14" t="s">
        <v>136</v>
      </c>
      <c r="AG760" s="20" t="s">
        <v>914</v>
      </c>
      <c r="AH760" s="10">
        <v>21357844</v>
      </c>
      <c r="AI760" s="24" t="str">
        <f>VLOOKUP(Sales[[#This Row],[Store]],'Store lay bao  cao'!A:B,2,0)</f>
        <v>Lấy BC</v>
      </c>
      <c r="AJ760" s="24" t="str">
        <f>VLOOKUP(Sales[[#This Row],[Associate]],'Associate Status'!B:C,2,0)</f>
        <v>Active</v>
      </c>
    </row>
    <row r="761" spans="1:36" x14ac:dyDescent="0.25">
      <c r="A761" s="7">
        <v>2025</v>
      </c>
      <c r="B761" s="8">
        <v>8</v>
      </c>
      <c r="C761" s="8">
        <v>32</v>
      </c>
      <c r="D761" s="8" t="s">
        <v>52</v>
      </c>
      <c r="E761" s="8" t="s">
        <v>37</v>
      </c>
      <c r="F761" s="8" t="s">
        <v>52</v>
      </c>
      <c r="G761" s="9">
        <v>9512236</v>
      </c>
      <c r="H761" s="10">
        <v>8049600</v>
      </c>
      <c r="I761" s="11">
        <v>45874</v>
      </c>
      <c r="J761" s="12">
        <v>186478</v>
      </c>
      <c r="K761" s="13" t="s">
        <v>485</v>
      </c>
      <c r="L761" s="14" t="s">
        <v>19</v>
      </c>
      <c r="M761" s="11" t="s">
        <v>15</v>
      </c>
      <c r="N761" s="14" t="s">
        <v>11</v>
      </c>
      <c r="O761" s="15">
        <v>3056</v>
      </c>
      <c r="P761" s="12">
        <v>1</v>
      </c>
      <c r="Q761" s="13" t="s">
        <v>2102</v>
      </c>
      <c r="R761" s="16">
        <v>26162000</v>
      </c>
      <c r="S761" s="17">
        <v>24224074</v>
      </c>
      <c r="T761" s="12">
        <v>0</v>
      </c>
      <c r="U761" s="18">
        <v>0</v>
      </c>
      <c r="V761" s="19">
        <v>0</v>
      </c>
      <c r="W761" s="13" t="s">
        <v>1563</v>
      </c>
      <c r="X761" s="14" t="s">
        <v>2448</v>
      </c>
      <c r="Y761" s="13" t="s">
        <v>2127</v>
      </c>
      <c r="Z761" s="14" t="s">
        <v>2449</v>
      </c>
      <c r="AA761" s="17"/>
      <c r="AB761" s="14" t="s">
        <v>2446</v>
      </c>
      <c r="AC761" s="17">
        <v>26162000</v>
      </c>
      <c r="AD761" s="14" t="s">
        <v>108</v>
      </c>
      <c r="AE761" s="17">
        <v>24224074</v>
      </c>
      <c r="AF761" s="14" t="s">
        <v>136</v>
      </c>
      <c r="AG761" s="21" t="s">
        <v>914</v>
      </c>
      <c r="AH761" s="10">
        <v>14711838</v>
      </c>
      <c r="AI761" s="24" t="str">
        <f>VLOOKUP(Sales[[#This Row],[Store]],'Store lay bao  cao'!A:B,2,0)</f>
        <v>Lấy BC</v>
      </c>
      <c r="AJ761" s="24" t="str">
        <f>VLOOKUP(Sales[[#This Row],[Associate]],'Associate Status'!B:C,2,0)</f>
        <v>Active</v>
      </c>
    </row>
    <row r="762" spans="1:36" x14ac:dyDescent="0.25">
      <c r="A762" s="7">
        <v>2025</v>
      </c>
      <c r="B762" s="8">
        <v>8</v>
      </c>
      <c r="C762" s="8">
        <v>32</v>
      </c>
      <c r="D762" s="8" t="s">
        <v>52</v>
      </c>
      <c r="E762" s="8" t="s">
        <v>43</v>
      </c>
      <c r="F762" s="8" t="s">
        <v>52</v>
      </c>
      <c r="G762" s="9">
        <v>77381528</v>
      </c>
      <c r="H762" s="10">
        <v>89600000</v>
      </c>
      <c r="I762" s="11">
        <v>45875</v>
      </c>
      <c r="J762" s="12">
        <v>180397</v>
      </c>
      <c r="K762" s="13" t="s">
        <v>843</v>
      </c>
      <c r="L762" s="14" t="s">
        <v>55</v>
      </c>
      <c r="M762" s="11" t="s">
        <v>13</v>
      </c>
      <c r="N762" s="14" t="s">
        <v>11</v>
      </c>
      <c r="O762" s="15">
        <v>184</v>
      </c>
      <c r="P762" s="12">
        <v>1</v>
      </c>
      <c r="Q762" s="13" t="s">
        <v>2088</v>
      </c>
      <c r="R762" s="16">
        <v>180000000</v>
      </c>
      <c r="S762" s="17">
        <v>166666667</v>
      </c>
      <c r="T762" s="12">
        <v>10</v>
      </c>
      <c r="U762" s="18">
        <v>18518519</v>
      </c>
      <c r="V762" s="19">
        <v>20000000</v>
      </c>
      <c r="W762" s="13" t="s">
        <v>2222</v>
      </c>
      <c r="X762" s="14" t="s">
        <v>2450</v>
      </c>
      <c r="Y762" s="13" t="s">
        <v>2268</v>
      </c>
      <c r="Z762" s="14" t="s">
        <v>2451</v>
      </c>
      <c r="AA762" s="17"/>
      <c r="AB762" s="14" t="s">
        <v>2452</v>
      </c>
      <c r="AC762" s="17">
        <v>200000000</v>
      </c>
      <c r="AD762" s="14" t="s">
        <v>893</v>
      </c>
      <c r="AE762" s="17">
        <v>185185185</v>
      </c>
      <c r="AF762" s="14" t="s">
        <v>117</v>
      </c>
      <c r="AG762" s="20" t="s">
        <v>2271</v>
      </c>
      <c r="AH762" s="10">
        <v>89285139</v>
      </c>
      <c r="AI762" s="24" t="str">
        <f>VLOOKUP(Sales[[#This Row],[Store]],'Store lay bao  cao'!A:B,2,0)</f>
        <v>Lấy BC</v>
      </c>
      <c r="AJ762" s="24" t="str">
        <f>VLOOKUP(Sales[[#This Row],[Associate]],'Associate Status'!B:C,2,0)</f>
        <v>Retired</v>
      </c>
    </row>
    <row r="763" spans="1:36" x14ac:dyDescent="0.25">
      <c r="A763" s="7">
        <v>2025</v>
      </c>
      <c r="B763" s="8">
        <v>8</v>
      </c>
      <c r="C763" s="8">
        <v>32</v>
      </c>
      <c r="D763" s="8" t="s">
        <v>60</v>
      </c>
      <c r="E763" s="8" t="s">
        <v>53</v>
      </c>
      <c r="F763" s="8" t="s">
        <v>60</v>
      </c>
      <c r="G763" s="9">
        <v>1227484</v>
      </c>
      <c r="H763" s="10">
        <v>1140000</v>
      </c>
      <c r="I763" s="11">
        <v>45877</v>
      </c>
      <c r="J763" s="12">
        <v>208265</v>
      </c>
      <c r="K763" s="13" t="s">
        <v>490</v>
      </c>
      <c r="L763" s="14" t="s">
        <v>50</v>
      </c>
      <c r="M763" s="11" t="s">
        <v>15</v>
      </c>
      <c r="N763" s="14" t="s">
        <v>11</v>
      </c>
      <c r="O763" s="15">
        <v>3077</v>
      </c>
      <c r="P763" s="12">
        <v>1</v>
      </c>
      <c r="Q763" s="13" t="s">
        <v>2098</v>
      </c>
      <c r="R763" s="16">
        <v>3648000</v>
      </c>
      <c r="S763" s="17">
        <v>3377778</v>
      </c>
      <c r="T763" s="12">
        <v>0</v>
      </c>
      <c r="U763" s="18">
        <v>0</v>
      </c>
      <c r="V763" s="19">
        <v>0</v>
      </c>
      <c r="W763" s="13" t="s">
        <v>349</v>
      </c>
      <c r="X763" s="14" t="s">
        <v>2453</v>
      </c>
      <c r="Y763" s="13" t="s">
        <v>2127</v>
      </c>
      <c r="Z763" s="14" t="s">
        <v>2454</v>
      </c>
      <c r="AA763" s="17"/>
      <c r="AB763" s="14" t="s">
        <v>220</v>
      </c>
      <c r="AC763" s="17">
        <v>3648000</v>
      </c>
      <c r="AD763" s="14" t="s">
        <v>108</v>
      </c>
      <c r="AE763" s="17">
        <v>3377778</v>
      </c>
      <c r="AF763" s="14" t="s">
        <v>1970</v>
      </c>
      <c r="AG763" s="21" t="s">
        <v>914</v>
      </c>
      <c r="AH763" s="10">
        <v>2150294</v>
      </c>
      <c r="AI763" s="24" t="str">
        <f>VLOOKUP(Sales[[#This Row],[Store]],'Store lay bao  cao'!A:B,2,0)</f>
        <v>Lấy BC</v>
      </c>
      <c r="AJ763" s="24" t="str">
        <f>VLOOKUP(Sales[[#This Row],[Associate]],'Associate Status'!B:C,2,0)</f>
        <v>Active</v>
      </c>
    </row>
    <row r="764" spans="1:36" x14ac:dyDescent="0.25">
      <c r="A764" s="7">
        <v>2025</v>
      </c>
      <c r="B764" s="8">
        <v>8</v>
      </c>
      <c r="C764" s="8">
        <v>32</v>
      </c>
      <c r="D764" s="8" t="s">
        <v>52</v>
      </c>
      <c r="E764" s="8" t="s">
        <v>43</v>
      </c>
      <c r="F764" s="8" t="s">
        <v>52</v>
      </c>
      <c r="G764" s="9">
        <v>3956882</v>
      </c>
      <c r="H764" s="10">
        <v>3564000</v>
      </c>
      <c r="I764" s="11">
        <v>45877</v>
      </c>
      <c r="J764" s="12">
        <v>182177</v>
      </c>
      <c r="K764" s="13" t="s">
        <v>492</v>
      </c>
      <c r="L764" s="14" t="s">
        <v>50</v>
      </c>
      <c r="M764" s="11" t="s">
        <v>15</v>
      </c>
      <c r="N764" s="14" t="s">
        <v>11</v>
      </c>
      <c r="O764" s="15">
        <v>3079</v>
      </c>
      <c r="P764" s="12">
        <v>1</v>
      </c>
      <c r="Q764" s="13" t="s">
        <v>2098</v>
      </c>
      <c r="R764" s="16">
        <v>11405000</v>
      </c>
      <c r="S764" s="17">
        <v>10560185</v>
      </c>
      <c r="T764" s="12">
        <v>0</v>
      </c>
      <c r="U764" s="18">
        <v>0</v>
      </c>
      <c r="V764" s="19">
        <v>0</v>
      </c>
      <c r="W764" s="13" t="s">
        <v>349</v>
      </c>
      <c r="X764" s="14" t="s">
        <v>2455</v>
      </c>
      <c r="Y764" s="13" t="s">
        <v>2127</v>
      </c>
      <c r="Z764" s="14" t="s">
        <v>2456</v>
      </c>
      <c r="AA764" s="17"/>
      <c r="AB764" s="14" t="s">
        <v>1247</v>
      </c>
      <c r="AC764" s="17">
        <v>11405000</v>
      </c>
      <c r="AD764" s="14" t="s">
        <v>2099</v>
      </c>
      <c r="AE764" s="17">
        <v>10560185</v>
      </c>
      <c r="AF764" s="14" t="s">
        <v>1970</v>
      </c>
      <c r="AG764" s="20" t="s">
        <v>914</v>
      </c>
      <c r="AH764" s="10">
        <v>6603303</v>
      </c>
      <c r="AI764" s="24" t="str">
        <f>VLOOKUP(Sales[[#This Row],[Store]],'Store lay bao  cao'!A:B,2,0)</f>
        <v>Lấy BC</v>
      </c>
      <c r="AJ764" s="24" t="str">
        <f>VLOOKUP(Sales[[#This Row],[Associate]],'Associate Status'!B:C,2,0)</f>
        <v>Active</v>
      </c>
    </row>
    <row r="765" spans="1:36" x14ac:dyDescent="0.25">
      <c r="A765" s="7">
        <v>2025</v>
      </c>
      <c r="B765" s="8">
        <v>8</v>
      </c>
      <c r="C765" s="8">
        <v>32</v>
      </c>
      <c r="D765" s="8" t="s">
        <v>60</v>
      </c>
      <c r="E765" s="8" t="s">
        <v>34</v>
      </c>
      <c r="F765" s="8" t="s">
        <v>60</v>
      </c>
      <c r="G765" s="9">
        <v>3651924</v>
      </c>
      <c r="H765" s="10">
        <v>3397200</v>
      </c>
      <c r="I765" s="11">
        <v>45877</v>
      </c>
      <c r="J765" s="12">
        <v>208323</v>
      </c>
      <c r="K765" s="13" t="s">
        <v>492</v>
      </c>
      <c r="L765" s="14" t="s">
        <v>50</v>
      </c>
      <c r="M765" s="11" t="s">
        <v>15</v>
      </c>
      <c r="N765" s="14" t="s">
        <v>11</v>
      </c>
      <c r="O765" s="15">
        <v>3079</v>
      </c>
      <c r="P765" s="12">
        <v>1</v>
      </c>
      <c r="Q765" s="13" t="s">
        <v>2098</v>
      </c>
      <c r="R765" s="16">
        <v>10872000</v>
      </c>
      <c r="S765" s="17">
        <v>10066667</v>
      </c>
      <c r="T765" s="12">
        <v>0</v>
      </c>
      <c r="U765" s="18">
        <v>0</v>
      </c>
      <c r="V765" s="19">
        <v>0</v>
      </c>
      <c r="W765" s="13" t="s">
        <v>349</v>
      </c>
      <c r="X765" s="14" t="s">
        <v>2457</v>
      </c>
      <c r="Y765" s="13" t="s">
        <v>2127</v>
      </c>
      <c r="Z765" s="14" t="s">
        <v>2458</v>
      </c>
      <c r="AA765" s="17"/>
      <c r="AB765" s="14" t="s">
        <v>376</v>
      </c>
      <c r="AC765" s="17">
        <v>10872000</v>
      </c>
      <c r="AD765" s="14" t="s">
        <v>108</v>
      </c>
      <c r="AE765" s="17">
        <v>10066667</v>
      </c>
      <c r="AF765" s="14" t="s">
        <v>1970</v>
      </c>
      <c r="AG765" s="21" t="s">
        <v>914</v>
      </c>
      <c r="AH765" s="10">
        <v>6414743</v>
      </c>
      <c r="AI765" s="24" t="str">
        <f>VLOOKUP(Sales[[#This Row],[Store]],'Store lay bao  cao'!A:B,2,0)</f>
        <v>Lấy BC</v>
      </c>
      <c r="AJ765" s="24" t="str">
        <f>VLOOKUP(Sales[[#This Row],[Associate]],'Associate Status'!B:C,2,0)</f>
        <v>Active</v>
      </c>
    </row>
    <row r="766" spans="1:36" x14ac:dyDescent="0.25">
      <c r="A766" s="7">
        <v>2025</v>
      </c>
      <c r="B766" s="8">
        <v>8</v>
      </c>
      <c r="C766" s="8">
        <v>32</v>
      </c>
      <c r="D766" s="8" t="s">
        <v>52</v>
      </c>
      <c r="E766" s="8" t="s">
        <v>37</v>
      </c>
      <c r="F766" s="8" t="s">
        <v>52</v>
      </c>
      <c r="G766" s="9">
        <v>2023406</v>
      </c>
      <c r="H766" s="10">
        <v>1822500</v>
      </c>
      <c r="I766" s="11">
        <v>45877</v>
      </c>
      <c r="J766" s="12">
        <v>182220</v>
      </c>
      <c r="K766" s="13" t="s">
        <v>492</v>
      </c>
      <c r="L766" s="14" t="s">
        <v>50</v>
      </c>
      <c r="M766" s="11" t="s">
        <v>15</v>
      </c>
      <c r="N766" s="14" t="s">
        <v>11</v>
      </c>
      <c r="O766" s="15">
        <v>3079</v>
      </c>
      <c r="P766" s="12">
        <v>1</v>
      </c>
      <c r="Q766" s="13" t="s">
        <v>2098</v>
      </c>
      <c r="R766" s="16">
        <v>5832000</v>
      </c>
      <c r="S766" s="17">
        <v>5400000</v>
      </c>
      <c r="T766" s="12">
        <v>0</v>
      </c>
      <c r="U766" s="18">
        <v>0</v>
      </c>
      <c r="V766" s="19">
        <v>0</v>
      </c>
      <c r="W766" s="13" t="s">
        <v>349</v>
      </c>
      <c r="X766" s="14" t="s">
        <v>2459</v>
      </c>
      <c r="Y766" s="13" t="s">
        <v>2127</v>
      </c>
      <c r="Z766" s="14" t="s">
        <v>2460</v>
      </c>
      <c r="AA766" s="17"/>
      <c r="AB766" s="14" t="s">
        <v>2461</v>
      </c>
      <c r="AC766" s="17">
        <v>5832000</v>
      </c>
      <c r="AD766" s="14" t="s">
        <v>108</v>
      </c>
      <c r="AE766" s="17">
        <v>5400000</v>
      </c>
      <c r="AF766" s="14" t="s">
        <v>1970</v>
      </c>
      <c r="AG766" s="20" t="s">
        <v>914</v>
      </c>
      <c r="AH766" s="10">
        <v>3376594</v>
      </c>
      <c r="AI766" s="24" t="str">
        <f>VLOOKUP(Sales[[#This Row],[Store]],'Store lay bao  cao'!A:B,2,0)</f>
        <v>Lấy BC</v>
      </c>
      <c r="AJ766" s="24" t="str">
        <f>VLOOKUP(Sales[[#This Row],[Associate]],'Associate Status'!B:C,2,0)</f>
        <v>Active</v>
      </c>
    </row>
    <row r="767" spans="1:36" x14ac:dyDescent="0.25">
      <c r="A767" s="7">
        <v>2025</v>
      </c>
      <c r="B767" s="8">
        <v>8</v>
      </c>
      <c r="C767" s="8">
        <v>33</v>
      </c>
      <c r="D767" s="8" t="s">
        <v>60</v>
      </c>
      <c r="E767" s="8" t="s">
        <v>43</v>
      </c>
      <c r="F767" s="8" t="s">
        <v>60</v>
      </c>
      <c r="G767" s="9">
        <v>9790956</v>
      </c>
      <c r="H767" s="10">
        <v>7315949.9999999991</v>
      </c>
      <c r="I767" s="11">
        <v>45880</v>
      </c>
      <c r="J767" s="12">
        <v>202810</v>
      </c>
      <c r="K767" s="13" t="s">
        <v>1308</v>
      </c>
      <c r="L767" s="14" t="s">
        <v>19</v>
      </c>
      <c r="M767" s="11" t="s">
        <v>15</v>
      </c>
      <c r="N767" s="14" t="s">
        <v>62</v>
      </c>
      <c r="O767" s="15">
        <v>3089</v>
      </c>
      <c r="P767" s="12">
        <v>1</v>
      </c>
      <c r="Q767" s="13" t="s">
        <v>2098</v>
      </c>
      <c r="R767" s="16">
        <v>24244000</v>
      </c>
      <c r="S767" s="17">
        <v>22448148</v>
      </c>
      <c r="T767" s="12">
        <v>0</v>
      </c>
      <c r="U767" s="18">
        <v>0</v>
      </c>
      <c r="V767" s="19">
        <v>0</v>
      </c>
      <c r="W767" s="13" t="s">
        <v>1563</v>
      </c>
      <c r="X767" s="14" t="s">
        <v>2462</v>
      </c>
      <c r="Y767" s="13" t="s">
        <v>2127</v>
      </c>
      <c r="Z767" s="14" t="s">
        <v>2463</v>
      </c>
      <c r="AA767" s="17"/>
      <c r="AB767" s="14" t="s">
        <v>2464</v>
      </c>
      <c r="AC767" s="17">
        <v>24244000</v>
      </c>
      <c r="AD767" s="14" t="s">
        <v>2155</v>
      </c>
      <c r="AE767" s="17">
        <v>22448148</v>
      </c>
      <c r="AF767" s="14" t="s">
        <v>136</v>
      </c>
      <c r="AG767" s="21" t="s">
        <v>914</v>
      </c>
      <c r="AH767" s="10">
        <v>12657192</v>
      </c>
      <c r="AI767" s="24" t="str">
        <f>VLOOKUP(Sales[[#This Row],[Store]],'Store lay bao  cao'!A:B,2,0)</f>
        <v>Lấy BC</v>
      </c>
      <c r="AJ767" s="24" t="str">
        <f>VLOOKUP(Sales[[#This Row],[Associate]],'Associate Status'!B:C,2,0)</f>
        <v>Active</v>
      </c>
    </row>
    <row r="768" spans="1:36" ht="102.75" x14ac:dyDescent="0.25">
      <c r="A768" s="7">
        <v>2025</v>
      </c>
      <c r="B768" s="8">
        <v>8</v>
      </c>
      <c r="C768" s="8">
        <v>33</v>
      </c>
      <c r="D768" s="8" t="s">
        <v>52</v>
      </c>
      <c r="E768" s="8" t="s">
        <v>37</v>
      </c>
      <c r="F768" s="8" t="s">
        <v>52</v>
      </c>
      <c r="G768" s="9">
        <v>20492872</v>
      </c>
      <c r="H768" s="10">
        <v>17337600</v>
      </c>
      <c r="I768" s="11">
        <v>45880</v>
      </c>
      <c r="J768" s="12">
        <v>186483</v>
      </c>
      <c r="K768" s="13" t="s">
        <v>1308</v>
      </c>
      <c r="L768" s="14" t="s">
        <v>19</v>
      </c>
      <c r="M768" s="11" t="s">
        <v>15</v>
      </c>
      <c r="N768" s="14" t="s">
        <v>11</v>
      </c>
      <c r="O768" s="15">
        <v>3089</v>
      </c>
      <c r="P768" s="12">
        <v>1</v>
      </c>
      <c r="Q768" s="13" t="s">
        <v>2098</v>
      </c>
      <c r="R768" s="16">
        <v>56348000</v>
      </c>
      <c r="S768" s="17">
        <v>52174074</v>
      </c>
      <c r="T768" s="12">
        <v>0</v>
      </c>
      <c r="U768" s="18">
        <v>0</v>
      </c>
      <c r="V768" s="19">
        <v>0</v>
      </c>
      <c r="W768" s="13" t="s">
        <v>1563</v>
      </c>
      <c r="X768" s="23" t="s">
        <v>2465</v>
      </c>
      <c r="Y768" s="13" t="s">
        <v>2127</v>
      </c>
      <c r="Z768" s="14" t="s">
        <v>2466</v>
      </c>
      <c r="AA768" s="17"/>
      <c r="AB768" s="14" t="s">
        <v>2464</v>
      </c>
      <c r="AC768" s="17">
        <v>56348000</v>
      </c>
      <c r="AD768" s="14" t="s">
        <v>108</v>
      </c>
      <c r="AE768" s="17">
        <v>52174074</v>
      </c>
      <c r="AF768" s="14" t="s">
        <v>136</v>
      </c>
      <c r="AG768" s="20" t="s">
        <v>914</v>
      </c>
      <c r="AH768" s="10">
        <v>31681202</v>
      </c>
      <c r="AI768" s="24" t="str">
        <f>VLOOKUP(Sales[[#This Row],[Store]],'Store lay bao  cao'!A:B,2,0)</f>
        <v>Lấy BC</v>
      </c>
      <c r="AJ768" s="24" t="str">
        <f>VLOOKUP(Sales[[#This Row],[Associate]],'Associate Status'!B:C,2,0)</f>
        <v>Active</v>
      </c>
    </row>
    <row r="769" spans="1:36" x14ac:dyDescent="0.25">
      <c r="A769" s="7">
        <v>2025</v>
      </c>
      <c r="B769" s="8">
        <v>8</v>
      </c>
      <c r="C769" s="8">
        <v>33</v>
      </c>
      <c r="D769" s="8" t="s">
        <v>26</v>
      </c>
      <c r="E769" s="8" t="s">
        <v>12</v>
      </c>
      <c r="F769" s="8" t="s">
        <v>26</v>
      </c>
      <c r="G769" s="9">
        <v>6308100</v>
      </c>
      <c r="H769" s="10">
        <v>6308100</v>
      </c>
      <c r="I769" s="11">
        <v>45880</v>
      </c>
      <c r="J769" s="12">
        <v>53346</v>
      </c>
      <c r="K769" s="13" t="s">
        <v>1308</v>
      </c>
      <c r="L769" s="14" t="s">
        <v>19</v>
      </c>
      <c r="M769" s="11" t="s">
        <v>15</v>
      </c>
      <c r="N769" s="14" t="s">
        <v>11</v>
      </c>
      <c r="O769" s="15">
        <v>3089</v>
      </c>
      <c r="P769" s="12">
        <v>1</v>
      </c>
      <c r="Q769" s="13" t="s">
        <v>2098</v>
      </c>
      <c r="R769" s="16">
        <v>21728000</v>
      </c>
      <c r="S769" s="17">
        <v>20118519</v>
      </c>
      <c r="T769" s="12">
        <v>0</v>
      </c>
      <c r="U769" s="18">
        <v>0</v>
      </c>
      <c r="V769" s="19">
        <v>0</v>
      </c>
      <c r="W769" s="13" t="s">
        <v>1563</v>
      </c>
      <c r="X769" s="14" t="s">
        <v>812</v>
      </c>
      <c r="Y769" s="13" t="s">
        <v>2127</v>
      </c>
      <c r="Z769" s="14" t="s">
        <v>2467</v>
      </c>
      <c r="AA769" s="17"/>
      <c r="AB769" s="14" t="s">
        <v>2468</v>
      </c>
      <c r="AC769" s="17">
        <v>21728000</v>
      </c>
      <c r="AD769" s="14" t="s">
        <v>2099</v>
      </c>
      <c r="AE769" s="17">
        <v>20118519</v>
      </c>
      <c r="AF769" s="14" t="s">
        <v>136</v>
      </c>
      <c r="AG769" s="21" t="s">
        <v>914</v>
      </c>
      <c r="AH769" s="10">
        <v>13810419</v>
      </c>
      <c r="AI769" s="24" t="str">
        <f>VLOOKUP(Sales[[#This Row],[Store]],'Store lay bao  cao'!A:B,2,0)</f>
        <v>Lấy BC</v>
      </c>
      <c r="AJ769" s="24" t="str">
        <f>VLOOKUP(Sales[[#This Row],[Associate]],'Associate Status'!B:C,2,0)</f>
        <v>Active</v>
      </c>
    </row>
    <row r="770" spans="1:36" x14ac:dyDescent="0.25">
      <c r="A770" s="7">
        <v>2025</v>
      </c>
      <c r="B770" s="8">
        <v>8</v>
      </c>
      <c r="C770" s="8">
        <v>33</v>
      </c>
      <c r="D770" s="8" t="s">
        <v>60</v>
      </c>
      <c r="E770" s="8" t="s">
        <v>43</v>
      </c>
      <c r="F770" s="8" t="s">
        <v>60</v>
      </c>
      <c r="G770" s="9">
        <v>4863058</v>
      </c>
      <c r="H770" s="10">
        <v>3633750</v>
      </c>
      <c r="I770" s="11">
        <v>45880</v>
      </c>
      <c r="J770" s="12">
        <v>202809</v>
      </c>
      <c r="K770" s="13" t="s">
        <v>1308</v>
      </c>
      <c r="L770" s="14" t="s">
        <v>19</v>
      </c>
      <c r="M770" s="11" t="s">
        <v>15</v>
      </c>
      <c r="N770" s="14" t="s">
        <v>62</v>
      </c>
      <c r="O770" s="15">
        <v>3089</v>
      </c>
      <c r="P770" s="12">
        <v>1</v>
      </c>
      <c r="Q770" s="13" t="s">
        <v>2098</v>
      </c>
      <c r="R770" s="16">
        <v>12042000</v>
      </c>
      <c r="S770" s="17">
        <v>11150000</v>
      </c>
      <c r="T770" s="12">
        <v>0</v>
      </c>
      <c r="U770" s="18">
        <v>0</v>
      </c>
      <c r="V770" s="19">
        <v>0</v>
      </c>
      <c r="W770" s="13" t="s">
        <v>1563</v>
      </c>
      <c r="X770" s="14" t="s">
        <v>2469</v>
      </c>
      <c r="Y770" s="13" t="s">
        <v>2127</v>
      </c>
      <c r="Z770" s="14" t="s">
        <v>2470</v>
      </c>
      <c r="AA770" s="17"/>
      <c r="AB770" s="14" t="s">
        <v>2464</v>
      </c>
      <c r="AC770" s="17">
        <v>12042000</v>
      </c>
      <c r="AD770" s="14" t="s">
        <v>2110</v>
      </c>
      <c r="AE770" s="17">
        <v>11150000</v>
      </c>
      <c r="AF770" s="14" t="s">
        <v>136</v>
      </c>
      <c r="AG770" s="20" t="s">
        <v>914</v>
      </c>
      <c r="AH770" s="10">
        <v>6286942</v>
      </c>
      <c r="AI770" s="24" t="str">
        <f>VLOOKUP(Sales[[#This Row],[Store]],'Store lay bao  cao'!A:B,2,0)</f>
        <v>Lấy BC</v>
      </c>
      <c r="AJ770" s="24" t="str">
        <f>VLOOKUP(Sales[[#This Row],[Associate]],'Associate Status'!B:C,2,0)</f>
        <v>Active</v>
      </c>
    </row>
    <row r="771" spans="1:36" x14ac:dyDescent="0.25">
      <c r="A771" s="7">
        <v>2025</v>
      </c>
      <c r="B771" s="8">
        <v>8</v>
      </c>
      <c r="C771" s="8">
        <v>33</v>
      </c>
      <c r="D771" s="8" t="s">
        <v>69</v>
      </c>
      <c r="E771" s="8" t="s">
        <v>37</v>
      </c>
      <c r="F771" s="8" t="s">
        <v>69</v>
      </c>
      <c r="G771" s="9">
        <v>3951573</v>
      </c>
      <c r="H771" s="10">
        <v>3100000</v>
      </c>
      <c r="I771" s="11">
        <v>45880</v>
      </c>
      <c r="J771" s="12">
        <v>217279</v>
      </c>
      <c r="K771" s="13" t="s">
        <v>574</v>
      </c>
      <c r="L771" s="14" t="s">
        <v>50</v>
      </c>
      <c r="M771" s="11" t="s">
        <v>17</v>
      </c>
      <c r="N771" s="14" t="s">
        <v>62</v>
      </c>
      <c r="O771" s="15">
        <v>2058</v>
      </c>
      <c r="P771" s="12">
        <v>1</v>
      </c>
      <c r="Q771" s="13" t="s">
        <v>2094</v>
      </c>
      <c r="R771" s="16">
        <v>9424000</v>
      </c>
      <c r="S771" s="17">
        <v>8725926</v>
      </c>
      <c r="T771" s="12">
        <v>5</v>
      </c>
      <c r="U771" s="18">
        <v>459259</v>
      </c>
      <c r="V771" s="19">
        <v>496000</v>
      </c>
      <c r="W771" s="13" t="s">
        <v>635</v>
      </c>
      <c r="X771" s="14" t="s">
        <v>2224</v>
      </c>
      <c r="Y771" s="13" t="s">
        <v>2127</v>
      </c>
      <c r="Z771" s="14" t="s">
        <v>2225</v>
      </c>
      <c r="AA771" s="17"/>
      <c r="AB771" s="14" t="s">
        <v>220</v>
      </c>
      <c r="AC771" s="17">
        <v>9920000</v>
      </c>
      <c r="AD771" s="14" t="s">
        <v>1969</v>
      </c>
      <c r="AE771" s="17">
        <v>9185185</v>
      </c>
      <c r="AF771" s="14" t="s">
        <v>121</v>
      </c>
      <c r="AG771" s="21" t="s">
        <v>914</v>
      </c>
      <c r="AH771" s="10">
        <v>4774353</v>
      </c>
      <c r="AI771" s="24" t="str">
        <f>VLOOKUP(Sales[[#This Row],[Store]],'Store lay bao  cao'!A:B,2,0)</f>
        <v>Lấy BC</v>
      </c>
      <c r="AJ771" s="24" t="str">
        <f>VLOOKUP(Sales[[#This Row],[Associate]],'Associate Status'!B:C,2,0)</f>
        <v>Active</v>
      </c>
    </row>
    <row r="772" spans="1:36" x14ac:dyDescent="0.25">
      <c r="A772" s="7">
        <v>2025</v>
      </c>
      <c r="B772" s="8">
        <v>8</v>
      </c>
      <c r="C772" s="8">
        <v>33</v>
      </c>
      <c r="D772" s="8" t="s">
        <v>69</v>
      </c>
      <c r="E772" s="8" t="s">
        <v>37</v>
      </c>
      <c r="F772" s="8" t="s">
        <v>69</v>
      </c>
      <c r="G772" s="9">
        <v>3635447</v>
      </c>
      <c r="H772" s="10">
        <v>2852000</v>
      </c>
      <c r="I772" s="11">
        <v>45880</v>
      </c>
      <c r="J772" s="12">
        <v>217286</v>
      </c>
      <c r="K772" s="13" t="s">
        <v>574</v>
      </c>
      <c r="L772" s="14" t="s">
        <v>50</v>
      </c>
      <c r="M772" s="11" t="s">
        <v>17</v>
      </c>
      <c r="N772" s="14" t="s">
        <v>62</v>
      </c>
      <c r="O772" s="15">
        <v>2058</v>
      </c>
      <c r="P772" s="12">
        <v>1</v>
      </c>
      <c r="Q772" s="13" t="s">
        <v>2094</v>
      </c>
      <c r="R772" s="16">
        <v>8670650</v>
      </c>
      <c r="S772" s="17">
        <v>8028380</v>
      </c>
      <c r="T772" s="12">
        <v>5</v>
      </c>
      <c r="U772" s="18">
        <v>422546</v>
      </c>
      <c r="V772" s="19">
        <v>456350</v>
      </c>
      <c r="W772" s="13" t="s">
        <v>635</v>
      </c>
      <c r="X772" s="14" t="s">
        <v>2471</v>
      </c>
      <c r="Y772" s="13" t="s">
        <v>2127</v>
      </c>
      <c r="Z772" s="14" t="s">
        <v>2472</v>
      </c>
      <c r="AA772" s="17"/>
      <c r="AB772" s="14" t="s">
        <v>220</v>
      </c>
      <c r="AC772" s="17">
        <v>9127000</v>
      </c>
      <c r="AD772" s="14" t="s">
        <v>1969</v>
      </c>
      <c r="AE772" s="17">
        <v>8450926</v>
      </c>
      <c r="AF772" s="14" t="s">
        <v>121</v>
      </c>
      <c r="AG772" s="20" t="s">
        <v>914</v>
      </c>
      <c r="AH772" s="10">
        <v>4392933</v>
      </c>
      <c r="AI772" s="24" t="str">
        <f>VLOOKUP(Sales[[#This Row],[Store]],'Store lay bao  cao'!A:B,2,0)</f>
        <v>Lấy BC</v>
      </c>
      <c r="AJ772" s="24" t="str">
        <f>VLOOKUP(Sales[[#This Row],[Associate]],'Associate Status'!B:C,2,0)</f>
        <v>Active</v>
      </c>
    </row>
    <row r="773" spans="1:36" x14ac:dyDescent="0.25">
      <c r="A773" s="7">
        <v>2025</v>
      </c>
      <c r="B773" s="8">
        <v>8</v>
      </c>
      <c r="C773" s="8">
        <v>33</v>
      </c>
      <c r="D773" s="8" t="s">
        <v>52</v>
      </c>
      <c r="E773" s="8" t="s">
        <v>43</v>
      </c>
      <c r="F773" s="8" t="s">
        <v>52</v>
      </c>
      <c r="G773" s="9">
        <v>4436504</v>
      </c>
      <c r="H773" s="10">
        <v>3996000</v>
      </c>
      <c r="I773" s="11">
        <v>45880</v>
      </c>
      <c r="J773" s="12">
        <v>182184</v>
      </c>
      <c r="K773" s="13" t="s">
        <v>574</v>
      </c>
      <c r="L773" s="14" t="s">
        <v>50</v>
      </c>
      <c r="M773" s="11" t="s">
        <v>17</v>
      </c>
      <c r="N773" s="14" t="s">
        <v>11</v>
      </c>
      <c r="O773" s="15">
        <v>2058</v>
      </c>
      <c r="P773" s="12">
        <v>1</v>
      </c>
      <c r="Q773" s="13" t="s">
        <v>2094</v>
      </c>
      <c r="R773" s="16">
        <v>12148600</v>
      </c>
      <c r="S773" s="17">
        <v>11248704</v>
      </c>
      <c r="T773" s="12">
        <v>5</v>
      </c>
      <c r="U773" s="18">
        <v>592037</v>
      </c>
      <c r="V773" s="19">
        <v>639400</v>
      </c>
      <c r="W773" s="13" t="s">
        <v>635</v>
      </c>
      <c r="X773" s="14" t="s">
        <v>2473</v>
      </c>
      <c r="Y773" s="13" t="s">
        <v>2127</v>
      </c>
      <c r="Z773" s="14" t="s">
        <v>2474</v>
      </c>
      <c r="AA773" s="17"/>
      <c r="AB773" s="14" t="s">
        <v>802</v>
      </c>
      <c r="AC773" s="17">
        <v>12788000</v>
      </c>
      <c r="AD773" s="14" t="s">
        <v>2100</v>
      </c>
      <c r="AE773" s="17">
        <v>11840741</v>
      </c>
      <c r="AF773" s="14" t="s">
        <v>121</v>
      </c>
      <c r="AG773" s="21" t="s">
        <v>914</v>
      </c>
      <c r="AH773" s="10">
        <v>6812200</v>
      </c>
      <c r="AI773" s="24" t="str">
        <f>VLOOKUP(Sales[[#This Row],[Store]],'Store lay bao  cao'!A:B,2,0)</f>
        <v>Lấy BC</v>
      </c>
      <c r="AJ773" s="24" t="str">
        <f>VLOOKUP(Sales[[#This Row],[Associate]],'Associate Status'!B:C,2,0)</f>
        <v>Active</v>
      </c>
    </row>
    <row r="774" spans="1:36" x14ac:dyDescent="0.25">
      <c r="A774" s="7">
        <v>2025</v>
      </c>
      <c r="B774" s="8">
        <v>8</v>
      </c>
      <c r="C774" s="8">
        <v>33</v>
      </c>
      <c r="D774" s="8" t="s">
        <v>60</v>
      </c>
      <c r="E774" s="8" t="s">
        <v>34</v>
      </c>
      <c r="F774" s="8" t="s">
        <v>60</v>
      </c>
      <c r="G774" s="9">
        <v>4778431</v>
      </c>
      <c r="H774" s="10">
        <v>4446000</v>
      </c>
      <c r="I774" s="11">
        <v>45880</v>
      </c>
      <c r="J774" s="12">
        <v>208318</v>
      </c>
      <c r="K774" s="13" t="s">
        <v>574</v>
      </c>
      <c r="L774" s="14" t="s">
        <v>50</v>
      </c>
      <c r="M774" s="11" t="s">
        <v>17</v>
      </c>
      <c r="N774" s="14" t="s">
        <v>11</v>
      </c>
      <c r="O774" s="15">
        <v>2058</v>
      </c>
      <c r="P774" s="12">
        <v>1</v>
      </c>
      <c r="Q774" s="13" t="s">
        <v>2094</v>
      </c>
      <c r="R774" s="16">
        <v>13516600</v>
      </c>
      <c r="S774" s="17">
        <v>12515370</v>
      </c>
      <c r="T774" s="12">
        <v>5</v>
      </c>
      <c r="U774" s="18">
        <v>658704</v>
      </c>
      <c r="V774" s="19">
        <v>711400</v>
      </c>
      <c r="W774" s="13" t="s">
        <v>635</v>
      </c>
      <c r="X774" s="14" t="s">
        <v>2475</v>
      </c>
      <c r="Y774" s="13" t="s">
        <v>2127</v>
      </c>
      <c r="Z774" s="14" t="s">
        <v>2476</v>
      </c>
      <c r="AA774" s="17"/>
      <c r="AB774" s="14" t="s">
        <v>2332</v>
      </c>
      <c r="AC774" s="17">
        <v>14228000</v>
      </c>
      <c r="AD774" s="14" t="s">
        <v>108</v>
      </c>
      <c r="AE774" s="17">
        <v>13174074</v>
      </c>
      <c r="AF774" s="14" t="s">
        <v>121</v>
      </c>
      <c r="AG774" s="20" t="s">
        <v>914</v>
      </c>
      <c r="AH774" s="10">
        <v>7736939</v>
      </c>
      <c r="AI774" s="24" t="str">
        <f>VLOOKUP(Sales[[#This Row],[Store]],'Store lay bao  cao'!A:B,2,0)</f>
        <v>Lấy BC</v>
      </c>
      <c r="AJ774" s="24" t="str">
        <f>VLOOKUP(Sales[[#This Row],[Associate]],'Associate Status'!B:C,2,0)</f>
        <v>Active</v>
      </c>
    </row>
    <row r="775" spans="1:36" x14ac:dyDescent="0.25">
      <c r="A775" s="7">
        <v>2025</v>
      </c>
      <c r="B775" s="8">
        <v>8</v>
      </c>
      <c r="C775" s="8">
        <v>33</v>
      </c>
      <c r="D775" s="8" t="s">
        <v>69</v>
      </c>
      <c r="E775" s="8" t="s">
        <v>37</v>
      </c>
      <c r="F775" s="8" t="s">
        <v>69</v>
      </c>
      <c r="G775" s="9">
        <v>22023182</v>
      </c>
      <c r="H775" s="10">
        <v>20227500</v>
      </c>
      <c r="I775" s="11">
        <v>45880</v>
      </c>
      <c r="J775" s="12">
        <v>219167</v>
      </c>
      <c r="K775" s="13" t="s">
        <v>497</v>
      </c>
      <c r="L775" s="14" t="s">
        <v>70</v>
      </c>
      <c r="M775" s="11" t="s">
        <v>15</v>
      </c>
      <c r="N775" s="14" t="s">
        <v>14</v>
      </c>
      <c r="O775" s="15">
        <v>3092</v>
      </c>
      <c r="P775" s="12">
        <v>1</v>
      </c>
      <c r="Q775" s="13" t="s">
        <v>2088</v>
      </c>
      <c r="R775" s="16">
        <v>67518000</v>
      </c>
      <c r="S775" s="17">
        <v>62516667</v>
      </c>
      <c r="T775" s="12">
        <v>0</v>
      </c>
      <c r="U775" s="18">
        <v>0</v>
      </c>
      <c r="V775" s="19">
        <v>0</v>
      </c>
      <c r="W775" s="13" t="s">
        <v>2173</v>
      </c>
      <c r="X775" s="14" t="s">
        <v>2477</v>
      </c>
      <c r="Y775" s="13" t="s">
        <v>2245</v>
      </c>
      <c r="Z775" s="14" t="s">
        <v>2478</v>
      </c>
      <c r="AA775" s="17"/>
      <c r="AB775" s="14" t="s">
        <v>2371</v>
      </c>
      <c r="AC775" s="17">
        <v>67518000</v>
      </c>
      <c r="AD775" s="14" t="s">
        <v>108</v>
      </c>
      <c r="AE775" s="17">
        <v>62516667</v>
      </c>
      <c r="AF775" s="14" t="s">
        <v>136</v>
      </c>
      <c r="AG775" s="21" t="s">
        <v>337</v>
      </c>
      <c r="AH775" s="10">
        <v>40493485</v>
      </c>
      <c r="AI775" s="24" t="str">
        <f>VLOOKUP(Sales[[#This Row],[Store]],'Store lay bao  cao'!A:B,2,0)</f>
        <v>Lấy BC</v>
      </c>
      <c r="AJ775" s="24" t="str">
        <f>VLOOKUP(Sales[[#This Row],[Associate]],'Associate Status'!B:C,2,0)</f>
        <v>Active</v>
      </c>
    </row>
    <row r="776" spans="1:36" x14ac:dyDescent="0.25">
      <c r="A776" s="7">
        <v>2025</v>
      </c>
      <c r="B776" s="8">
        <v>8</v>
      </c>
      <c r="C776" s="8">
        <v>33</v>
      </c>
      <c r="D776" s="8" t="s">
        <v>52</v>
      </c>
      <c r="E776" s="8" t="s">
        <v>37</v>
      </c>
      <c r="F776" s="8" t="s">
        <v>52</v>
      </c>
      <c r="G776" s="9">
        <v>164878231</v>
      </c>
      <c r="H776" s="10">
        <v>162263475</v>
      </c>
      <c r="I776" s="11">
        <v>45881</v>
      </c>
      <c r="J776" s="12">
        <v>181388</v>
      </c>
      <c r="K776" s="13" t="s">
        <v>498</v>
      </c>
      <c r="L776" s="14" t="s">
        <v>58</v>
      </c>
      <c r="M776" s="11" t="s">
        <v>15</v>
      </c>
      <c r="N776" s="14" t="s">
        <v>11</v>
      </c>
      <c r="O776" s="15">
        <v>3095</v>
      </c>
      <c r="P776" s="12">
        <v>1</v>
      </c>
      <c r="Q776" s="13" t="s">
        <v>2088</v>
      </c>
      <c r="R776" s="16">
        <v>614266200</v>
      </c>
      <c r="S776" s="17">
        <v>568765000</v>
      </c>
      <c r="T776" s="12">
        <v>5</v>
      </c>
      <c r="U776" s="18">
        <v>29935000</v>
      </c>
      <c r="V776" s="19">
        <v>32329800</v>
      </c>
      <c r="W776" s="13" t="s">
        <v>2171</v>
      </c>
      <c r="X776" s="14" t="s">
        <v>2479</v>
      </c>
      <c r="Y776" s="13" t="s">
        <v>917</v>
      </c>
      <c r="Z776" s="14" t="s">
        <v>2480</v>
      </c>
      <c r="AA776" s="17"/>
      <c r="AB776" s="14" t="s">
        <v>2199</v>
      </c>
      <c r="AC776" s="17">
        <v>646596000</v>
      </c>
      <c r="AD776" s="14" t="s">
        <v>108</v>
      </c>
      <c r="AE776" s="17">
        <v>598700000</v>
      </c>
      <c r="AF776" s="14" t="s">
        <v>136</v>
      </c>
      <c r="AG776" s="20" t="s">
        <v>918</v>
      </c>
      <c r="AH776" s="10">
        <v>403886769</v>
      </c>
      <c r="AI776" s="24" t="str">
        <f>VLOOKUP(Sales[[#This Row],[Store]],'Store lay bao  cao'!A:B,2,0)</f>
        <v>Lấy BC</v>
      </c>
      <c r="AJ776" s="24" t="str">
        <f>VLOOKUP(Sales[[#This Row],[Associate]],'Associate Status'!B:C,2,0)</f>
        <v>Active</v>
      </c>
    </row>
    <row r="777" spans="1:36" x14ac:dyDescent="0.25">
      <c r="A777" s="7">
        <v>2025</v>
      </c>
      <c r="B777" s="8">
        <v>8</v>
      </c>
      <c r="C777" s="8">
        <v>33</v>
      </c>
      <c r="D777" s="8" t="s">
        <v>63</v>
      </c>
      <c r="E777" s="8" t="s">
        <v>34</v>
      </c>
      <c r="F777" s="8" t="s">
        <v>63</v>
      </c>
      <c r="G777" s="9">
        <v>773190</v>
      </c>
      <c r="H777" s="10">
        <v>764541</v>
      </c>
      <c r="I777" s="11">
        <v>45882</v>
      </c>
      <c r="J777" s="12">
        <v>205055</v>
      </c>
      <c r="K777" s="13" t="s">
        <v>796</v>
      </c>
      <c r="L777" s="14" t="s">
        <v>47</v>
      </c>
      <c r="M777" s="11" t="s">
        <v>21</v>
      </c>
      <c r="N777" s="14" t="s">
        <v>62</v>
      </c>
      <c r="O777" s="15">
        <v>4790</v>
      </c>
      <c r="P777" s="12">
        <v>1</v>
      </c>
      <c r="Q777" s="13" t="s">
        <v>2098</v>
      </c>
      <c r="R777" s="16">
        <v>4588000</v>
      </c>
      <c r="S777" s="17">
        <v>4248148</v>
      </c>
      <c r="T777" s="12">
        <v>0</v>
      </c>
      <c r="U777" s="18">
        <v>0</v>
      </c>
      <c r="V777" s="19">
        <v>0</v>
      </c>
      <c r="W777" s="13" t="s">
        <v>2163</v>
      </c>
      <c r="X777" s="14" t="s">
        <v>2481</v>
      </c>
      <c r="Y777" s="13" t="s">
        <v>381</v>
      </c>
      <c r="Z777" s="14" t="s">
        <v>2129</v>
      </c>
      <c r="AA777" s="17"/>
      <c r="AB777" s="14" t="s">
        <v>2344</v>
      </c>
      <c r="AC777" s="17">
        <v>4588000</v>
      </c>
      <c r="AD777" s="14" t="s">
        <v>2097</v>
      </c>
      <c r="AE777" s="17">
        <v>4248148</v>
      </c>
      <c r="AF777" s="14" t="s">
        <v>2281</v>
      </c>
      <c r="AG777" s="21" t="s">
        <v>382</v>
      </c>
      <c r="AH777" s="10">
        <v>3474958</v>
      </c>
      <c r="AI777" s="24" t="str">
        <f>VLOOKUP(Sales[[#This Row],[Store]],'Store lay bao  cao'!A:B,2,0)</f>
        <v>Lấy BC</v>
      </c>
      <c r="AJ777" s="24" t="e">
        <f>VLOOKUP(Sales[[#This Row],[Associate]],'Associate Status'!B:C,2,0)</f>
        <v>#N/A</v>
      </c>
    </row>
    <row r="778" spans="1:36" x14ac:dyDescent="0.25">
      <c r="A778" s="7">
        <v>2025</v>
      </c>
      <c r="B778" s="8">
        <v>8</v>
      </c>
      <c r="C778" s="8">
        <v>33</v>
      </c>
      <c r="D778" s="8" t="s">
        <v>52</v>
      </c>
      <c r="E778" s="8" t="s">
        <v>34</v>
      </c>
      <c r="F778" s="8" t="s">
        <v>52</v>
      </c>
      <c r="G778" s="9">
        <v>18666361</v>
      </c>
      <c r="H778" s="10">
        <v>15789600</v>
      </c>
      <c r="I778" s="11">
        <v>45883</v>
      </c>
      <c r="J778" s="12">
        <v>186455</v>
      </c>
      <c r="K778" s="13" t="s">
        <v>577</v>
      </c>
      <c r="L778" s="14" t="s">
        <v>19</v>
      </c>
      <c r="M778" s="11" t="s">
        <v>17</v>
      </c>
      <c r="N778" s="14" t="s">
        <v>11</v>
      </c>
      <c r="O778" s="15">
        <v>2065</v>
      </c>
      <c r="P778" s="12">
        <v>1</v>
      </c>
      <c r="Q778" s="13" t="s">
        <v>2088</v>
      </c>
      <c r="R778" s="16">
        <v>40000000</v>
      </c>
      <c r="S778" s="17">
        <v>37037037</v>
      </c>
      <c r="T778" s="12">
        <v>22.05</v>
      </c>
      <c r="U778" s="18">
        <v>10478704</v>
      </c>
      <c r="V778" s="19">
        <v>11317000</v>
      </c>
      <c r="W778" s="13" t="s">
        <v>635</v>
      </c>
      <c r="X778" s="14" t="s">
        <v>2482</v>
      </c>
      <c r="Y778" s="13" t="s">
        <v>2127</v>
      </c>
      <c r="Z778" s="14" t="s">
        <v>2483</v>
      </c>
      <c r="AA778" s="17"/>
      <c r="AB778" s="14" t="s">
        <v>2446</v>
      </c>
      <c r="AC778" s="17">
        <v>51317000</v>
      </c>
      <c r="AD778" s="14" t="s">
        <v>108</v>
      </c>
      <c r="AE778" s="17">
        <v>47515741</v>
      </c>
      <c r="AF778" s="14" t="s">
        <v>121</v>
      </c>
      <c r="AG778" s="20" t="s">
        <v>914</v>
      </c>
      <c r="AH778" s="10">
        <v>18370676</v>
      </c>
      <c r="AI778" s="24" t="str">
        <f>VLOOKUP(Sales[[#This Row],[Store]],'Store lay bao  cao'!A:B,2,0)</f>
        <v>Lấy BC</v>
      </c>
      <c r="AJ778" s="24" t="str">
        <f>VLOOKUP(Sales[[#This Row],[Associate]],'Associate Status'!B:C,2,0)</f>
        <v>Active</v>
      </c>
    </row>
    <row r="779" spans="1:36" x14ac:dyDescent="0.25">
      <c r="A779" s="7">
        <v>2025</v>
      </c>
      <c r="B779" s="8">
        <v>8</v>
      </c>
      <c r="C779" s="8">
        <v>34</v>
      </c>
      <c r="D779" s="8" t="s">
        <v>69</v>
      </c>
      <c r="E779" s="8" t="s">
        <v>34</v>
      </c>
      <c r="F779" s="8" t="s">
        <v>69</v>
      </c>
      <c r="G779" s="9">
        <v>9416809</v>
      </c>
      <c r="H779" s="10">
        <v>4324500</v>
      </c>
      <c r="I779" s="11">
        <v>45888</v>
      </c>
      <c r="J779" s="12">
        <v>219154</v>
      </c>
      <c r="K779" s="13" t="s">
        <v>502</v>
      </c>
      <c r="L779" s="14" t="s">
        <v>70</v>
      </c>
      <c r="M779" s="11" t="s">
        <v>15</v>
      </c>
      <c r="N779" s="14" t="s">
        <v>62</v>
      </c>
      <c r="O779" s="15">
        <v>3114</v>
      </c>
      <c r="P779" s="12">
        <v>1</v>
      </c>
      <c r="Q779" s="13" t="s">
        <v>2094</v>
      </c>
      <c r="R779" s="16">
        <v>28303000</v>
      </c>
      <c r="S779" s="17">
        <v>26206481</v>
      </c>
      <c r="T779" s="12">
        <v>0</v>
      </c>
      <c r="U779" s="18">
        <v>0</v>
      </c>
      <c r="V779" s="19">
        <v>0</v>
      </c>
      <c r="W779" s="13" t="s">
        <v>1563</v>
      </c>
      <c r="X779" s="14" t="s">
        <v>2422</v>
      </c>
      <c r="Y779" s="13" t="s">
        <v>2105</v>
      </c>
      <c r="Z779" s="14" t="s">
        <v>2423</v>
      </c>
      <c r="AA779" s="17"/>
      <c r="AB779" s="14" t="s">
        <v>2407</v>
      </c>
      <c r="AC779" s="17">
        <v>28303000</v>
      </c>
      <c r="AD779" s="14" t="s">
        <v>108</v>
      </c>
      <c r="AE779" s="17">
        <v>26206481</v>
      </c>
      <c r="AF779" s="14" t="s">
        <v>278</v>
      </c>
      <c r="AG779" s="21" t="s">
        <v>197</v>
      </c>
      <c r="AH779" s="10">
        <v>16789672</v>
      </c>
      <c r="AI779" s="24" t="str">
        <f>VLOOKUP(Sales[[#This Row],[Store]],'Store lay bao  cao'!A:B,2,0)</f>
        <v>Lấy BC</v>
      </c>
      <c r="AJ779" s="24" t="str">
        <f>VLOOKUP(Sales[[#This Row],[Associate]],'Associate Status'!B:C,2,0)</f>
        <v>Active</v>
      </c>
    </row>
    <row r="780" spans="1:36" x14ac:dyDescent="0.25">
      <c r="A780" s="7">
        <v>2025</v>
      </c>
      <c r="B780" s="8">
        <v>8</v>
      </c>
      <c r="C780" s="8">
        <v>34</v>
      </c>
      <c r="D780" s="8" t="s">
        <v>69</v>
      </c>
      <c r="E780" s="8" t="s">
        <v>37</v>
      </c>
      <c r="F780" s="8" t="s">
        <v>69</v>
      </c>
      <c r="G780" s="9">
        <v>5088115</v>
      </c>
      <c r="H780" s="10">
        <v>4673250</v>
      </c>
      <c r="I780" s="11">
        <v>45888</v>
      </c>
      <c r="J780" s="12">
        <v>219155</v>
      </c>
      <c r="K780" s="13" t="s">
        <v>502</v>
      </c>
      <c r="L780" s="14" t="s">
        <v>70</v>
      </c>
      <c r="M780" s="11" t="s">
        <v>15</v>
      </c>
      <c r="N780" s="14" t="s">
        <v>14</v>
      </c>
      <c r="O780" s="15">
        <v>3114</v>
      </c>
      <c r="P780" s="12">
        <v>1</v>
      </c>
      <c r="Q780" s="13" t="s">
        <v>2094</v>
      </c>
      <c r="R780" s="16">
        <v>15175000</v>
      </c>
      <c r="S780" s="17">
        <v>14050926</v>
      </c>
      <c r="T780" s="12">
        <v>0</v>
      </c>
      <c r="U780" s="18">
        <v>0</v>
      </c>
      <c r="V780" s="19">
        <v>0</v>
      </c>
      <c r="W780" s="13" t="s">
        <v>1563</v>
      </c>
      <c r="X780" s="14" t="s">
        <v>2413</v>
      </c>
      <c r="Y780" s="13" t="s">
        <v>2105</v>
      </c>
      <c r="Z780" s="14" t="s">
        <v>2414</v>
      </c>
      <c r="AA780" s="17"/>
      <c r="AB780" s="14" t="s">
        <v>2407</v>
      </c>
      <c r="AC780" s="17">
        <v>15175000</v>
      </c>
      <c r="AD780" s="14" t="s">
        <v>108</v>
      </c>
      <c r="AE780" s="17">
        <v>14050926</v>
      </c>
      <c r="AF780" s="14" t="s">
        <v>278</v>
      </c>
      <c r="AG780" s="20" t="s">
        <v>197</v>
      </c>
      <c r="AH780" s="10">
        <v>8962811</v>
      </c>
      <c r="AI780" s="24" t="str">
        <f>VLOOKUP(Sales[[#This Row],[Store]],'Store lay bao  cao'!A:B,2,0)</f>
        <v>Lấy BC</v>
      </c>
      <c r="AJ780" s="24" t="str">
        <f>VLOOKUP(Sales[[#This Row],[Associate]],'Associate Status'!B:C,2,0)</f>
        <v>Active</v>
      </c>
    </row>
    <row r="781" spans="1:36" x14ac:dyDescent="0.25">
      <c r="A781" s="7">
        <v>2025</v>
      </c>
      <c r="B781" s="8">
        <v>8</v>
      </c>
      <c r="C781" s="8">
        <v>34</v>
      </c>
      <c r="D781" s="8" t="s">
        <v>69</v>
      </c>
      <c r="E781" s="8" t="s">
        <v>34</v>
      </c>
      <c r="F781" s="8" t="s">
        <v>69</v>
      </c>
      <c r="G781" s="9">
        <v>32351296</v>
      </c>
      <c r="H781" s="10">
        <v>29713500</v>
      </c>
      <c r="I781" s="11">
        <v>45890</v>
      </c>
      <c r="J781" s="12">
        <v>219162</v>
      </c>
      <c r="K781" s="13" t="s">
        <v>503</v>
      </c>
      <c r="L781" s="14" t="s">
        <v>70</v>
      </c>
      <c r="M781" s="11" t="s">
        <v>15</v>
      </c>
      <c r="N781" s="14" t="s">
        <v>62</v>
      </c>
      <c r="O781" s="15">
        <v>3121</v>
      </c>
      <c r="P781" s="12">
        <v>2</v>
      </c>
      <c r="Q781" s="13" t="s">
        <v>102</v>
      </c>
      <c r="R781" s="16">
        <v>87296000</v>
      </c>
      <c r="S781" s="17">
        <v>80829630</v>
      </c>
      <c r="T781" s="12">
        <v>0</v>
      </c>
      <c r="U781" s="18">
        <v>0</v>
      </c>
      <c r="V781" s="19">
        <v>0</v>
      </c>
      <c r="W781" s="13" t="s">
        <v>1563</v>
      </c>
      <c r="X781" s="14" t="s">
        <v>2484</v>
      </c>
      <c r="Y781" s="13" t="s">
        <v>265</v>
      </c>
      <c r="Z781" s="14" t="s">
        <v>2485</v>
      </c>
      <c r="AA781" s="17"/>
      <c r="AB781" s="14" t="s">
        <v>2371</v>
      </c>
      <c r="AC781" s="17">
        <v>87296000</v>
      </c>
      <c r="AD781" s="14" t="s">
        <v>108</v>
      </c>
      <c r="AE781" s="17">
        <v>80829630</v>
      </c>
      <c r="AF781" s="14" t="s">
        <v>2445</v>
      </c>
      <c r="AG781" s="21" t="s">
        <v>266</v>
      </c>
      <c r="AH781" s="10">
        <v>48478334</v>
      </c>
      <c r="AI781" s="24" t="str">
        <f>VLOOKUP(Sales[[#This Row],[Store]],'Store lay bao  cao'!A:B,2,0)</f>
        <v>Lấy BC</v>
      </c>
      <c r="AJ781" s="24" t="str">
        <f>VLOOKUP(Sales[[#This Row],[Associate]],'Associate Status'!B:C,2,0)</f>
        <v>Active</v>
      </c>
    </row>
    <row r="782" spans="1:36" x14ac:dyDescent="0.25">
      <c r="A782" s="7">
        <v>2025</v>
      </c>
      <c r="B782" s="8">
        <v>8</v>
      </c>
      <c r="C782" s="8">
        <v>34</v>
      </c>
      <c r="D782" s="8" t="s">
        <v>69</v>
      </c>
      <c r="E782" s="8" t="s">
        <v>37</v>
      </c>
      <c r="F782" s="8" t="s">
        <v>69</v>
      </c>
      <c r="G782" s="9">
        <v>11087533</v>
      </c>
      <c r="H782" s="10">
        <v>10183500</v>
      </c>
      <c r="I782" s="11">
        <v>45890</v>
      </c>
      <c r="J782" s="12">
        <v>219158</v>
      </c>
      <c r="K782" s="13" t="s">
        <v>503</v>
      </c>
      <c r="L782" s="14" t="s">
        <v>70</v>
      </c>
      <c r="M782" s="11" t="s">
        <v>15</v>
      </c>
      <c r="N782" s="14" t="s">
        <v>14</v>
      </c>
      <c r="O782" s="15">
        <v>3121</v>
      </c>
      <c r="P782" s="12">
        <v>1</v>
      </c>
      <c r="Q782" s="13" t="s">
        <v>102</v>
      </c>
      <c r="R782" s="16">
        <v>32736000</v>
      </c>
      <c r="S782" s="17">
        <v>30311111</v>
      </c>
      <c r="T782" s="12">
        <v>0</v>
      </c>
      <c r="U782" s="18">
        <v>0</v>
      </c>
      <c r="V782" s="19">
        <v>0</v>
      </c>
      <c r="W782" s="13" t="s">
        <v>1563</v>
      </c>
      <c r="X782" s="14" t="s">
        <v>2486</v>
      </c>
      <c r="Y782" s="13" t="s">
        <v>265</v>
      </c>
      <c r="Z782" s="14" t="s">
        <v>2487</v>
      </c>
      <c r="AA782" s="17"/>
      <c r="AB782" s="14" t="s">
        <v>2371</v>
      </c>
      <c r="AC782" s="17">
        <v>32736000</v>
      </c>
      <c r="AD782" s="14" t="s">
        <v>108</v>
      </c>
      <c r="AE782" s="17">
        <v>30311111</v>
      </c>
      <c r="AF782" s="14" t="s">
        <v>2445</v>
      </c>
      <c r="AG782" s="20" t="s">
        <v>266</v>
      </c>
      <c r="AH782" s="10">
        <v>19223578</v>
      </c>
      <c r="AI782" s="24" t="str">
        <f>VLOOKUP(Sales[[#This Row],[Store]],'Store lay bao  cao'!A:B,2,0)</f>
        <v>Lấy BC</v>
      </c>
      <c r="AJ782" s="24" t="str">
        <f>VLOOKUP(Sales[[#This Row],[Associate]],'Associate Status'!B:C,2,0)</f>
        <v>Active</v>
      </c>
    </row>
    <row r="783" spans="1:36" x14ac:dyDescent="0.25">
      <c r="A783" s="7">
        <v>2025</v>
      </c>
      <c r="B783" s="8">
        <v>8</v>
      </c>
      <c r="C783" s="8">
        <v>34</v>
      </c>
      <c r="D783" s="8" t="s">
        <v>69</v>
      </c>
      <c r="E783" s="8" t="s">
        <v>53</v>
      </c>
      <c r="F783" s="8" t="s">
        <v>69</v>
      </c>
      <c r="G783" s="9">
        <v>25820283</v>
      </c>
      <c r="H783" s="10">
        <v>23715000</v>
      </c>
      <c r="I783" s="11">
        <v>45890</v>
      </c>
      <c r="J783" s="12">
        <v>219165</v>
      </c>
      <c r="K783" s="13" t="s">
        <v>503</v>
      </c>
      <c r="L783" s="14" t="s">
        <v>70</v>
      </c>
      <c r="M783" s="11" t="s">
        <v>15</v>
      </c>
      <c r="N783" s="14" t="s">
        <v>14</v>
      </c>
      <c r="O783" s="15">
        <v>3121</v>
      </c>
      <c r="P783" s="12">
        <v>1</v>
      </c>
      <c r="Q783" s="13" t="s">
        <v>102</v>
      </c>
      <c r="R783" s="16">
        <v>73656000</v>
      </c>
      <c r="S783" s="17">
        <v>68200000</v>
      </c>
      <c r="T783" s="12">
        <v>0</v>
      </c>
      <c r="U783" s="18">
        <v>0</v>
      </c>
      <c r="V783" s="19">
        <v>0</v>
      </c>
      <c r="W783" s="13" t="s">
        <v>1563</v>
      </c>
      <c r="X783" s="14" t="s">
        <v>2369</v>
      </c>
      <c r="Y783" s="13" t="s">
        <v>265</v>
      </c>
      <c r="Z783" s="14" t="s">
        <v>2370</v>
      </c>
      <c r="AA783" s="17"/>
      <c r="AB783" s="14" t="s">
        <v>2371</v>
      </c>
      <c r="AC783" s="17">
        <v>73656000</v>
      </c>
      <c r="AD783" s="14" t="s">
        <v>108</v>
      </c>
      <c r="AE783" s="17">
        <v>68200000</v>
      </c>
      <c r="AF783" s="14" t="s">
        <v>2445</v>
      </c>
      <c r="AG783" s="21" t="s">
        <v>266</v>
      </c>
      <c r="AH783" s="10">
        <v>42379717</v>
      </c>
      <c r="AI783" s="24" t="str">
        <f>VLOOKUP(Sales[[#This Row],[Store]],'Store lay bao  cao'!A:B,2,0)</f>
        <v>Lấy BC</v>
      </c>
      <c r="AJ783" s="24" t="str">
        <f>VLOOKUP(Sales[[#This Row],[Associate]],'Associate Status'!B:C,2,0)</f>
        <v>Active</v>
      </c>
    </row>
    <row r="784" spans="1:36" x14ac:dyDescent="0.25">
      <c r="A784" s="7">
        <v>2025</v>
      </c>
      <c r="B784" s="8">
        <v>8</v>
      </c>
      <c r="C784" s="8">
        <v>34</v>
      </c>
      <c r="D784" s="8" t="s">
        <v>52</v>
      </c>
      <c r="E784" s="8" t="s">
        <v>34</v>
      </c>
      <c r="F784" s="8" t="s">
        <v>52</v>
      </c>
      <c r="G784" s="9">
        <v>101684173</v>
      </c>
      <c r="H784" s="10">
        <v>117600000</v>
      </c>
      <c r="I784" s="11">
        <v>45890</v>
      </c>
      <c r="J784" s="12">
        <v>180392</v>
      </c>
      <c r="K784" s="13" t="s">
        <v>597</v>
      </c>
      <c r="L784" s="14" t="s">
        <v>55</v>
      </c>
      <c r="M784" s="11" t="s">
        <v>17</v>
      </c>
      <c r="N784" s="14" t="s">
        <v>11</v>
      </c>
      <c r="O784" s="15">
        <v>2085</v>
      </c>
      <c r="P784" s="12">
        <v>1</v>
      </c>
      <c r="Q784" s="13" t="s">
        <v>102</v>
      </c>
      <c r="R784" s="16">
        <v>237500000</v>
      </c>
      <c r="S784" s="17">
        <v>219907407</v>
      </c>
      <c r="T784" s="12">
        <v>5</v>
      </c>
      <c r="U784" s="18">
        <v>11574074</v>
      </c>
      <c r="V784" s="19">
        <v>12500000</v>
      </c>
      <c r="W784" s="13" t="s">
        <v>635</v>
      </c>
      <c r="X784" s="14" t="s">
        <v>2488</v>
      </c>
      <c r="Y784" s="13" t="s">
        <v>2147</v>
      </c>
      <c r="Z784" s="14" t="s">
        <v>2489</v>
      </c>
      <c r="AA784" s="17"/>
      <c r="AB784" s="14" t="s">
        <v>2490</v>
      </c>
      <c r="AC784" s="17">
        <v>250000000</v>
      </c>
      <c r="AD784" s="14" t="s">
        <v>893</v>
      </c>
      <c r="AE784" s="17">
        <v>231481481</v>
      </c>
      <c r="AF784" s="14" t="s">
        <v>121</v>
      </c>
      <c r="AG784" s="20" t="s">
        <v>217</v>
      </c>
      <c r="AH784" s="10">
        <v>118223234</v>
      </c>
      <c r="AI784" s="24" t="str">
        <f>VLOOKUP(Sales[[#This Row],[Store]],'Store lay bao  cao'!A:B,2,0)</f>
        <v>Lấy BC</v>
      </c>
      <c r="AJ784" s="24" t="str">
        <f>VLOOKUP(Sales[[#This Row],[Associate]],'Associate Status'!B:C,2,0)</f>
        <v>Active</v>
      </c>
    </row>
    <row r="785" spans="1:36" x14ac:dyDescent="0.25">
      <c r="A785" s="7">
        <v>2025</v>
      </c>
      <c r="B785" s="8">
        <v>8</v>
      </c>
      <c r="C785" s="8">
        <v>34</v>
      </c>
      <c r="D785" s="8" t="s">
        <v>69</v>
      </c>
      <c r="E785" s="8" t="s">
        <v>53</v>
      </c>
      <c r="F785" s="8" t="s">
        <v>69</v>
      </c>
      <c r="G785" s="9">
        <v>30376804</v>
      </c>
      <c r="H785" s="10">
        <v>27900000</v>
      </c>
      <c r="I785" s="11">
        <v>45891</v>
      </c>
      <c r="J785" s="12">
        <v>219164</v>
      </c>
      <c r="K785" s="13" t="s">
        <v>1310</v>
      </c>
      <c r="L785" s="14" t="s">
        <v>70</v>
      </c>
      <c r="M785" s="11" t="s">
        <v>15</v>
      </c>
      <c r="N785" s="14" t="s">
        <v>14</v>
      </c>
      <c r="O785" s="15">
        <v>3128</v>
      </c>
      <c r="P785" s="12">
        <v>1</v>
      </c>
      <c r="Q785" s="13" t="s">
        <v>102</v>
      </c>
      <c r="R785" s="16">
        <v>90024000</v>
      </c>
      <c r="S785" s="17">
        <v>83355556</v>
      </c>
      <c r="T785" s="12">
        <v>0</v>
      </c>
      <c r="U785" s="18">
        <v>0</v>
      </c>
      <c r="V785" s="19">
        <v>0</v>
      </c>
      <c r="W785" s="13" t="s">
        <v>636</v>
      </c>
      <c r="X785" s="14" t="s">
        <v>2435</v>
      </c>
      <c r="Y785" s="13" t="s">
        <v>2154</v>
      </c>
      <c r="Z785" s="14" t="s">
        <v>2436</v>
      </c>
      <c r="AA785" s="17"/>
      <c r="AB785" s="14" t="s">
        <v>2407</v>
      </c>
      <c r="AC785" s="17">
        <v>90024000</v>
      </c>
      <c r="AD785" s="14" t="s">
        <v>108</v>
      </c>
      <c r="AE785" s="17">
        <v>83355556</v>
      </c>
      <c r="AF785" s="14" t="s">
        <v>1970</v>
      </c>
      <c r="AG785" s="21"/>
      <c r="AH785" s="10">
        <v>52978752</v>
      </c>
      <c r="AI785" s="24" t="str">
        <f>VLOOKUP(Sales[[#This Row],[Store]],'Store lay bao  cao'!A:B,2,0)</f>
        <v>Lấy BC</v>
      </c>
      <c r="AJ785" s="24" t="str">
        <f>VLOOKUP(Sales[[#This Row],[Associate]],'Associate Status'!B:C,2,0)</f>
        <v>Active</v>
      </c>
    </row>
    <row r="786" spans="1:36" x14ac:dyDescent="0.25">
      <c r="A786" s="7">
        <v>2025</v>
      </c>
      <c r="B786" s="8">
        <v>8</v>
      </c>
      <c r="C786" s="8">
        <v>34</v>
      </c>
      <c r="D786" s="8" t="s">
        <v>60</v>
      </c>
      <c r="E786" s="8" t="s">
        <v>37</v>
      </c>
      <c r="F786" s="8" t="s">
        <v>60</v>
      </c>
      <c r="G786" s="9">
        <v>3651924</v>
      </c>
      <c r="H786" s="10">
        <v>3397200</v>
      </c>
      <c r="I786" s="11">
        <v>45891</v>
      </c>
      <c r="J786" s="12">
        <v>208294</v>
      </c>
      <c r="K786" s="13" t="s">
        <v>2044</v>
      </c>
      <c r="L786" s="14" t="s">
        <v>50</v>
      </c>
      <c r="M786" s="11" t="s">
        <v>28</v>
      </c>
      <c r="N786" s="14" t="s">
        <v>11</v>
      </c>
      <c r="O786" s="15">
        <v>2973</v>
      </c>
      <c r="P786" s="12">
        <v>1</v>
      </c>
      <c r="Q786" s="13" t="s">
        <v>2098</v>
      </c>
      <c r="R786" s="16">
        <v>10872000</v>
      </c>
      <c r="S786" s="17">
        <v>10066667</v>
      </c>
      <c r="T786" s="12">
        <v>0</v>
      </c>
      <c r="U786" s="18">
        <v>0</v>
      </c>
      <c r="V786" s="19">
        <v>0</v>
      </c>
      <c r="W786" s="13" t="s">
        <v>2167</v>
      </c>
      <c r="X786" s="14" t="s">
        <v>2491</v>
      </c>
      <c r="Y786" s="13" t="s">
        <v>381</v>
      </c>
      <c r="Z786" s="14" t="s">
        <v>2492</v>
      </c>
      <c r="AA786" s="17"/>
      <c r="AB786" s="14" t="s">
        <v>161</v>
      </c>
      <c r="AC786" s="17">
        <v>10872000</v>
      </c>
      <c r="AD786" s="14" t="s">
        <v>108</v>
      </c>
      <c r="AE786" s="17">
        <v>10066667</v>
      </c>
      <c r="AF786" s="14" t="s">
        <v>1375</v>
      </c>
      <c r="AG786" s="20" t="s">
        <v>382</v>
      </c>
      <c r="AH786" s="10">
        <v>6414743</v>
      </c>
      <c r="AI786" s="24" t="str">
        <f>VLOOKUP(Sales[[#This Row],[Store]],'Store lay bao  cao'!A:B,2,0)</f>
        <v>Lấy BC</v>
      </c>
      <c r="AJ786" s="24" t="e">
        <f>VLOOKUP(Sales[[#This Row],[Associate]],'Associate Status'!B:C,2,0)</f>
        <v>#N/A</v>
      </c>
    </row>
    <row r="787" spans="1:36" x14ac:dyDescent="0.25">
      <c r="A787" s="7">
        <v>2025</v>
      </c>
      <c r="B787" s="8">
        <v>8</v>
      </c>
      <c r="C787" s="8">
        <v>35</v>
      </c>
      <c r="D787" s="8" t="s">
        <v>60</v>
      </c>
      <c r="E787" s="8" t="s">
        <v>37</v>
      </c>
      <c r="F787" s="8" t="s">
        <v>60</v>
      </c>
      <c r="G787" s="9">
        <v>2427460</v>
      </c>
      <c r="H787" s="10">
        <v>2257200</v>
      </c>
      <c r="I787" s="11">
        <v>45894</v>
      </c>
      <c r="J787" s="12">
        <v>208303</v>
      </c>
      <c r="K787" s="13" t="s">
        <v>2049</v>
      </c>
      <c r="L787" s="14" t="s">
        <v>50</v>
      </c>
      <c r="M787" s="11" t="s">
        <v>28</v>
      </c>
      <c r="N787" s="14" t="s">
        <v>11</v>
      </c>
      <c r="O787" s="15">
        <v>2997</v>
      </c>
      <c r="P787" s="12">
        <v>1</v>
      </c>
      <c r="Q787" s="13" t="s">
        <v>2098</v>
      </c>
      <c r="R787" s="16">
        <v>7224000</v>
      </c>
      <c r="S787" s="17">
        <v>6688889</v>
      </c>
      <c r="T787" s="12">
        <v>0</v>
      </c>
      <c r="U787" s="18">
        <v>0</v>
      </c>
      <c r="V787" s="19">
        <v>0</v>
      </c>
      <c r="W787" s="13" t="s">
        <v>2167</v>
      </c>
      <c r="X787" s="14" t="s">
        <v>2493</v>
      </c>
      <c r="Y787" s="13" t="s">
        <v>2330</v>
      </c>
      <c r="Z787" s="14" t="s">
        <v>1881</v>
      </c>
      <c r="AA787" s="17"/>
      <c r="AB787" s="14" t="s">
        <v>2350</v>
      </c>
      <c r="AC787" s="17">
        <v>7224000</v>
      </c>
      <c r="AD787" s="14" t="s">
        <v>108</v>
      </c>
      <c r="AE787" s="17">
        <v>6688889</v>
      </c>
      <c r="AF787" s="14" t="s">
        <v>1375</v>
      </c>
      <c r="AG787" s="21" t="s">
        <v>2080</v>
      </c>
      <c r="AH787" s="10">
        <v>4261429</v>
      </c>
      <c r="AI787" s="24" t="str">
        <f>VLOOKUP(Sales[[#This Row],[Store]],'Store lay bao  cao'!A:B,2,0)</f>
        <v>Lấy BC</v>
      </c>
      <c r="AJ787" s="24" t="e">
        <f>VLOOKUP(Sales[[#This Row],[Associate]],'Associate Status'!B:C,2,0)</f>
        <v>#N/A</v>
      </c>
    </row>
    <row r="788" spans="1:36" x14ac:dyDescent="0.25">
      <c r="A788" s="7">
        <v>2025</v>
      </c>
      <c r="B788" s="8">
        <v>8</v>
      </c>
      <c r="C788" s="8">
        <v>35</v>
      </c>
      <c r="D788" s="8" t="s">
        <v>60</v>
      </c>
      <c r="E788" s="8" t="s">
        <v>43</v>
      </c>
      <c r="F788" s="8" t="s">
        <v>60</v>
      </c>
      <c r="G788" s="9">
        <v>61904440</v>
      </c>
      <c r="H788" s="10">
        <v>60087500</v>
      </c>
      <c r="I788" s="11">
        <v>45899</v>
      </c>
      <c r="J788" s="12">
        <v>205111</v>
      </c>
      <c r="K788" s="13" t="s">
        <v>602</v>
      </c>
      <c r="L788" s="14" t="s">
        <v>64</v>
      </c>
      <c r="M788" s="11" t="s">
        <v>17</v>
      </c>
      <c r="N788" s="14" t="s">
        <v>62</v>
      </c>
      <c r="O788" s="15">
        <v>2114</v>
      </c>
      <c r="P788" s="12">
        <v>1</v>
      </c>
      <c r="Q788" s="13" t="s">
        <v>2098</v>
      </c>
      <c r="R788" s="16">
        <v>143165000</v>
      </c>
      <c r="S788" s="17">
        <v>132560185</v>
      </c>
      <c r="T788" s="12">
        <v>5</v>
      </c>
      <c r="U788" s="18">
        <v>6976852</v>
      </c>
      <c r="V788" s="19">
        <v>7535000</v>
      </c>
      <c r="W788" s="13" t="s">
        <v>2174</v>
      </c>
      <c r="X788" s="14" t="s">
        <v>2494</v>
      </c>
      <c r="Y788" s="13" t="s">
        <v>2142</v>
      </c>
      <c r="Z788" s="14" t="s">
        <v>2495</v>
      </c>
      <c r="AA788" s="17"/>
      <c r="AB788" s="14" t="s">
        <v>2145</v>
      </c>
      <c r="AC788" s="17">
        <v>150700000</v>
      </c>
      <c r="AD788" s="14" t="s">
        <v>2230</v>
      </c>
      <c r="AE788" s="17">
        <v>139537037</v>
      </c>
      <c r="AF788" s="14" t="s">
        <v>1338</v>
      </c>
      <c r="AG788" s="20" t="s">
        <v>186</v>
      </c>
      <c r="AH788" s="10">
        <v>70655745</v>
      </c>
      <c r="AI788" s="24" t="str">
        <f>VLOOKUP(Sales[[#This Row],[Store]],'Store lay bao  cao'!A:B,2,0)</f>
        <v>Lấy BC</v>
      </c>
      <c r="AJ788" s="24" t="str">
        <f>VLOOKUP(Sales[[#This Row],[Associate]],'Associate Status'!B:C,2,0)</f>
        <v>Active</v>
      </c>
    </row>
    <row r="789" spans="1:36" x14ac:dyDescent="0.25">
      <c r="A789" s="7">
        <v>2025</v>
      </c>
      <c r="B789" s="8">
        <v>8</v>
      </c>
      <c r="C789" s="8">
        <v>35</v>
      </c>
      <c r="D789" s="8" t="s">
        <v>66</v>
      </c>
      <c r="E789" s="8" t="s">
        <v>43</v>
      </c>
      <c r="F789" s="8" t="s">
        <v>66</v>
      </c>
      <c r="G789" s="9">
        <v>64043454</v>
      </c>
      <c r="H789" s="10">
        <v>60932250</v>
      </c>
      <c r="I789" s="11">
        <v>45899</v>
      </c>
      <c r="J789" s="12">
        <v>210762</v>
      </c>
      <c r="K789" s="13" t="s">
        <v>602</v>
      </c>
      <c r="L789" s="14" t="s">
        <v>65</v>
      </c>
      <c r="M789" s="11" t="s">
        <v>17</v>
      </c>
      <c r="N789" s="14" t="s">
        <v>62</v>
      </c>
      <c r="O789" s="15">
        <v>2114</v>
      </c>
      <c r="P789" s="12">
        <v>1</v>
      </c>
      <c r="Q789" s="13" t="s">
        <v>2098</v>
      </c>
      <c r="R789" s="16">
        <v>175000000</v>
      </c>
      <c r="S789" s="17">
        <v>162037037</v>
      </c>
      <c r="T789" s="12">
        <v>12.27</v>
      </c>
      <c r="U789" s="18">
        <v>22671296</v>
      </c>
      <c r="V789" s="19">
        <v>24485000</v>
      </c>
      <c r="W789" s="13" t="s">
        <v>2174</v>
      </c>
      <c r="X789" s="14" t="s">
        <v>2496</v>
      </c>
      <c r="Y789" s="13" t="s">
        <v>2142</v>
      </c>
      <c r="Z789" s="14" t="s">
        <v>1632</v>
      </c>
      <c r="AA789" s="17"/>
      <c r="AB789" s="14" t="s">
        <v>2497</v>
      </c>
      <c r="AC789" s="17">
        <v>199485000</v>
      </c>
      <c r="AD789" s="14"/>
      <c r="AE789" s="17">
        <v>184708333</v>
      </c>
      <c r="AF789" s="14" t="s">
        <v>789</v>
      </c>
      <c r="AG789" s="21" t="s">
        <v>186</v>
      </c>
      <c r="AH789" s="10">
        <v>97993583</v>
      </c>
      <c r="AI789" s="24" t="str">
        <f>VLOOKUP(Sales[[#This Row],[Store]],'Store lay bao  cao'!A:B,2,0)</f>
        <v>Lấy BC</v>
      </c>
      <c r="AJ789" s="24" t="str">
        <f>VLOOKUP(Sales[[#This Row],[Associate]],'Associate Status'!B:C,2,0)</f>
        <v>Active</v>
      </c>
    </row>
    <row r="790" spans="1:36" x14ac:dyDescent="0.25">
      <c r="A790" s="7">
        <v>2025</v>
      </c>
      <c r="B790" s="8">
        <v>9</v>
      </c>
      <c r="C790" s="8">
        <v>36</v>
      </c>
      <c r="D790" s="8" t="s">
        <v>60</v>
      </c>
      <c r="E790" s="8" t="s">
        <v>37</v>
      </c>
      <c r="F790" s="8" t="s">
        <v>60</v>
      </c>
      <c r="G790" s="9">
        <v>17664456</v>
      </c>
      <c r="H790" s="10">
        <v>17696250</v>
      </c>
      <c r="I790" s="11">
        <v>45905</v>
      </c>
      <c r="J790" s="12">
        <v>202691</v>
      </c>
      <c r="K790" s="13" t="s">
        <v>508</v>
      </c>
      <c r="L790" s="14" t="s">
        <v>58</v>
      </c>
      <c r="M790" s="11" t="s">
        <v>15</v>
      </c>
      <c r="N790" s="14" t="s">
        <v>11</v>
      </c>
      <c r="O790" s="15">
        <v>3189</v>
      </c>
      <c r="P790" s="12">
        <v>1</v>
      </c>
      <c r="Q790" s="13" t="s">
        <v>2094</v>
      </c>
      <c r="R790" s="16">
        <v>56748250</v>
      </c>
      <c r="S790" s="17">
        <v>52544676</v>
      </c>
      <c r="T790" s="12">
        <v>5</v>
      </c>
      <c r="U790" s="18">
        <v>2765509</v>
      </c>
      <c r="V790" s="19">
        <v>2986750</v>
      </c>
      <c r="W790" s="13" t="s">
        <v>1563</v>
      </c>
      <c r="X790" s="14" t="s">
        <v>2498</v>
      </c>
      <c r="Y790" s="13" t="s">
        <v>329</v>
      </c>
      <c r="Z790" s="14" t="s">
        <v>2499</v>
      </c>
      <c r="AA790" s="17">
        <v>15</v>
      </c>
      <c r="AB790" s="14" t="s">
        <v>1444</v>
      </c>
      <c r="AC790" s="17">
        <v>59735000</v>
      </c>
      <c r="AD790" s="14" t="s">
        <v>2500</v>
      </c>
      <c r="AE790" s="17">
        <v>55310185</v>
      </c>
      <c r="AF790" s="14" t="s">
        <v>109</v>
      </c>
      <c r="AG790" s="20" t="s">
        <v>172</v>
      </c>
      <c r="AH790" s="10">
        <v>34880220</v>
      </c>
      <c r="AI790" s="24" t="str">
        <f>VLOOKUP(Sales[[#This Row],[Store]],'Store lay bao  cao'!A:B,2,0)</f>
        <v>Lấy BC</v>
      </c>
      <c r="AJ790" s="24" t="str">
        <f>VLOOKUP(Sales[[#This Row],[Associate]],'Associate Status'!B:C,2,0)</f>
        <v>Active</v>
      </c>
    </row>
    <row r="791" spans="1:36" x14ac:dyDescent="0.25">
      <c r="A791" s="7">
        <v>2025</v>
      </c>
      <c r="B791" s="8">
        <v>9</v>
      </c>
      <c r="C791" s="8">
        <v>36</v>
      </c>
      <c r="D791" s="8" t="s">
        <v>69</v>
      </c>
      <c r="E791" s="8" t="s">
        <v>37</v>
      </c>
      <c r="F791" s="8" t="s">
        <v>69</v>
      </c>
      <c r="G791" s="9">
        <v>310103635</v>
      </c>
      <c r="H791" s="10">
        <v>289395000</v>
      </c>
      <c r="I791" s="11">
        <v>45905</v>
      </c>
      <c r="J791" s="12">
        <v>217097</v>
      </c>
      <c r="K791" s="13" t="s">
        <v>508</v>
      </c>
      <c r="L791" s="14" t="s">
        <v>58</v>
      </c>
      <c r="M791" s="11" t="s">
        <v>15</v>
      </c>
      <c r="N791" s="14" t="s">
        <v>62</v>
      </c>
      <c r="O791" s="15">
        <v>3189</v>
      </c>
      <c r="P791" s="12">
        <v>1</v>
      </c>
      <c r="Q791" s="13" t="s">
        <v>2094</v>
      </c>
      <c r="R791" s="16">
        <v>893118750</v>
      </c>
      <c r="S791" s="17">
        <v>826961806</v>
      </c>
      <c r="T791" s="12">
        <v>5</v>
      </c>
      <c r="U791" s="18">
        <v>43524306</v>
      </c>
      <c r="V791" s="19">
        <v>47006250</v>
      </c>
      <c r="W791" s="13" t="s">
        <v>1563</v>
      </c>
      <c r="X791" s="14" t="s">
        <v>2501</v>
      </c>
      <c r="Y791" s="13" t="s">
        <v>329</v>
      </c>
      <c r="Z791" s="14" t="s">
        <v>2502</v>
      </c>
      <c r="AA791" s="17">
        <v>15</v>
      </c>
      <c r="AB791" s="14" t="s">
        <v>1337</v>
      </c>
      <c r="AC791" s="17">
        <v>940125000</v>
      </c>
      <c r="AD791" s="14" t="s">
        <v>2097</v>
      </c>
      <c r="AE791" s="17">
        <v>870486111</v>
      </c>
      <c r="AF791" s="14" t="s">
        <v>109</v>
      </c>
      <c r="AG791" s="21" t="s">
        <v>172</v>
      </c>
      <c r="AH791" s="10">
        <v>516858171</v>
      </c>
      <c r="AI791" s="24" t="str">
        <f>VLOOKUP(Sales[[#This Row],[Store]],'Store lay bao  cao'!A:B,2,0)</f>
        <v>Lấy BC</v>
      </c>
      <c r="AJ791" s="24" t="str">
        <f>VLOOKUP(Sales[[#This Row],[Associate]],'Associate Status'!B:C,2,0)</f>
        <v>Active</v>
      </c>
    </row>
    <row r="792" spans="1:36" x14ac:dyDescent="0.25">
      <c r="A792" s="7">
        <v>2025</v>
      </c>
      <c r="B792" s="8">
        <v>9</v>
      </c>
      <c r="C792" s="8">
        <v>36</v>
      </c>
      <c r="D792" s="8" t="s">
        <v>69</v>
      </c>
      <c r="E792" s="8" t="s">
        <v>34</v>
      </c>
      <c r="F792" s="8" t="s">
        <v>69</v>
      </c>
      <c r="G792" s="9">
        <v>26856682</v>
      </c>
      <c r="H792" s="10">
        <v>25063200</v>
      </c>
      <c r="I792" s="11">
        <v>45905</v>
      </c>
      <c r="J792" s="12">
        <v>217088</v>
      </c>
      <c r="K792" s="13" t="s">
        <v>508</v>
      </c>
      <c r="L792" s="14" t="s">
        <v>58</v>
      </c>
      <c r="M792" s="11" t="s">
        <v>15</v>
      </c>
      <c r="N792" s="14" t="s">
        <v>62</v>
      </c>
      <c r="O792" s="15">
        <v>3189</v>
      </c>
      <c r="P792" s="12">
        <v>1</v>
      </c>
      <c r="Q792" s="13" t="s">
        <v>2094</v>
      </c>
      <c r="R792" s="16">
        <v>85051600</v>
      </c>
      <c r="S792" s="17">
        <v>78751481</v>
      </c>
      <c r="T792" s="12">
        <v>5</v>
      </c>
      <c r="U792" s="18">
        <v>4144815</v>
      </c>
      <c r="V792" s="19">
        <v>4476400</v>
      </c>
      <c r="W792" s="13" t="s">
        <v>1563</v>
      </c>
      <c r="X792" s="14" t="s">
        <v>2181</v>
      </c>
      <c r="Y792" s="13" t="s">
        <v>329</v>
      </c>
      <c r="Z792" s="14" t="s">
        <v>2503</v>
      </c>
      <c r="AA792" s="17">
        <v>15</v>
      </c>
      <c r="AB792" s="14" t="s">
        <v>1337</v>
      </c>
      <c r="AC792" s="17">
        <v>89528000</v>
      </c>
      <c r="AD792" s="14" t="s">
        <v>2097</v>
      </c>
      <c r="AE792" s="17">
        <v>82896296</v>
      </c>
      <c r="AF792" s="14" t="s">
        <v>109</v>
      </c>
      <c r="AG792" s="20" t="s">
        <v>172</v>
      </c>
      <c r="AH792" s="10">
        <v>51894799</v>
      </c>
      <c r="AI792" s="24" t="str">
        <f>VLOOKUP(Sales[[#This Row],[Store]],'Store lay bao  cao'!A:B,2,0)</f>
        <v>Lấy BC</v>
      </c>
      <c r="AJ792" s="24" t="str">
        <f>VLOOKUP(Sales[[#This Row],[Associate]],'Associate Status'!B:C,2,0)</f>
        <v>Active</v>
      </c>
    </row>
    <row r="793" spans="1:36" x14ac:dyDescent="0.25">
      <c r="A793" s="7">
        <v>2025</v>
      </c>
      <c r="B793" s="8">
        <v>9</v>
      </c>
      <c r="C793" s="8">
        <v>36</v>
      </c>
      <c r="D793" s="8" t="s">
        <v>52</v>
      </c>
      <c r="E793" s="8" t="s">
        <v>43</v>
      </c>
      <c r="F793" s="8" t="s">
        <v>52</v>
      </c>
      <c r="G793" s="9">
        <v>40813027</v>
      </c>
      <c r="H793" s="10">
        <v>40165785</v>
      </c>
      <c r="I793" s="11">
        <v>45905</v>
      </c>
      <c r="J793" s="12">
        <v>181389</v>
      </c>
      <c r="K793" s="13" t="s">
        <v>508</v>
      </c>
      <c r="L793" s="14" t="s">
        <v>58</v>
      </c>
      <c r="M793" s="11" t="s">
        <v>15</v>
      </c>
      <c r="N793" s="14" t="s">
        <v>11</v>
      </c>
      <c r="O793" s="15">
        <v>3189</v>
      </c>
      <c r="P793" s="12">
        <v>1</v>
      </c>
      <c r="Q793" s="13" t="s">
        <v>2094</v>
      </c>
      <c r="R793" s="16">
        <v>155389600</v>
      </c>
      <c r="S793" s="17">
        <v>143879259</v>
      </c>
      <c r="T793" s="12">
        <v>5</v>
      </c>
      <c r="U793" s="18">
        <v>7572593</v>
      </c>
      <c r="V793" s="19">
        <v>8178400</v>
      </c>
      <c r="W793" s="13" t="s">
        <v>1563</v>
      </c>
      <c r="X793" s="14" t="s">
        <v>2504</v>
      </c>
      <c r="Y793" s="13" t="s">
        <v>329</v>
      </c>
      <c r="Z793" s="14" t="s">
        <v>2505</v>
      </c>
      <c r="AA793" s="17">
        <v>15</v>
      </c>
      <c r="AB793" s="14" t="s">
        <v>2506</v>
      </c>
      <c r="AC793" s="17">
        <v>163568000</v>
      </c>
      <c r="AD793" s="14" t="s">
        <v>108</v>
      </c>
      <c r="AE793" s="17">
        <v>151451852</v>
      </c>
      <c r="AF793" s="14" t="s">
        <v>109</v>
      </c>
      <c r="AG793" s="21" t="s">
        <v>172</v>
      </c>
      <c r="AH793" s="10">
        <v>103066232</v>
      </c>
      <c r="AI793" s="24" t="str">
        <f>VLOOKUP(Sales[[#This Row],[Store]],'Store lay bao  cao'!A:B,2,0)</f>
        <v>Lấy BC</v>
      </c>
      <c r="AJ793" s="24" t="str">
        <f>VLOOKUP(Sales[[#This Row],[Associate]],'Associate Status'!B:C,2,0)</f>
        <v>Active</v>
      </c>
    </row>
    <row r="794" spans="1:36" x14ac:dyDescent="0.25">
      <c r="A794" s="7">
        <v>2025</v>
      </c>
      <c r="B794" s="8">
        <v>9</v>
      </c>
      <c r="C794" s="8">
        <v>36</v>
      </c>
      <c r="D794" s="8" t="s">
        <v>52</v>
      </c>
      <c r="E794" s="8" t="s">
        <v>34</v>
      </c>
      <c r="F794" s="8" t="s">
        <v>52</v>
      </c>
      <c r="G794" s="9">
        <v>2727850</v>
      </c>
      <c r="H794" s="10">
        <v>2457000</v>
      </c>
      <c r="I794" s="11">
        <v>45905</v>
      </c>
      <c r="J794" s="12">
        <v>182237</v>
      </c>
      <c r="K794" s="13" t="s">
        <v>804</v>
      </c>
      <c r="L794" s="14" t="s">
        <v>50</v>
      </c>
      <c r="M794" s="11" t="s">
        <v>21</v>
      </c>
      <c r="N794" s="14" t="s">
        <v>11</v>
      </c>
      <c r="O794" s="15">
        <v>4959</v>
      </c>
      <c r="P794" s="12">
        <v>1</v>
      </c>
      <c r="Q794" s="13" t="s">
        <v>2098</v>
      </c>
      <c r="R794" s="16">
        <v>7863000</v>
      </c>
      <c r="S794" s="17">
        <v>7280556</v>
      </c>
      <c r="T794" s="12">
        <v>0</v>
      </c>
      <c r="U794" s="18">
        <v>0</v>
      </c>
      <c r="V794" s="19">
        <v>0</v>
      </c>
      <c r="W794" s="13" t="s">
        <v>2166</v>
      </c>
      <c r="X794" s="14" t="s">
        <v>1234</v>
      </c>
      <c r="Y794" s="13" t="s">
        <v>2227</v>
      </c>
      <c r="Z794" s="14" t="s">
        <v>1235</v>
      </c>
      <c r="AA794" s="17">
        <v>21</v>
      </c>
      <c r="AB794" s="14" t="s">
        <v>2507</v>
      </c>
      <c r="AC794" s="17">
        <v>7863000</v>
      </c>
      <c r="AD794" s="14" t="s">
        <v>108</v>
      </c>
      <c r="AE794" s="17">
        <v>7280556</v>
      </c>
      <c r="AF794" s="14" t="s">
        <v>2053</v>
      </c>
      <c r="AG794" s="20" t="s">
        <v>464</v>
      </c>
      <c r="AH794" s="10">
        <v>4552706</v>
      </c>
      <c r="AI794" s="24" t="str">
        <f>VLOOKUP(Sales[[#This Row],[Store]],'Store lay bao  cao'!A:B,2,0)</f>
        <v>Lấy BC</v>
      </c>
      <c r="AJ794" s="24" t="e">
        <f>VLOOKUP(Sales[[#This Row],[Associate]],'Associate Status'!B:C,2,0)</f>
        <v>#N/A</v>
      </c>
    </row>
    <row r="795" spans="1:36" x14ac:dyDescent="0.25">
      <c r="A795" s="7">
        <v>2025</v>
      </c>
      <c r="B795" s="8">
        <v>9</v>
      </c>
      <c r="C795" s="8">
        <v>37</v>
      </c>
      <c r="D795" s="8" t="s">
        <v>66</v>
      </c>
      <c r="E795" s="8" t="s">
        <v>43</v>
      </c>
      <c r="F795" s="8" t="s">
        <v>66</v>
      </c>
      <c r="G795" s="9">
        <v>126831154</v>
      </c>
      <c r="H795" s="10">
        <v>120669750</v>
      </c>
      <c r="I795" s="11">
        <v>45910</v>
      </c>
      <c r="J795" s="12">
        <v>210755</v>
      </c>
      <c r="K795" s="13" t="s">
        <v>511</v>
      </c>
      <c r="L795" s="14" t="s">
        <v>65</v>
      </c>
      <c r="M795" s="11" t="s">
        <v>15</v>
      </c>
      <c r="N795" s="14" t="s">
        <v>62</v>
      </c>
      <c r="O795" s="15">
        <v>3214</v>
      </c>
      <c r="P795" s="12">
        <v>1</v>
      </c>
      <c r="Q795" s="13" t="s">
        <v>102</v>
      </c>
      <c r="R795" s="16">
        <v>375100000</v>
      </c>
      <c r="S795" s="17">
        <v>347314815</v>
      </c>
      <c r="T795" s="12">
        <v>0</v>
      </c>
      <c r="U795" s="18">
        <v>0</v>
      </c>
      <c r="V795" s="19">
        <v>0</v>
      </c>
      <c r="W795" s="13" t="s">
        <v>1357</v>
      </c>
      <c r="X795" s="14" t="s">
        <v>2508</v>
      </c>
      <c r="Y795" s="13" t="s">
        <v>984</v>
      </c>
      <c r="Z795" s="14" t="s">
        <v>1689</v>
      </c>
      <c r="AA795" s="17">
        <v>16</v>
      </c>
      <c r="AB795" s="14" t="s">
        <v>2371</v>
      </c>
      <c r="AC795" s="17">
        <v>375100000</v>
      </c>
      <c r="AD795" s="14"/>
      <c r="AE795" s="17">
        <v>347314815</v>
      </c>
      <c r="AF795" s="14" t="s">
        <v>1970</v>
      </c>
      <c r="AG795" s="21"/>
      <c r="AH795" s="10">
        <v>220483661</v>
      </c>
      <c r="AI795" s="24" t="str">
        <f>VLOOKUP(Sales[[#This Row],[Store]],'Store lay bao  cao'!A:B,2,0)</f>
        <v>Lấy BC</v>
      </c>
      <c r="AJ795" s="24" t="str">
        <f>VLOOKUP(Sales[[#This Row],[Associate]],'Associate Status'!B:C,2,0)</f>
        <v>Active</v>
      </c>
    </row>
    <row r="796" spans="1:36" ht="77.25" x14ac:dyDescent="0.25">
      <c r="A796" s="7">
        <v>2025</v>
      </c>
      <c r="B796" s="8">
        <v>9</v>
      </c>
      <c r="C796" s="8">
        <v>37</v>
      </c>
      <c r="D796" s="8" t="s">
        <v>60</v>
      </c>
      <c r="E796" s="8" t="s">
        <v>37</v>
      </c>
      <c r="F796" s="8" t="s">
        <v>60</v>
      </c>
      <c r="G796" s="9">
        <v>170078487</v>
      </c>
      <c r="H796" s="10">
        <v>154912500</v>
      </c>
      <c r="I796" s="11">
        <v>45911</v>
      </c>
      <c r="J796" s="12">
        <v>203152</v>
      </c>
      <c r="K796" s="13" t="s">
        <v>510</v>
      </c>
      <c r="L796" s="14" t="s">
        <v>44</v>
      </c>
      <c r="M796" s="11" t="s">
        <v>15</v>
      </c>
      <c r="N796" s="14" t="s">
        <v>62</v>
      </c>
      <c r="O796" s="15">
        <v>3219</v>
      </c>
      <c r="P796" s="12">
        <v>1</v>
      </c>
      <c r="Q796" s="13" t="s">
        <v>2102</v>
      </c>
      <c r="R796" s="16">
        <v>415810440</v>
      </c>
      <c r="S796" s="17">
        <v>385009667</v>
      </c>
      <c r="T796" s="12">
        <v>7</v>
      </c>
      <c r="U796" s="18">
        <v>28979222</v>
      </c>
      <c r="V796" s="19">
        <v>31297560</v>
      </c>
      <c r="W796" s="13" t="s">
        <v>2254</v>
      </c>
      <c r="X796" s="23" t="s">
        <v>2509</v>
      </c>
      <c r="Y796" s="13" t="s">
        <v>2127</v>
      </c>
      <c r="Z796" s="14" t="s">
        <v>995</v>
      </c>
      <c r="AA796" s="17">
        <v>16</v>
      </c>
      <c r="AB796" s="14" t="s">
        <v>788</v>
      </c>
      <c r="AC796" s="17">
        <v>447108000</v>
      </c>
      <c r="AD796" s="14" t="s">
        <v>108</v>
      </c>
      <c r="AE796" s="17">
        <v>413988889</v>
      </c>
      <c r="AF796" s="14" t="s">
        <v>106</v>
      </c>
      <c r="AG796" s="20" t="s">
        <v>914</v>
      </c>
      <c r="AH796" s="10">
        <v>214931180</v>
      </c>
      <c r="AI796" s="24" t="str">
        <f>VLOOKUP(Sales[[#This Row],[Store]],'Store lay bao  cao'!A:B,2,0)</f>
        <v>Lấy BC</v>
      </c>
      <c r="AJ796" s="24" t="str">
        <f>VLOOKUP(Sales[[#This Row],[Associate]],'Associate Status'!B:C,2,0)</f>
        <v>Active</v>
      </c>
    </row>
    <row r="797" spans="1:36" x14ac:dyDescent="0.25">
      <c r="A797" s="7">
        <v>2025</v>
      </c>
      <c r="B797" s="8">
        <v>9</v>
      </c>
      <c r="C797" s="8">
        <v>37</v>
      </c>
      <c r="D797" s="8" t="s">
        <v>52</v>
      </c>
      <c r="E797" s="8" t="s">
        <v>53</v>
      </c>
      <c r="F797" s="8" t="s">
        <v>52</v>
      </c>
      <c r="G797" s="9">
        <v>2264882.5555555555</v>
      </c>
      <c r="H797" s="10">
        <v>2295000</v>
      </c>
      <c r="I797" s="11">
        <v>45912</v>
      </c>
      <c r="J797" s="12">
        <v>182195</v>
      </c>
      <c r="K797" s="13" t="s">
        <v>803</v>
      </c>
      <c r="L797" s="14" t="s">
        <v>50</v>
      </c>
      <c r="M797" s="11" t="s">
        <v>21</v>
      </c>
      <c r="N797" s="14" t="s">
        <v>11</v>
      </c>
      <c r="O797" s="15">
        <v>4970</v>
      </c>
      <c r="P797" s="12">
        <v>1</v>
      </c>
      <c r="Q797" s="13" t="s">
        <v>2098</v>
      </c>
      <c r="R797" s="16">
        <v>6976800</v>
      </c>
      <c r="S797" s="17">
        <v>6460000</v>
      </c>
      <c r="T797" s="12">
        <v>5</v>
      </c>
      <c r="U797" s="18">
        <v>340000</v>
      </c>
      <c r="V797" s="19">
        <v>367200</v>
      </c>
      <c r="W797" s="13" t="s">
        <v>863</v>
      </c>
      <c r="X797" s="14" t="s">
        <v>1595</v>
      </c>
      <c r="Y797" s="13" t="s">
        <v>330</v>
      </c>
      <c r="Z797" s="14" t="s">
        <v>1596</v>
      </c>
      <c r="AA797" s="17">
        <v>12</v>
      </c>
      <c r="AB797" s="14" t="s">
        <v>2321</v>
      </c>
      <c r="AC797" s="17">
        <v>7344000</v>
      </c>
      <c r="AD797" s="14" t="s">
        <v>108</v>
      </c>
      <c r="AE797" s="17">
        <v>6800000</v>
      </c>
      <c r="AF797" s="14" t="s">
        <v>618</v>
      </c>
      <c r="AG797" s="21" t="s">
        <v>923</v>
      </c>
      <c r="AH797" s="10">
        <v>4195117.444444444</v>
      </c>
      <c r="AI797" s="24" t="str">
        <f>VLOOKUP(Sales[[#This Row],[Store]],'Store lay bao  cao'!A:B,2,0)</f>
        <v>Lấy BC</v>
      </c>
      <c r="AJ797" s="24" t="str">
        <f>VLOOKUP(Sales[[#This Row],[Associate]],'Associate Status'!B:C,2,0)</f>
        <v>Active</v>
      </c>
    </row>
    <row r="798" spans="1:36" x14ac:dyDescent="0.25">
      <c r="A798" s="7">
        <v>2025</v>
      </c>
      <c r="B798" s="8">
        <v>9</v>
      </c>
      <c r="C798" s="8">
        <v>38</v>
      </c>
      <c r="D798" s="8" t="s">
        <v>63</v>
      </c>
      <c r="E798" s="8" t="s">
        <v>37</v>
      </c>
      <c r="F798" s="8" t="s">
        <v>63</v>
      </c>
      <c r="G798" s="9">
        <v>1620996</v>
      </c>
      <c r="H798" s="10">
        <v>1478112.5999999999</v>
      </c>
      <c r="I798" s="11">
        <v>45919</v>
      </c>
      <c r="J798" s="12">
        <v>205021</v>
      </c>
      <c r="K798" s="13" t="s">
        <v>805</v>
      </c>
      <c r="L798" s="14" t="s">
        <v>47</v>
      </c>
      <c r="M798" s="11" t="s">
        <v>21</v>
      </c>
      <c r="N798" s="14" t="s">
        <v>62</v>
      </c>
      <c r="O798" s="15">
        <v>4997</v>
      </c>
      <c r="P798" s="12">
        <v>1</v>
      </c>
      <c r="Q798" s="13" t="s">
        <v>102</v>
      </c>
      <c r="R798" s="16">
        <v>8869000</v>
      </c>
      <c r="S798" s="17">
        <v>8212037</v>
      </c>
      <c r="T798" s="12">
        <v>0</v>
      </c>
      <c r="U798" s="18">
        <v>0</v>
      </c>
      <c r="V798" s="19">
        <v>0</v>
      </c>
      <c r="W798" s="13" t="s">
        <v>2160</v>
      </c>
      <c r="X798" s="14" t="s">
        <v>889</v>
      </c>
      <c r="Y798" s="13" t="s">
        <v>2512</v>
      </c>
      <c r="Z798" s="14" t="s">
        <v>2151</v>
      </c>
      <c r="AA798" s="17">
        <v>13</v>
      </c>
      <c r="AB798" s="14" t="s">
        <v>1984</v>
      </c>
      <c r="AC798" s="17">
        <v>8869000</v>
      </c>
      <c r="AD798" s="14" t="s">
        <v>2097</v>
      </c>
      <c r="AE798" s="17">
        <v>8212037</v>
      </c>
      <c r="AF798" s="14" t="s">
        <v>1548</v>
      </c>
      <c r="AG798" s="20" t="s">
        <v>2513</v>
      </c>
      <c r="AH798" s="10">
        <v>6591041</v>
      </c>
      <c r="AI798" s="24" t="str">
        <f>VLOOKUP(Sales[[#This Row],[Store]],'Store lay bao  cao'!A:B,2,0)</f>
        <v>Lấy BC</v>
      </c>
      <c r="AJ798" s="24" t="e">
        <f>VLOOKUP(Sales[[#This Row],[Associate]],'Associate Status'!B:C,2,0)</f>
        <v>#N/A</v>
      </c>
    </row>
    <row r="799" spans="1:36" x14ac:dyDescent="0.25">
      <c r="A799" s="7">
        <v>2025</v>
      </c>
      <c r="B799" s="8">
        <v>9</v>
      </c>
      <c r="C799" s="8">
        <v>38</v>
      </c>
      <c r="D799" s="8" t="s">
        <v>60</v>
      </c>
      <c r="E799" s="8" t="s">
        <v>43</v>
      </c>
      <c r="F799" s="8" t="s">
        <v>60</v>
      </c>
      <c r="G799" s="9">
        <v>2207056</v>
      </c>
      <c r="H799" s="10">
        <v>2052000</v>
      </c>
      <c r="I799" s="11">
        <v>45919</v>
      </c>
      <c r="J799" s="12">
        <v>208241</v>
      </c>
      <c r="K799" s="13" t="s">
        <v>2079</v>
      </c>
      <c r="L799" s="14" t="s">
        <v>50</v>
      </c>
      <c r="M799" s="11" t="s">
        <v>28</v>
      </c>
      <c r="N799" s="14" t="s">
        <v>11</v>
      </c>
      <c r="O799" s="15">
        <v>3097</v>
      </c>
      <c r="P799" s="12">
        <v>1</v>
      </c>
      <c r="Q799" s="13" t="s">
        <v>102</v>
      </c>
      <c r="R799" s="16">
        <v>6567000</v>
      </c>
      <c r="S799" s="17">
        <v>6080556</v>
      </c>
      <c r="T799" s="12">
        <v>0</v>
      </c>
      <c r="U799" s="18">
        <v>0</v>
      </c>
      <c r="V799" s="19">
        <v>0</v>
      </c>
      <c r="W799" s="13" t="s">
        <v>814</v>
      </c>
      <c r="X799" s="14" t="s">
        <v>2514</v>
      </c>
      <c r="Y799" s="13" t="s">
        <v>2227</v>
      </c>
      <c r="Z799" s="14" t="s">
        <v>2515</v>
      </c>
      <c r="AA799" s="17">
        <v>15</v>
      </c>
      <c r="AB799" s="14" t="s">
        <v>1897</v>
      </c>
      <c r="AC799" s="17">
        <v>6567000</v>
      </c>
      <c r="AD799" s="14" t="s">
        <v>2230</v>
      </c>
      <c r="AE799" s="17">
        <v>6080556</v>
      </c>
      <c r="AF799" s="14" t="s">
        <v>1831</v>
      </c>
      <c r="AG799" s="21" t="s">
        <v>464</v>
      </c>
      <c r="AH799" s="10">
        <v>3873500</v>
      </c>
      <c r="AI799" s="24" t="str">
        <f>VLOOKUP(Sales[[#This Row],[Store]],'Store lay bao  cao'!A:B,2,0)</f>
        <v>Lấy BC</v>
      </c>
      <c r="AJ799" s="24" t="str">
        <f>VLOOKUP(Sales[[#This Row],[Associate]],'Associate Status'!B:C,2,0)</f>
        <v>Active</v>
      </c>
    </row>
    <row r="800" spans="1:36" x14ac:dyDescent="0.25">
      <c r="A800" s="7">
        <v>2025</v>
      </c>
      <c r="B800" s="8">
        <v>9</v>
      </c>
      <c r="C800" s="8">
        <v>38</v>
      </c>
      <c r="D800" s="8" t="s">
        <v>52</v>
      </c>
      <c r="E800" s="8" t="s">
        <v>34</v>
      </c>
      <c r="F800" s="8" t="s">
        <v>52</v>
      </c>
      <c r="G800" s="9">
        <v>21954080</v>
      </c>
      <c r="H800" s="10">
        <v>18576000</v>
      </c>
      <c r="I800" s="11">
        <v>45921</v>
      </c>
      <c r="J800" s="12">
        <v>186450</v>
      </c>
      <c r="K800" s="13" t="s">
        <v>605</v>
      </c>
      <c r="L800" s="14" t="s">
        <v>19</v>
      </c>
      <c r="M800" s="11" t="s">
        <v>17</v>
      </c>
      <c r="N800" s="14" t="s">
        <v>11</v>
      </c>
      <c r="O800" s="15">
        <v>2169</v>
      </c>
      <c r="P800" s="12">
        <v>1</v>
      </c>
      <c r="Q800" s="13" t="s">
        <v>2156</v>
      </c>
      <c r="R800" s="16">
        <v>57353400</v>
      </c>
      <c r="S800" s="17">
        <v>53105000</v>
      </c>
      <c r="T800" s="12">
        <v>5</v>
      </c>
      <c r="U800" s="18">
        <v>2795000</v>
      </c>
      <c r="V800" s="19">
        <v>3018600</v>
      </c>
      <c r="W800" s="13" t="s">
        <v>2161</v>
      </c>
      <c r="X800" s="14" t="s">
        <v>2518</v>
      </c>
      <c r="Y800" s="13" t="s">
        <v>2142</v>
      </c>
      <c r="Z800" s="14" t="s">
        <v>2519</v>
      </c>
      <c r="AA800" s="17">
        <v>15</v>
      </c>
      <c r="AB800" s="14" t="s">
        <v>2464</v>
      </c>
      <c r="AC800" s="17">
        <v>60372000</v>
      </c>
      <c r="AD800" s="14" t="s">
        <v>108</v>
      </c>
      <c r="AE800" s="17">
        <v>55900000</v>
      </c>
      <c r="AF800" s="14" t="s">
        <v>127</v>
      </c>
      <c r="AG800" s="20" t="s">
        <v>186</v>
      </c>
      <c r="AH800" s="10">
        <v>31150920</v>
      </c>
      <c r="AI800" s="24" t="str">
        <f>VLOOKUP(Sales[[#This Row],[Store]],'Store lay bao  cao'!A:B,2,0)</f>
        <v>Lấy BC</v>
      </c>
      <c r="AJ800" s="24" t="str">
        <f>VLOOKUP(Sales[[#This Row],[Associate]],'Associate Status'!B:C,2,0)</f>
        <v>Retired</v>
      </c>
    </row>
    <row r="801" spans="1:36" x14ac:dyDescent="0.25">
      <c r="A801" s="7">
        <v>2025</v>
      </c>
      <c r="B801" s="8">
        <v>9</v>
      </c>
      <c r="C801" s="8">
        <v>38</v>
      </c>
      <c r="D801" s="8" t="s">
        <v>69</v>
      </c>
      <c r="E801" s="8" t="s">
        <v>43</v>
      </c>
      <c r="F801" s="8" t="s">
        <v>69</v>
      </c>
      <c r="G801" s="9">
        <v>5391882</v>
      </c>
      <c r="H801" s="10">
        <v>4952250</v>
      </c>
      <c r="I801" s="11">
        <v>45921</v>
      </c>
      <c r="J801" s="12">
        <v>219147</v>
      </c>
      <c r="K801" s="13" t="s">
        <v>519</v>
      </c>
      <c r="L801" s="14" t="s">
        <v>70</v>
      </c>
      <c r="M801" s="11" t="s">
        <v>15</v>
      </c>
      <c r="N801" s="14" t="s">
        <v>14</v>
      </c>
      <c r="O801" s="15">
        <v>3291</v>
      </c>
      <c r="P801" s="12">
        <v>1</v>
      </c>
      <c r="Q801" s="13" t="s">
        <v>2102</v>
      </c>
      <c r="R801" s="16">
        <v>16198000</v>
      </c>
      <c r="S801" s="17">
        <v>14998148</v>
      </c>
      <c r="T801" s="12">
        <v>0</v>
      </c>
      <c r="U801" s="18">
        <v>0</v>
      </c>
      <c r="V801" s="19">
        <v>0</v>
      </c>
      <c r="W801" s="13" t="s">
        <v>1359</v>
      </c>
      <c r="X801" s="14" t="s">
        <v>2520</v>
      </c>
      <c r="Y801" s="13" t="s">
        <v>2127</v>
      </c>
      <c r="Z801" s="14" t="s">
        <v>2521</v>
      </c>
      <c r="AA801" s="17">
        <v>18</v>
      </c>
      <c r="AB801" s="14" t="s">
        <v>2407</v>
      </c>
      <c r="AC801" s="17">
        <v>16198000</v>
      </c>
      <c r="AD801" s="14" t="s">
        <v>2141</v>
      </c>
      <c r="AE801" s="17">
        <v>14998148</v>
      </c>
      <c r="AF801" s="14" t="s">
        <v>2340</v>
      </c>
      <c r="AG801" s="21" t="s">
        <v>914</v>
      </c>
      <c r="AH801" s="10">
        <v>9606266</v>
      </c>
      <c r="AI801" s="24" t="str">
        <f>VLOOKUP(Sales[[#This Row],[Store]],'Store lay bao  cao'!A:B,2,0)</f>
        <v>Lấy BC</v>
      </c>
      <c r="AJ801" s="24" t="str">
        <f>VLOOKUP(Sales[[#This Row],[Associate]],'Associate Status'!B:C,2,0)</f>
        <v>Active</v>
      </c>
    </row>
    <row r="802" spans="1:36" x14ac:dyDescent="0.25">
      <c r="A802" s="7">
        <v>2025</v>
      </c>
      <c r="B802" s="8">
        <v>9</v>
      </c>
      <c r="C802" s="8">
        <v>38</v>
      </c>
      <c r="D802" s="8" t="s">
        <v>52</v>
      </c>
      <c r="E802" s="8" t="s">
        <v>34</v>
      </c>
      <c r="F802" s="8" t="s">
        <v>52</v>
      </c>
      <c r="G802" s="9">
        <v>65918882</v>
      </c>
      <c r="H802" s="10">
        <v>61404000</v>
      </c>
      <c r="I802" s="11">
        <v>45921</v>
      </c>
      <c r="J802" s="12">
        <v>182558</v>
      </c>
      <c r="K802" s="13" t="s">
        <v>519</v>
      </c>
      <c r="L802" s="14" t="s">
        <v>44</v>
      </c>
      <c r="M802" s="11" t="s">
        <v>15</v>
      </c>
      <c r="N802" s="14" t="s">
        <v>11</v>
      </c>
      <c r="O802" s="15">
        <v>3291</v>
      </c>
      <c r="P802" s="12">
        <v>1</v>
      </c>
      <c r="Q802" s="13" t="s">
        <v>2102</v>
      </c>
      <c r="R802" s="16">
        <v>169176000</v>
      </c>
      <c r="S802" s="17">
        <v>156644444</v>
      </c>
      <c r="T802" s="12">
        <v>0</v>
      </c>
      <c r="U802" s="18">
        <v>0</v>
      </c>
      <c r="V802" s="19">
        <v>0</v>
      </c>
      <c r="W802" s="13" t="s">
        <v>1359</v>
      </c>
      <c r="X802" s="14" t="s">
        <v>2522</v>
      </c>
      <c r="Y802" s="13" t="s">
        <v>2127</v>
      </c>
      <c r="Z802" s="14" t="s">
        <v>2523</v>
      </c>
      <c r="AA802" s="17">
        <v>18</v>
      </c>
      <c r="AB802" s="14" t="s">
        <v>2123</v>
      </c>
      <c r="AC802" s="17">
        <v>169176000</v>
      </c>
      <c r="AD802" s="14" t="s">
        <v>108</v>
      </c>
      <c r="AE802" s="17">
        <v>156644444</v>
      </c>
      <c r="AF802" s="14" t="s">
        <v>1971</v>
      </c>
      <c r="AG802" s="20" t="s">
        <v>914</v>
      </c>
      <c r="AH802" s="10">
        <v>90725562</v>
      </c>
      <c r="AI802" s="24" t="str">
        <f>VLOOKUP(Sales[[#This Row],[Store]],'Store lay bao  cao'!A:B,2,0)</f>
        <v>Lấy BC</v>
      </c>
      <c r="AJ802" s="24" t="str">
        <f>VLOOKUP(Sales[[#This Row],[Associate]],'Associate Status'!B:C,2,0)</f>
        <v>Active</v>
      </c>
    </row>
    <row r="803" spans="1:36" x14ac:dyDescent="0.25">
      <c r="A803" s="7">
        <v>2025</v>
      </c>
      <c r="B803" s="8">
        <v>9</v>
      </c>
      <c r="C803" s="8">
        <v>38</v>
      </c>
      <c r="D803" s="8" t="s">
        <v>69</v>
      </c>
      <c r="E803" s="8" t="s">
        <v>37</v>
      </c>
      <c r="F803" s="8" t="s">
        <v>69</v>
      </c>
      <c r="G803" s="9">
        <v>20504342</v>
      </c>
      <c r="H803" s="10">
        <v>18832500</v>
      </c>
      <c r="I803" s="11">
        <v>45921</v>
      </c>
      <c r="J803" s="12">
        <v>219141</v>
      </c>
      <c r="K803" s="13" t="s">
        <v>519</v>
      </c>
      <c r="L803" s="14" t="s">
        <v>70</v>
      </c>
      <c r="M803" s="11" t="s">
        <v>15</v>
      </c>
      <c r="N803" s="14" t="s">
        <v>14</v>
      </c>
      <c r="O803" s="15">
        <v>3291</v>
      </c>
      <c r="P803" s="12">
        <v>1</v>
      </c>
      <c r="Q803" s="13" t="s">
        <v>2102</v>
      </c>
      <c r="R803" s="16">
        <v>59334000</v>
      </c>
      <c r="S803" s="17">
        <v>54938889</v>
      </c>
      <c r="T803" s="12">
        <v>0</v>
      </c>
      <c r="U803" s="18">
        <v>0</v>
      </c>
      <c r="V803" s="19">
        <v>0</v>
      </c>
      <c r="W803" s="13" t="s">
        <v>1359</v>
      </c>
      <c r="X803" s="14" t="s">
        <v>2405</v>
      </c>
      <c r="Y803" s="13" t="s">
        <v>2127</v>
      </c>
      <c r="Z803" s="14" t="s">
        <v>2406</v>
      </c>
      <c r="AA803" s="17">
        <v>18</v>
      </c>
      <c r="AB803" s="14" t="s">
        <v>2407</v>
      </c>
      <c r="AC803" s="17">
        <v>59334000</v>
      </c>
      <c r="AD803" s="14" t="s">
        <v>108</v>
      </c>
      <c r="AE803" s="17">
        <v>54938889</v>
      </c>
      <c r="AF803" s="14" t="s">
        <v>2340</v>
      </c>
      <c r="AG803" s="21" t="s">
        <v>914</v>
      </c>
      <c r="AH803" s="10">
        <v>34434547</v>
      </c>
      <c r="AI803" s="24" t="str">
        <f>VLOOKUP(Sales[[#This Row],[Store]],'Store lay bao  cao'!A:B,2,0)</f>
        <v>Lấy BC</v>
      </c>
      <c r="AJ803" s="24" t="str">
        <f>VLOOKUP(Sales[[#This Row],[Associate]],'Associate Status'!B:C,2,0)</f>
        <v>Active</v>
      </c>
    </row>
    <row r="804" spans="1:36" x14ac:dyDescent="0.25">
      <c r="A804" s="7">
        <v>2025</v>
      </c>
      <c r="B804" s="8">
        <v>9</v>
      </c>
      <c r="C804" s="8">
        <v>38</v>
      </c>
      <c r="D804" s="8" t="s">
        <v>69</v>
      </c>
      <c r="E804" s="8" t="s">
        <v>37</v>
      </c>
      <c r="F804" s="8" t="s">
        <v>69</v>
      </c>
      <c r="G804" s="9">
        <v>34933324</v>
      </c>
      <c r="H804" s="10">
        <v>32085000</v>
      </c>
      <c r="I804" s="11">
        <v>45921</v>
      </c>
      <c r="J804" s="12">
        <v>219142</v>
      </c>
      <c r="K804" s="13" t="s">
        <v>519</v>
      </c>
      <c r="L804" s="14" t="s">
        <v>70</v>
      </c>
      <c r="M804" s="11" t="s">
        <v>15</v>
      </c>
      <c r="N804" s="14" t="s">
        <v>14</v>
      </c>
      <c r="O804" s="15">
        <v>3291</v>
      </c>
      <c r="P804" s="12">
        <v>1</v>
      </c>
      <c r="Q804" s="13" t="s">
        <v>2102</v>
      </c>
      <c r="R804" s="16">
        <v>104346000</v>
      </c>
      <c r="S804" s="17">
        <v>96616667</v>
      </c>
      <c r="T804" s="12">
        <v>0</v>
      </c>
      <c r="U804" s="18">
        <v>0</v>
      </c>
      <c r="V804" s="19">
        <v>0</v>
      </c>
      <c r="W804" s="13" t="s">
        <v>1359</v>
      </c>
      <c r="X804" s="14" t="s">
        <v>2433</v>
      </c>
      <c r="Y804" s="13" t="s">
        <v>2127</v>
      </c>
      <c r="Z804" s="14" t="s">
        <v>2434</v>
      </c>
      <c r="AA804" s="17">
        <v>18</v>
      </c>
      <c r="AB804" s="14" t="s">
        <v>2407</v>
      </c>
      <c r="AC804" s="17">
        <v>104346000</v>
      </c>
      <c r="AD804" s="14" t="s">
        <v>108</v>
      </c>
      <c r="AE804" s="17">
        <v>96616667</v>
      </c>
      <c r="AF804" s="14" t="s">
        <v>2340</v>
      </c>
      <c r="AG804" s="20" t="s">
        <v>914</v>
      </c>
      <c r="AH804" s="10">
        <v>61683343</v>
      </c>
      <c r="AI804" s="24" t="str">
        <f>VLOOKUP(Sales[[#This Row],[Store]],'Store lay bao  cao'!A:B,2,0)</f>
        <v>Lấy BC</v>
      </c>
      <c r="AJ804" s="24" t="str">
        <f>VLOOKUP(Sales[[#This Row],[Associate]],'Associate Status'!B:C,2,0)</f>
        <v>Active</v>
      </c>
    </row>
    <row r="805" spans="1:36" x14ac:dyDescent="0.25">
      <c r="A805" s="7">
        <v>2025</v>
      </c>
      <c r="B805" s="8">
        <v>9</v>
      </c>
      <c r="C805" s="8">
        <v>38</v>
      </c>
      <c r="D805" s="8" t="s">
        <v>69</v>
      </c>
      <c r="E805" s="8" t="s">
        <v>43</v>
      </c>
      <c r="F805" s="8" t="s">
        <v>69</v>
      </c>
      <c r="G805" s="9">
        <v>9113042</v>
      </c>
      <c r="H805" s="10">
        <v>8370000</v>
      </c>
      <c r="I805" s="11">
        <v>45921</v>
      </c>
      <c r="J805" s="12">
        <v>219148</v>
      </c>
      <c r="K805" s="13" t="s">
        <v>519</v>
      </c>
      <c r="L805" s="14" t="s">
        <v>70</v>
      </c>
      <c r="M805" s="11" t="s">
        <v>15</v>
      </c>
      <c r="N805" s="14" t="s">
        <v>14</v>
      </c>
      <c r="O805" s="15">
        <v>3291</v>
      </c>
      <c r="P805" s="12">
        <v>1</v>
      </c>
      <c r="Q805" s="13" t="s">
        <v>2102</v>
      </c>
      <c r="R805" s="16">
        <v>26598000</v>
      </c>
      <c r="S805" s="17">
        <v>24627778</v>
      </c>
      <c r="T805" s="12">
        <v>0</v>
      </c>
      <c r="U805" s="18">
        <v>0</v>
      </c>
      <c r="V805" s="19">
        <v>0</v>
      </c>
      <c r="W805" s="13" t="s">
        <v>1359</v>
      </c>
      <c r="X805" s="14" t="s">
        <v>2524</v>
      </c>
      <c r="Y805" s="13" t="s">
        <v>2127</v>
      </c>
      <c r="Z805" s="14" t="s">
        <v>2525</v>
      </c>
      <c r="AA805" s="17">
        <v>18</v>
      </c>
      <c r="AB805" s="14" t="s">
        <v>2407</v>
      </c>
      <c r="AC805" s="17">
        <v>26598000</v>
      </c>
      <c r="AD805" s="14" t="s">
        <v>2141</v>
      </c>
      <c r="AE805" s="17">
        <v>24627778</v>
      </c>
      <c r="AF805" s="14" t="s">
        <v>2340</v>
      </c>
      <c r="AG805" s="21" t="s">
        <v>914</v>
      </c>
      <c r="AH805" s="10">
        <v>15514736</v>
      </c>
      <c r="AI805" s="24" t="str">
        <f>VLOOKUP(Sales[[#This Row],[Store]],'Store lay bao  cao'!A:B,2,0)</f>
        <v>Lấy BC</v>
      </c>
      <c r="AJ805" s="24" t="str">
        <f>VLOOKUP(Sales[[#This Row],[Associate]],'Associate Status'!B:C,2,0)</f>
        <v>Active</v>
      </c>
    </row>
    <row r="806" spans="1:36" x14ac:dyDescent="0.25">
      <c r="A806" s="7">
        <v>2025</v>
      </c>
      <c r="B806" s="8">
        <v>9</v>
      </c>
      <c r="C806" s="8">
        <v>38</v>
      </c>
      <c r="D806" s="8" t="s">
        <v>69</v>
      </c>
      <c r="E806" s="8" t="s">
        <v>43</v>
      </c>
      <c r="F806" s="8" t="s">
        <v>69</v>
      </c>
      <c r="G806" s="9">
        <v>5239999</v>
      </c>
      <c r="H806" s="10">
        <v>4812750</v>
      </c>
      <c r="I806" s="11">
        <v>45921</v>
      </c>
      <c r="J806" s="12">
        <v>219153</v>
      </c>
      <c r="K806" s="13" t="s">
        <v>519</v>
      </c>
      <c r="L806" s="14" t="s">
        <v>70</v>
      </c>
      <c r="M806" s="11" t="s">
        <v>15</v>
      </c>
      <c r="N806" s="14" t="s">
        <v>14</v>
      </c>
      <c r="O806" s="15">
        <v>3291</v>
      </c>
      <c r="P806" s="12">
        <v>1</v>
      </c>
      <c r="Q806" s="13" t="s">
        <v>2102</v>
      </c>
      <c r="R806" s="16">
        <v>14322000</v>
      </c>
      <c r="S806" s="17">
        <v>13261111</v>
      </c>
      <c r="T806" s="12">
        <v>0</v>
      </c>
      <c r="U806" s="18">
        <v>0</v>
      </c>
      <c r="V806" s="19">
        <v>0</v>
      </c>
      <c r="W806" s="13" t="s">
        <v>1359</v>
      </c>
      <c r="X806" s="14" t="s">
        <v>2526</v>
      </c>
      <c r="Y806" s="13" t="s">
        <v>2127</v>
      </c>
      <c r="Z806" s="14" t="s">
        <v>2527</v>
      </c>
      <c r="AA806" s="17">
        <v>18</v>
      </c>
      <c r="AB806" s="14" t="s">
        <v>2407</v>
      </c>
      <c r="AC806" s="17">
        <v>14322000</v>
      </c>
      <c r="AD806" s="14" t="s">
        <v>2155</v>
      </c>
      <c r="AE806" s="17">
        <v>13261111</v>
      </c>
      <c r="AF806" s="14" t="s">
        <v>2340</v>
      </c>
      <c r="AG806" s="20" t="s">
        <v>914</v>
      </c>
      <c r="AH806" s="10">
        <v>8021112</v>
      </c>
      <c r="AI806" s="24" t="str">
        <f>VLOOKUP(Sales[[#This Row],[Store]],'Store lay bao  cao'!A:B,2,0)</f>
        <v>Lấy BC</v>
      </c>
      <c r="AJ806" s="24" t="str">
        <f>VLOOKUP(Sales[[#This Row],[Associate]],'Associate Status'!B:C,2,0)</f>
        <v>Active</v>
      </c>
    </row>
    <row r="807" spans="1:36" x14ac:dyDescent="0.25">
      <c r="A807" s="7">
        <v>2025</v>
      </c>
      <c r="B807" s="8">
        <v>9</v>
      </c>
      <c r="C807" s="8">
        <v>39</v>
      </c>
      <c r="D807" s="8" t="s">
        <v>69</v>
      </c>
      <c r="E807" s="8" t="s">
        <v>34</v>
      </c>
      <c r="F807" s="8" t="s">
        <v>69</v>
      </c>
      <c r="G807" s="9">
        <v>123020685</v>
      </c>
      <c r="H807" s="10">
        <v>122769000</v>
      </c>
      <c r="I807" s="11">
        <v>45924</v>
      </c>
      <c r="J807" s="12">
        <v>217459</v>
      </c>
      <c r="K807" s="13" t="s">
        <v>520</v>
      </c>
      <c r="L807" s="14" t="s">
        <v>55</v>
      </c>
      <c r="M807" s="11" t="s">
        <v>15</v>
      </c>
      <c r="N807" s="14" t="s">
        <v>62</v>
      </c>
      <c r="O807" s="15">
        <v>3301</v>
      </c>
      <c r="P807" s="12">
        <v>1</v>
      </c>
      <c r="Q807" s="13" t="s">
        <v>2088</v>
      </c>
      <c r="R807" s="16">
        <v>300000000</v>
      </c>
      <c r="S807" s="17">
        <v>277777778</v>
      </c>
      <c r="T807" s="12">
        <v>10.49</v>
      </c>
      <c r="U807" s="18">
        <v>32555556</v>
      </c>
      <c r="V807" s="19">
        <v>35160000</v>
      </c>
      <c r="W807" s="13" t="s">
        <v>1357</v>
      </c>
      <c r="X807" s="14" t="s">
        <v>2528</v>
      </c>
      <c r="Y807" s="13" t="s">
        <v>2516</v>
      </c>
      <c r="Z807" s="14" t="s">
        <v>2529</v>
      </c>
      <c r="AA807" s="17">
        <v>14</v>
      </c>
      <c r="AB807" s="14" t="s">
        <v>2530</v>
      </c>
      <c r="AC807" s="17">
        <v>335160000</v>
      </c>
      <c r="AD807" s="14" t="s">
        <v>108</v>
      </c>
      <c r="AE807" s="17">
        <v>310333333</v>
      </c>
      <c r="AF807" s="14" t="s">
        <v>136</v>
      </c>
      <c r="AG807" s="21" t="s">
        <v>2517</v>
      </c>
      <c r="AH807" s="10">
        <v>154757093</v>
      </c>
      <c r="AI807" s="24" t="str">
        <f>VLOOKUP(Sales[[#This Row],[Store]],'Store lay bao  cao'!A:B,2,0)</f>
        <v>Lấy BC</v>
      </c>
      <c r="AJ807" s="24" t="str">
        <f>VLOOKUP(Sales[[#This Row],[Associate]],'Associate Status'!B:C,2,0)</f>
        <v>Active</v>
      </c>
    </row>
    <row r="808" spans="1:36" x14ac:dyDescent="0.25">
      <c r="A808" s="7">
        <v>2025</v>
      </c>
      <c r="B808" s="8">
        <v>9</v>
      </c>
      <c r="C808" s="8">
        <v>39</v>
      </c>
      <c r="D808" s="8" t="s">
        <v>69</v>
      </c>
      <c r="E808" s="8" t="s">
        <v>37</v>
      </c>
      <c r="F808" s="8" t="s">
        <v>69</v>
      </c>
      <c r="G808" s="9">
        <v>16707242</v>
      </c>
      <c r="H808" s="10">
        <v>15345000</v>
      </c>
      <c r="I808" s="11">
        <v>45925</v>
      </c>
      <c r="J808" s="12">
        <v>219144</v>
      </c>
      <c r="K808" s="13" t="s">
        <v>522</v>
      </c>
      <c r="L808" s="14" t="s">
        <v>70</v>
      </c>
      <c r="M808" s="11" t="s">
        <v>15</v>
      </c>
      <c r="N808" s="14" t="s">
        <v>14</v>
      </c>
      <c r="O808" s="15">
        <v>3305</v>
      </c>
      <c r="P808" s="12">
        <v>1</v>
      </c>
      <c r="Q808" s="13" t="s">
        <v>2098</v>
      </c>
      <c r="R808" s="16">
        <v>47058000</v>
      </c>
      <c r="S808" s="17">
        <v>43572222</v>
      </c>
      <c r="T808" s="12">
        <v>0</v>
      </c>
      <c r="U808" s="18">
        <v>0</v>
      </c>
      <c r="V808" s="19">
        <v>0</v>
      </c>
      <c r="W808" s="13" t="s">
        <v>2173</v>
      </c>
      <c r="X808" s="14" t="s">
        <v>2531</v>
      </c>
      <c r="Y808" s="13" t="s">
        <v>778</v>
      </c>
      <c r="Z808" s="14" t="s">
        <v>2532</v>
      </c>
      <c r="AA808" s="17">
        <v>12</v>
      </c>
      <c r="AB808" s="14" t="s">
        <v>2407</v>
      </c>
      <c r="AC808" s="17">
        <v>47058000</v>
      </c>
      <c r="AD808" s="14" t="s">
        <v>108</v>
      </c>
      <c r="AE808" s="17">
        <v>43572222</v>
      </c>
      <c r="AF808" s="14" t="s">
        <v>1978</v>
      </c>
      <c r="AG808" s="20" t="s">
        <v>1351</v>
      </c>
      <c r="AH808" s="10">
        <v>26864980</v>
      </c>
      <c r="AI808" s="24" t="str">
        <f>VLOOKUP(Sales[[#This Row],[Store]],'Store lay bao  cao'!A:B,2,0)</f>
        <v>Lấy BC</v>
      </c>
      <c r="AJ808" s="24" t="str">
        <f>VLOOKUP(Sales[[#This Row],[Associate]],'Associate Status'!B:C,2,0)</f>
        <v>Active</v>
      </c>
    </row>
    <row r="809" spans="1:36" x14ac:dyDescent="0.25">
      <c r="A809" s="7">
        <v>2025</v>
      </c>
      <c r="B809" s="8">
        <v>9</v>
      </c>
      <c r="C809" s="8">
        <v>39</v>
      </c>
      <c r="D809" s="8" t="s">
        <v>69</v>
      </c>
      <c r="E809" s="8" t="s">
        <v>37</v>
      </c>
      <c r="F809" s="8" t="s">
        <v>69</v>
      </c>
      <c r="G809" s="9">
        <v>28098543</v>
      </c>
      <c r="H809" s="10">
        <v>25807500</v>
      </c>
      <c r="I809" s="11">
        <v>45925</v>
      </c>
      <c r="J809" s="12">
        <v>219156</v>
      </c>
      <c r="K809" s="13" t="s">
        <v>522</v>
      </c>
      <c r="L809" s="14" t="s">
        <v>70</v>
      </c>
      <c r="M809" s="11" t="s">
        <v>15</v>
      </c>
      <c r="N809" s="14" t="s">
        <v>14</v>
      </c>
      <c r="O809" s="15">
        <v>3305</v>
      </c>
      <c r="P809" s="12">
        <v>1</v>
      </c>
      <c r="Q809" s="13" t="s">
        <v>2098</v>
      </c>
      <c r="R809" s="16">
        <v>79794000</v>
      </c>
      <c r="S809" s="17">
        <v>73883333</v>
      </c>
      <c r="T809" s="12">
        <v>0</v>
      </c>
      <c r="U809" s="18">
        <v>0</v>
      </c>
      <c r="V809" s="19">
        <v>0</v>
      </c>
      <c r="W809" s="13" t="s">
        <v>2173</v>
      </c>
      <c r="X809" s="14" t="s">
        <v>2533</v>
      </c>
      <c r="Y809" s="13" t="s">
        <v>778</v>
      </c>
      <c r="Z809" s="14" t="s">
        <v>2534</v>
      </c>
      <c r="AA809" s="17">
        <v>12</v>
      </c>
      <c r="AB809" s="14" t="s">
        <v>2407</v>
      </c>
      <c r="AC809" s="17">
        <v>79794000</v>
      </c>
      <c r="AD809" s="14" t="s">
        <v>108</v>
      </c>
      <c r="AE809" s="17">
        <v>73883333</v>
      </c>
      <c r="AF809" s="14" t="s">
        <v>136</v>
      </c>
      <c r="AG809" s="21" t="s">
        <v>1351</v>
      </c>
      <c r="AH809" s="10">
        <v>45784790</v>
      </c>
      <c r="AI809" s="24" t="str">
        <f>VLOOKUP(Sales[[#This Row],[Store]],'Store lay bao  cao'!A:B,2,0)</f>
        <v>Lấy BC</v>
      </c>
      <c r="AJ809" s="24" t="str">
        <f>VLOOKUP(Sales[[#This Row],[Associate]],'Associate Status'!B:C,2,0)</f>
        <v>Active</v>
      </c>
    </row>
    <row r="810" spans="1:36" x14ac:dyDescent="0.25">
      <c r="A810" s="7">
        <v>2025</v>
      </c>
      <c r="B810" s="8">
        <v>9</v>
      </c>
      <c r="C810" s="8">
        <v>39</v>
      </c>
      <c r="D810" s="8" t="s">
        <v>66</v>
      </c>
      <c r="E810" s="8" t="s">
        <v>43</v>
      </c>
      <c r="F810" s="8" t="s">
        <v>66</v>
      </c>
      <c r="G810" s="9">
        <v>27529683</v>
      </c>
      <c r="H810" s="10">
        <v>26390700</v>
      </c>
      <c r="I810" s="11">
        <v>45925</v>
      </c>
      <c r="J810" s="12">
        <v>214602</v>
      </c>
      <c r="K810" s="13" t="s">
        <v>529</v>
      </c>
      <c r="L810" s="14" t="s">
        <v>58</v>
      </c>
      <c r="M810" s="11" t="s">
        <v>15</v>
      </c>
      <c r="N810" s="14" t="s">
        <v>62</v>
      </c>
      <c r="O810" s="15">
        <v>3312</v>
      </c>
      <c r="P810" s="12">
        <v>1</v>
      </c>
      <c r="Q810" s="13" t="s">
        <v>2102</v>
      </c>
      <c r="R810" s="16">
        <v>90495000</v>
      </c>
      <c r="S810" s="17">
        <v>83791667</v>
      </c>
      <c r="T810" s="12">
        <v>0</v>
      </c>
      <c r="U810" s="18">
        <v>0</v>
      </c>
      <c r="V810" s="19">
        <v>0</v>
      </c>
      <c r="W810" s="13" t="s">
        <v>2535</v>
      </c>
      <c r="X810" s="14" t="s">
        <v>2536</v>
      </c>
      <c r="Y810" s="13" t="s">
        <v>2127</v>
      </c>
      <c r="Z810" s="14" t="s">
        <v>2537</v>
      </c>
      <c r="AA810" s="17">
        <v>18</v>
      </c>
      <c r="AB810" s="14" t="s">
        <v>1337</v>
      </c>
      <c r="AC810" s="17">
        <v>90495000</v>
      </c>
      <c r="AD810" s="14"/>
      <c r="AE810" s="17">
        <v>83791667</v>
      </c>
      <c r="AF810" s="14" t="s">
        <v>2340</v>
      </c>
      <c r="AG810" s="20" t="s">
        <v>914</v>
      </c>
      <c r="AH810" s="10">
        <v>56261984</v>
      </c>
      <c r="AI810" s="24" t="str">
        <f>VLOOKUP(Sales[[#This Row],[Store]],'Store lay bao  cao'!A:B,2,0)</f>
        <v>Lấy BC</v>
      </c>
      <c r="AJ810" s="24" t="str">
        <f>VLOOKUP(Sales[[#This Row],[Associate]],'Associate Status'!B:C,2,0)</f>
        <v>Active</v>
      </c>
    </row>
    <row r="811" spans="1:36" x14ac:dyDescent="0.25">
      <c r="A811" s="7">
        <v>2025</v>
      </c>
      <c r="B811" s="8">
        <v>9</v>
      </c>
      <c r="C811" s="8">
        <v>39</v>
      </c>
      <c r="D811" s="8" t="s">
        <v>52</v>
      </c>
      <c r="E811" s="8" t="s">
        <v>34</v>
      </c>
      <c r="F811" s="8" t="s">
        <v>52</v>
      </c>
      <c r="G811" s="9">
        <v>34381544</v>
      </c>
      <c r="H811" s="10">
        <v>29102400</v>
      </c>
      <c r="I811" s="11">
        <v>45927</v>
      </c>
      <c r="J811" s="12">
        <v>186456</v>
      </c>
      <c r="K811" s="13" t="s">
        <v>530</v>
      </c>
      <c r="L811" s="14" t="s">
        <v>19</v>
      </c>
      <c r="M811" s="11" t="s">
        <v>15</v>
      </c>
      <c r="N811" s="14" t="s">
        <v>11</v>
      </c>
      <c r="O811" s="15">
        <v>3320</v>
      </c>
      <c r="P811" s="12">
        <v>1</v>
      </c>
      <c r="Q811" s="13" t="s">
        <v>2094</v>
      </c>
      <c r="R811" s="16">
        <v>94583000</v>
      </c>
      <c r="S811" s="17">
        <v>87576852</v>
      </c>
      <c r="T811" s="12">
        <v>0</v>
      </c>
      <c r="U811" s="18">
        <v>0</v>
      </c>
      <c r="V811" s="19">
        <v>0</v>
      </c>
      <c r="W811" s="13" t="s">
        <v>349</v>
      </c>
      <c r="X811" s="14" t="s">
        <v>2538</v>
      </c>
      <c r="Y811" s="13" t="s">
        <v>2127</v>
      </c>
      <c r="Z811" s="14" t="s">
        <v>2539</v>
      </c>
      <c r="AA811" s="17">
        <v>16</v>
      </c>
      <c r="AB811" s="14" t="s">
        <v>2358</v>
      </c>
      <c r="AC811" s="17">
        <v>94583000</v>
      </c>
      <c r="AD811" s="14" t="s">
        <v>108</v>
      </c>
      <c r="AE811" s="17">
        <v>87576852</v>
      </c>
      <c r="AF811" s="14" t="s">
        <v>136</v>
      </c>
      <c r="AG811" s="21" t="s">
        <v>914</v>
      </c>
      <c r="AH811" s="10">
        <v>53195308</v>
      </c>
      <c r="AI811" s="24" t="str">
        <f>VLOOKUP(Sales[[#This Row],[Store]],'Store lay bao  cao'!A:B,2,0)</f>
        <v>Lấy BC</v>
      </c>
      <c r="AJ811" s="24" t="str">
        <f>VLOOKUP(Sales[[#This Row],[Associate]],'Associate Status'!B:C,2,0)</f>
        <v>Active</v>
      </c>
    </row>
    <row r="812" spans="1:36" x14ac:dyDescent="0.25">
      <c r="A812" s="7">
        <v>2025</v>
      </c>
      <c r="B812" s="8">
        <v>9</v>
      </c>
      <c r="C812" s="8">
        <v>39</v>
      </c>
      <c r="D812" s="8" t="s">
        <v>52</v>
      </c>
      <c r="E812" s="8" t="s">
        <v>37</v>
      </c>
      <c r="F812" s="8" t="s">
        <v>52</v>
      </c>
      <c r="G812" s="9">
        <v>4262020</v>
      </c>
      <c r="H812" s="10">
        <v>3847500</v>
      </c>
      <c r="I812" s="11">
        <v>45928</v>
      </c>
      <c r="J812" s="12">
        <v>182217</v>
      </c>
      <c r="K812" s="13" t="s">
        <v>806</v>
      </c>
      <c r="L812" s="14" t="s">
        <v>50</v>
      </c>
      <c r="M812" s="11" t="s">
        <v>21</v>
      </c>
      <c r="N812" s="14" t="s">
        <v>11</v>
      </c>
      <c r="O812" s="15">
        <v>5026</v>
      </c>
      <c r="P812" s="12">
        <v>1</v>
      </c>
      <c r="Q812" s="13" t="s">
        <v>2098</v>
      </c>
      <c r="R812" s="16">
        <v>12312000</v>
      </c>
      <c r="S812" s="17">
        <v>11400000</v>
      </c>
      <c r="T812" s="12">
        <v>0</v>
      </c>
      <c r="U812" s="18">
        <v>0</v>
      </c>
      <c r="V812" s="19">
        <v>0</v>
      </c>
      <c r="W812" s="13" t="s">
        <v>2172</v>
      </c>
      <c r="X812" s="14" t="s">
        <v>2540</v>
      </c>
      <c r="Y812" s="13" t="s">
        <v>2194</v>
      </c>
      <c r="Z812" s="14" t="s">
        <v>2541</v>
      </c>
      <c r="AA812" s="17">
        <v>12</v>
      </c>
      <c r="AB812" s="14" t="s">
        <v>2319</v>
      </c>
      <c r="AC812" s="17">
        <v>12312000</v>
      </c>
      <c r="AD812" s="14" t="s">
        <v>108</v>
      </c>
      <c r="AE812" s="17">
        <v>11400000</v>
      </c>
      <c r="AF812" s="14" t="s">
        <v>255</v>
      </c>
      <c r="AG812" s="20" t="s">
        <v>309</v>
      </c>
      <c r="AH812" s="10">
        <v>7137980</v>
      </c>
      <c r="AI812" s="24" t="str">
        <f>VLOOKUP(Sales[[#This Row],[Store]],'Store lay bao  cao'!A:B,2,0)</f>
        <v>Lấy BC</v>
      </c>
      <c r="AJ812" s="24" t="str">
        <f>VLOOKUP(Sales[[#This Row],[Associate]],'Associate Status'!B:C,2,0)</f>
        <v>Active</v>
      </c>
    </row>
    <row r="813" spans="1:36" x14ac:dyDescent="0.25">
      <c r="A813" s="7">
        <v>2025</v>
      </c>
      <c r="B813" s="8">
        <v>10</v>
      </c>
      <c r="C813" s="8">
        <v>40</v>
      </c>
      <c r="D813" s="8" t="s">
        <v>60</v>
      </c>
      <c r="E813" s="8" t="s">
        <v>37</v>
      </c>
      <c r="F813" s="8" t="s">
        <v>60</v>
      </c>
      <c r="G813" s="9">
        <v>6737574</v>
      </c>
      <c r="H813" s="10">
        <v>6270000</v>
      </c>
      <c r="I813" s="11">
        <v>45932</v>
      </c>
      <c r="J813" s="12">
        <v>208288</v>
      </c>
      <c r="K813" s="13" t="s">
        <v>531</v>
      </c>
      <c r="L813" s="14" t="s">
        <v>50</v>
      </c>
      <c r="M813" s="11" t="s">
        <v>15</v>
      </c>
      <c r="N813" s="14" t="s">
        <v>11</v>
      </c>
      <c r="O813" s="15">
        <v>3348</v>
      </c>
      <c r="P813" s="12">
        <v>1</v>
      </c>
      <c r="Q813" s="13" t="s">
        <v>2102</v>
      </c>
      <c r="R813" s="16">
        <v>20064000</v>
      </c>
      <c r="S813" s="17">
        <v>18577778</v>
      </c>
      <c r="T813" s="12">
        <v>0</v>
      </c>
      <c r="U813" s="18">
        <v>0</v>
      </c>
      <c r="V813" s="19">
        <v>0</v>
      </c>
      <c r="W813" s="13" t="s">
        <v>2535</v>
      </c>
      <c r="X813" s="14" t="s">
        <v>2560</v>
      </c>
      <c r="Y813" s="13" t="s">
        <v>2127</v>
      </c>
      <c r="Z813" s="14" t="s">
        <v>2561</v>
      </c>
      <c r="AA813" s="17">
        <v>18</v>
      </c>
      <c r="AB813" s="14" t="s">
        <v>161</v>
      </c>
      <c r="AC813" s="17">
        <v>20064000</v>
      </c>
      <c r="AD813" s="14" t="s">
        <v>108</v>
      </c>
      <c r="AE813" s="17">
        <v>18577778</v>
      </c>
      <c r="AF813" s="14" t="s">
        <v>2082</v>
      </c>
      <c r="AG813" s="21" t="s">
        <v>914</v>
      </c>
      <c r="AH813" s="10">
        <v>11840204</v>
      </c>
      <c r="AI813" s="24" t="str">
        <f>VLOOKUP(Sales[[#This Row],[Store]],'Store lay bao  cao'!A:B,2,0)</f>
        <v>Lấy BC</v>
      </c>
      <c r="AJ813" s="24" t="str">
        <f>VLOOKUP(Sales[[#This Row],[Associate]],'Associate Status'!B:C,2,0)</f>
        <v>Active</v>
      </c>
    </row>
    <row r="814" spans="1:36" x14ac:dyDescent="0.25">
      <c r="A814" s="7">
        <v>2025</v>
      </c>
      <c r="B814" s="8">
        <v>10</v>
      </c>
      <c r="C814" s="8">
        <v>40</v>
      </c>
      <c r="D814" s="8" t="s">
        <v>52</v>
      </c>
      <c r="E814" s="8" t="s">
        <v>34</v>
      </c>
      <c r="F814" s="8" t="s">
        <v>52</v>
      </c>
      <c r="G814" s="9">
        <v>2847756</v>
      </c>
      <c r="H814" s="10">
        <v>2565000</v>
      </c>
      <c r="I814" s="11">
        <v>45932</v>
      </c>
      <c r="J814" s="12">
        <v>182259</v>
      </c>
      <c r="K814" s="13" t="s">
        <v>809</v>
      </c>
      <c r="L814" s="14" t="s">
        <v>50</v>
      </c>
      <c r="M814" s="11" t="s">
        <v>21</v>
      </c>
      <c r="N814" s="14" t="s">
        <v>11</v>
      </c>
      <c r="O814" s="15">
        <v>5051</v>
      </c>
      <c r="P814" s="12">
        <v>1</v>
      </c>
      <c r="Q814" s="13" t="s">
        <v>2098</v>
      </c>
      <c r="R814" s="16">
        <v>7797600</v>
      </c>
      <c r="S814" s="17">
        <v>7220000</v>
      </c>
      <c r="T814" s="12">
        <v>5</v>
      </c>
      <c r="U814" s="18">
        <v>380000</v>
      </c>
      <c r="V814" s="19">
        <v>410400</v>
      </c>
      <c r="W814" s="13" t="s">
        <v>2172</v>
      </c>
      <c r="X814" s="14" t="s">
        <v>2562</v>
      </c>
      <c r="Y814" s="13" t="s">
        <v>2227</v>
      </c>
      <c r="Z814" s="14" t="s">
        <v>2563</v>
      </c>
      <c r="AA814" s="17">
        <v>19</v>
      </c>
      <c r="AB814" s="14" t="s">
        <v>802</v>
      </c>
      <c r="AC814" s="17">
        <v>8208000</v>
      </c>
      <c r="AD814" s="14" t="s">
        <v>108</v>
      </c>
      <c r="AE814" s="17">
        <v>7600000</v>
      </c>
      <c r="AF814" s="14" t="s">
        <v>170</v>
      </c>
      <c r="AG814" s="20" t="s">
        <v>464</v>
      </c>
      <c r="AH814" s="10">
        <v>4372244</v>
      </c>
      <c r="AI814" s="24" t="str">
        <f>VLOOKUP(Sales[[#This Row],[Store]],'Store lay bao  cao'!A:B,2,0)</f>
        <v>Lấy BC</v>
      </c>
      <c r="AJ814" s="24" t="str">
        <f>VLOOKUP(Sales[[#This Row],[Associate]],'Associate Status'!B:C,2,0)</f>
        <v>Active</v>
      </c>
    </row>
    <row r="815" spans="1:36" x14ac:dyDescent="0.25">
      <c r="A815" s="7">
        <v>2025</v>
      </c>
      <c r="B815" s="8">
        <v>10</v>
      </c>
      <c r="C815" s="8">
        <v>42</v>
      </c>
      <c r="D815" s="8" t="s">
        <v>69</v>
      </c>
      <c r="E815" s="8" t="s">
        <v>37</v>
      </c>
      <c r="F815" s="8" t="s">
        <v>69</v>
      </c>
      <c r="G815" s="9">
        <v>110067521</v>
      </c>
      <c r="H815" s="10">
        <v>105462000</v>
      </c>
      <c r="I815" s="11">
        <v>45947</v>
      </c>
      <c r="J815" s="12">
        <v>217314</v>
      </c>
      <c r="K815" s="13" t="s">
        <v>539</v>
      </c>
      <c r="L815" s="14" t="s">
        <v>65</v>
      </c>
      <c r="M815" s="11" t="s">
        <v>15</v>
      </c>
      <c r="N815" s="14" t="s">
        <v>62</v>
      </c>
      <c r="O815" s="15">
        <v>3426</v>
      </c>
      <c r="P815" s="12">
        <v>1</v>
      </c>
      <c r="Q815" s="13" t="s">
        <v>102</v>
      </c>
      <c r="R815" s="16">
        <v>286440000</v>
      </c>
      <c r="S815" s="17">
        <v>265222222</v>
      </c>
      <c r="T815" s="12">
        <v>0</v>
      </c>
      <c r="U815" s="18">
        <v>0</v>
      </c>
      <c r="V815" s="19">
        <v>0</v>
      </c>
      <c r="W815" s="13" t="s">
        <v>349</v>
      </c>
      <c r="X815" s="14" t="s">
        <v>2564</v>
      </c>
      <c r="Y815" s="13" t="s">
        <v>2510</v>
      </c>
      <c r="Z815" s="14" t="s">
        <v>2565</v>
      </c>
      <c r="AA815" s="17">
        <v>11</v>
      </c>
      <c r="AB815" s="14" t="s">
        <v>173</v>
      </c>
      <c r="AC815" s="17">
        <v>286440000</v>
      </c>
      <c r="AD815" s="14"/>
      <c r="AE815" s="17">
        <v>265222222</v>
      </c>
      <c r="AF815" s="14" t="s">
        <v>1970</v>
      </c>
      <c r="AG815" s="21" t="s">
        <v>2511</v>
      </c>
      <c r="AH815" s="10">
        <v>155154701</v>
      </c>
      <c r="AI815" s="24" t="str">
        <f>VLOOKUP(Sales[[#This Row],[Store]],'Store lay bao  cao'!A:B,2,0)</f>
        <v>Lấy BC</v>
      </c>
      <c r="AJ815" s="24" t="str">
        <f>VLOOKUP(Sales[[#This Row],[Associate]],'Associate Status'!B:C,2,0)</f>
        <v>Active</v>
      </c>
    </row>
    <row r="816" spans="1:36" x14ac:dyDescent="0.25">
      <c r="A816" s="7">
        <v>2025</v>
      </c>
      <c r="B816" s="8">
        <v>10</v>
      </c>
      <c r="C816" s="8">
        <v>42</v>
      </c>
      <c r="D816" s="8" t="s">
        <v>69</v>
      </c>
      <c r="E816" s="8" t="s">
        <v>34</v>
      </c>
      <c r="F816" s="8" t="s">
        <v>69</v>
      </c>
      <c r="G816" s="9">
        <v>150687678</v>
      </c>
      <c r="H816" s="10">
        <v>144382500</v>
      </c>
      <c r="I816" s="11">
        <v>45947</v>
      </c>
      <c r="J816" s="12">
        <v>217318</v>
      </c>
      <c r="K816" s="13" t="s">
        <v>539</v>
      </c>
      <c r="L816" s="14" t="s">
        <v>65</v>
      </c>
      <c r="M816" s="11" t="s">
        <v>15</v>
      </c>
      <c r="N816" s="14" t="s">
        <v>62</v>
      </c>
      <c r="O816" s="15">
        <v>3426</v>
      </c>
      <c r="P816" s="12">
        <v>1</v>
      </c>
      <c r="Q816" s="13" t="s">
        <v>102</v>
      </c>
      <c r="R816" s="16">
        <v>392150000</v>
      </c>
      <c r="S816" s="17">
        <v>363101852</v>
      </c>
      <c r="T816" s="12">
        <v>0</v>
      </c>
      <c r="U816" s="18">
        <v>0</v>
      </c>
      <c r="V816" s="19">
        <v>0</v>
      </c>
      <c r="W816" s="13" t="s">
        <v>349</v>
      </c>
      <c r="X816" s="14" t="s">
        <v>2566</v>
      </c>
      <c r="Y816" s="13" t="s">
        <v>2510</v>
      </c>
      <c r="Z816" s="14" t="s">
        <v>2567</v>
      </c>
      <c r="AA816" s="17">
        <v>11</v>
      </c>
      <c r="AB816" s="14" t="s">
        <v>173</v>
      </c>
      <c r="AC816" s="17">
        <v>392150000</v>
      </c>
      <c r="AD816" s="14"/>
      <c r="AE816" s="17">
        <v>363101852</v>
      </c>
      <c r="AF816" s="14" t="s">
        <v>1970</v>
      </c>
      <c r="AG816" s="20" t="s">
        <v>2511</v>
      </c>
      <c r="AH816" s="10">
        <v>212414174</v>
      </c>
      <c r="AI816" s="24" t="str">
        <f>VLOOKUP(Sales[[#This Row],[Store]],'Store lay bao  cao'!A:B,2,0)</f>
        <v>Lấy BC</v>
      </c>
      <c r="AJ816" s="24" t="str">
        <f>VLOOKUP(Sales[[#This Row],[Associate]],'Associate Status'!B:C,2,0)</f>
        <v>Active</v>
      </c>
    </row>
    <row r="817" spans="1:36" x14ac:dyDescent="0.25">
      <c r="A817" s="7">
        <v>2025</v>
      </c>
      <c r="B817" s="8">
        <v>10</v>
      </c>
      <c r="C817" s="8">
        <v>42</v>
      </c>
      <c r="D817" s="8" t="s">
        <v>52</v>
      </c>
      <c r="E817" s="8" t="s">
        <v>34</v>
      </c>
      <c r="F817" s="8" t="s">
        <v>52</v>
      </c>
      <c r="G817" s="9">
        <v>18367195</v>
      </c>
      <c r="H817" s="10">
        <v>18075915</v>
      </c>
      <c r="I817" s="11">
        <v>45948</v>
      </c>
      <c r="J817" s="12">
        <v>181409</v>
      </c>
      <c r="K817" s="13" t="s">
        <v>541</v>
      </c>
      <c r="L817" s="14" t="s">
        <v>58</v>
      </c>
      <c r="M817" s="11" t="s">
        <v>15</v>
      </c>
      <c r="N817" s="14" t="s">
        <v>11</v>
      </c>
      <c r="O817" s="15">
        <v>3442</v>
      </c>
      <c r="P817" s="12">
        <v>1</v>
      </c>
      <c r="Q817" s="13" t="s">
        <v>2098</v>
      </c>
      <c r="R817" s="16">
        <v>94467000</v>
      </c>
      <c r="S817" s="17">
        <v>87469444</v>
      </c>
      <c r="T817" s="12">
        <v>0</v>
      </c>
      <c r="U817" s="18">
        <v>0</v>
      </c>
      <c r="V817" s="19">
        <v>0</v>
      </c>
      <c r="W817" s="13" t="s">
        <v>2444</v>
      </c>
      <c r="X817" s="14" t="s">
        <v>2568</v>
      </c>
      <c r="Y817" s="13" t="s">
        <v>2127</v>
      </c>
      <c r="Z817" s="14" t="s">
        <v>2569</v>
      </c>
      <c r="AA817" s="17">
        <v>17</v>
      </c>
      <c r="AB817" s="14" t="s">
        <v>2199</v>
      </c>
      <c r="AC817" s="17">
        <v>94467000</v>
      </c>
      <c r="AD817" s="14" t="s">
        <v>108</v>
      </c>
      <c r="AE817" s="17">
        <v>87469444</v>
      </c>
      <c r="AF817" s="14" t="s">
        <v>109</v>
      </c>
      <c r="AG817" s="21" t="s">
        <v>914</v>
      </c>
      <c r="AH817" s="10">
        <v>69102249</v>
      </c>
      <c r="AI817" s="24" t="str">
        <f>VLOOKUP(Sales[[#This Row],[Store]],'Store lay bao  cao'!A:B,2,0)</f>
        <v>Lấy BC</v>
      </c>
      <c r="AJ817" s="24" t="str">
        <f>VLOOKUP(Sales[[#This Row],[Associate]],'Associate Status'!B:C,2,0)</f>
        <v>Active</v>
      </c>
    </row>
    <row r="818" spans="1:36" x14ac:dyDescent="0.25">
      <c r="A818" s="7">
        <v>2025</v>
      </c>
      <c r="B818" s="8">
        <v>10</v>
      </c>
      <c r="C818" s="8">
        <v>43</v>
      </c>
      <c r="D818" s="8" t="s">
        <v>66</v>
      </c>
      <c r="E818" s="8" t="s">
        <v>34</v>
      </c>
      <c r="F818" s="8" t="s">
        <v>66</v>
      </c>
      <c r="G818" s="9">
        <v>20162586</v>
      </c>
      <c r="H818" s="10">
        <v>19328400</v>
      </c>
      <c r="I818" s="11">
        <v>45950</v>
      </c>
      <c r="J818" s="12">
        <v>214601</v>
      </c>
      <c r="K818" s="13" t="s">
        <v>542</v>
      </c>
      <c r="L818" s="14" t="s">
        <v>58</v>
      </c>
      <c r="M818" s="11" t="s">
        <v>15</v>
      </c>
      <c r="N818" s="14" t="s">
        <v>62</v>
      </c>
      <c r="O818" s="15">
        <v>3460</v>
      </c>
      <c r="P818" s="12">
        <v>1</v>
      </c>
      <c r="Q818" s="13" t="s">
        <v>102</v>
      </c>
      <c r="R818" s="16">
        <v>66748000</v>
      </c>
      <c r="S818" s="17">
        <v>61803704</v>
      </c>
      <c r="T818" s="12">
        <v>0</v>
      </c>
      <c r="U818" s="18">
        <v>0</v>
      </c>
      <c r="V818" s="19">
        <v>0</v>
      </c>
      <c r="W818" s="13" t="s">
        <v>2173</v>
      </c>
      <c r="X818" s="14" t="s">
        <v>2570</v>
      </c>
      <c r="Y818" s="13" t="s">
        <v>2177</v>
      </c>
      <c r="Z818" s="14" t="s">
        <v>1580</v>
      </c>
      <c r="AA818" s="17">
        <v>13</v>
      </c>
      <c r="AB818" s="14" t="s">
        <v>1337</v>
      </c>
      <c r="AC818" s="17">
        <v>66748000</v>
      </c>
      <c r="AD818" s="14"/>
      <c r="AE818" s="17">
        <v>61803704</v>
      </c>
      <c r="AF818" s="14" t="s">
        <v>109</v>
      </c>
      <c r="AG818" s="20" t="s">
        <v>347</v>
      </c>
      <c r="AH818" s="10">
        <v>41641118</v>
      </c>
      <c r="AI818" s="24" t="str">
        <f>VLOOKUP(Sales[[#This Row],[Store]],'Store lay bao  cao'!A:B,2,0)</f>
        <v>Lấy BC</v>
      </c>
      <c r="AJ818" s="24" t="str">
        <f>VLOOKUP(Sales[[#This Row],[Associate]],'Associate Status'!B:C,2,0)</f>
        <v>Active</v>
      </c>
    </row>
    <row r="819" spans="1:36" x14ac:dyDescent="0.25">
      <c r="A819" s="7">
        <v>2025</v>
      </c>
      <c r="B819" s="8">
        <v>10</v>
      </c>
      <c r="C819" s="8">
        <v>43</v>
      </c>
      <c r="D819" s="8" t="s">
        <v>63</v>
      </c>
      <c r="E819" s="8" t="s">
        <v>43</v>
      </c>
      <c r="F819" s="8" t="s">
        <v>63</v>
      </c>
      <c r="G819" s="9">
        <v>57829923</v>
      </c>
      <c r="H819" s="10">
        <v>57082500</v>
      </c>
      <c r="I819" s="11">
        <v>45956</v>
      </c>
      <c r="J819" s="12">
        <v>209302</v>
      </c>
      <c r="K819" s="13" t="s">
        <v>543</v>
      </c>
      <c r="L819" s="14" t="s">
        <v>65</v>
      </c>
      <c r="M819" s="11" t="s">
        <v>15</v>
      </c>
      <c r="N819" s="14" t="s">
        <v>62</v>
      </c>
      <c r="O819" s="15">
        <v>3489</v>
      </c>
      <c r="P819" s="12">
        <v>1</v>
      </c>
      <c r="Q819" s="13" t="s">
        <v>102</v>
      </c>
      <c r="R819" s="16">
        <v>165726000</v>
      </c>
      <c r="S819" s="17">
        <v>153450000</v>
      </c>
      <c r="T819" s="12">
        <v>0</v>
      </c>
      <c r="U819" s="18">
        <v>0</v>
      </c>
      <c r="V819" s="19">
        <v>0</v>
      </c>
      <c r="W819" s="13" t="s">
        <v>1563</v>
      </c>
      <c r="X819" s="14" t="s">
        <v>2571</v>
      </c>
      <c r="Y819" s="13" t="s">
        <v>2510</v>
      </c>
      <c r="Z819" s="14" t="s">
        <v>2572</v>
      </c>
      <c r="AA819" s="17">
        <v>10</v>
      </c>
      <c r="AB819" s="14" t="s">
        <v>173</v>
      </c>
      <c r="AC819" s="17">
        <v>165726000</v>
      </c>
      <c r="AD819" s="14" t="s">
        <v>2432</v>
      </c>
      <c r="AE819" s="17">
        <v>153450000</v>
      </c>
      <c r="AF819" s="14" t="s">
        <v>136</v>
      </c>
      <c r="AG819" s="21" t="s">
        <v>2511</v>
      </c>
      <c r="AH819" s="10">
        <v>95620077</v>
      </c>
      <c r="AI819" s="24" t="str">
        <f>VLOOKUP(Sales[[#This Row],[Store]],'Store lay bao  cao'!A:B,2,0)</f>
        <v>Lấy BC</v>
      </c>
      <c r="AJ819" s="24" t="str">
        <f>VLOOKUP(Sales[[#This Row],[Associate]],'Associate Status'!B:C,2,0)</f>
        <v>Active</v>
      </c>
    </row>
    <row r="820" spans="1:36" x14ac:dyDescent="0.25">
      <c r="A820" s="7">
        <v>2025</v>
      </c>
      <c r="B820" s="8">
        <v>10</v>
      </c>
      <c r="C820" s="8">
        <v>43</v>
      </c>
      <c r="D820" s="8" t="s">
        <v>60</v>
      </c>
      <c r="E820" s="8" t="s">
        <v>43</v>
      </c>
      <c r="F820" s="8" t="s">
        <v>60</v>
      </c>
      <c r="G820" s="9">
        <v>61904440</v>
      </c>
      <c r="H820" s="10">
        <v>60087500</v>
      </c>
      <c r="I820" s="11">
        <v>45956</v>
      </c>
      <c r="J820" s="12">
        <v>205110</v>
      </c>
      <c r="K820" s="13" t="s">
        <v>543</v>
      </c>
      <c r="L820" s="14" t="s">
        <v>64</v>
      </c>
      <c r="M820" s="11" t="s">
        <v>15</v>
      </c>
      <c r="N820" s="14" t="s">
        <v>62</v>
      </c>
      <c r="O820" s="15">
        <v>3489</v>
      </c>
      <c r="P820" s="12">
        <v>1</v>
      </c>
      <c r="Q820" s="13" t="s">
        <v>102</v>
      </c>
      <c r="R820" s="16">
        <v>179282000</v>
      </c>
      <c r="S820" s="17">
        <v>166001852</v>
      </c>
      <c r="T820" s="12">
        <v>0</v>
      </c>
      <c r="U820" s="18">
        <v>0</v>
      </c>
      <c r="V820" s="19">
        <v>0</v>
      </c>
      <c r="W820" s="13" t="s">
        <v>1563</v>
      </c>
      <c r="X820" s="14" t="s">
        <v>2494</v>
      </c>
      <c r="Y820" s="13" t="s">
        <v>2510</v>
      </c>
      <c r="Z820" s="14" t="s">
        <v>2495</v>
      </c>
      <c r="AA820" s="17">
        <v>10</v>
      </c>
      <c r="AB820" s="14" t="s">
        <v>2145</v>
      </c>
      <c r="AC820" s="17">
        <v>179282000</v>
      </c>
      <c r="AD820" s="14" t="s">
        <v>2100</v>
      </c>
      <c r="AE820" s="17">
        <v>166001852</v>
      </c>
      <c r="AF820" s="14" t="s">
        <v>1970</v>
      </c>
      <c r="AG820" s="20" t="s">
        <v>2511</v>
      </c>
      <c r="AH820" s="10">
        <v>104097412</v>
      </c>
      <c r="AI820" s="24" t="str">
        <f>VLOOKUP(Sales[[#This Row],[Store]],'Store lay bao  cao'!A:B,2,0)</f>
        <v>Lấy BC</v>
      </c>
      <c r="AJ820" s="24" t="str">
        <f>VLOOKUP(Sales[[#This Row],[Associate]],'Associate Status'!B:C,2,0)</f>
        <v>Active</v>
      </c>
    </row>
    <row r="821" spans="1:36" x14ac:dyDescent="0.25">
      <c r="A821" s="7">
        <v>2025</v>
      </c>
      <c r="B821" s="8">
        <v>10</v>
      </c>
      <c r="C821" s="8">
        <v>44</v>
      </c>
      <c r="D821" s="8" t="s">
        <v>69</v>
      </c>
      <c r="E821" s="8" t="s">
        <v>34</v>
      </c>
      <c r="F821" s="8" t="s">
        <v>69</v>
      </c>
      <c r="G821" s="9">
        <v>121860471</v>
      </c>
      <c r="H821" s="10">
        <v>116761500.00000001</v>
      </c>
      <c r="I821" s="11">
        <v>45958</v>
      </c>
      <c r="J821" s="12">
        <v>217309</v>
      </c>
      <c r="K821" s="13" t="s">
        <v>545</v>
      </c>
      <c r="L821" s="14" t="s">
        <v>65</v>
      </c>
      <c r="M821" s="11" t="s">
        <v>15</v>
      </c>
      <c r="N821" s="14" t="s">
        <v>62</v>
      </c>
      <c r="O821" s="15">
        <v>3500</v>
      </c>
      <c r="P821" s="12">
        <v>1</v>
      </c>
      <c r="Q821" s="13" t="s">
        <v>102</v>
      </c>
      <c r="R821" s="16">
        <v>351230000</v>
      </c>
      <c r="S821" s="17">
        <v>325212963</v>
      </c>
      <c r="T821" s="12">
        <v>0</v>
      </c>
      <c r="U821" s="18">
        <v>0</v>
      </c>
      <c r="V821" s="19">
        <v>0</v>
      </c>
      <c r="W821" s="13" t="s">
        <v>1563</v>
      </c>
      <c r="X821" s="14" t="s">
        <v>2573</v>
      </c>
      <c r="Y821" s="13" t="s">
        <v>2510</v>
      </c>
      <c r="Z821" s="14" t="s">
        <v>2338</v>
      </c>
      <c r="AA821" s="17">
        <v>10</v>
      </c>
      <c r="AB821" s="14" t="s">
        <v>173</v>
      </c>
      <c r="AC821" s="17">
        <v>351230000</v>
      </c>
      <c r="AD821" s="14"/>
      <c r="AE821" s="17">
        <v>325212963</v>
      </c>
      <c r="AF821" s="14" t="s">
        <v>1970</v>
      </c>
      <c r="AG821" s="21" t="s">
        <v>2511</v>
      </c>
      <c r="AH821" s="10">
        <v>203352492</v>
      </c>
      <c r="AI821" s="24" t="str">
        <f>VLOOKUP(Sales[[#This Row],[Store]],'Store lay bao  cao'!A:B,2,0)</f>
        <v>Lấy BC</v>
      </c>
      <c r="AJ821" s="24" t="str">
        <f>VLOOKUP(Sales[[#This Row],[Associate]],'Associate Status'!B:C,2,0)</f>
        <v>Active</v>
      </c>
    </row>
    <row r="822" spans="1:36" x14ac:dyDescent="0.25">
      <c r="A822" s="7">
        <v>2025</v>
      </c>
      <c r="B822" s="8">
        <v>10</v>
      </c>
      <c r="C822" s="8">
        <v>44</v>
      </c>
      <c r="D822" s="8" t="s">
        <v>63</v>
      </c>
      <c r="E822" s="8" t="s">
        <v>43</v>
      </c>
      <c r="F822" s="8" t="s">
        <v>63</v>
      </c>
      <c r="G822" s="9">
        <v>481467730</v>
      </c>
      <c r="H822" s="10">
        <v>475245000</v>
      </c>
      <c r="I822" s="11">
        <v>45958</v>
      </c>
      <c r="J822" s="12">
        <v>209322</v>
      </c>
      <c r="K822" s="13" t="s">
        <v>545</v>
      </c>
      <c r="L822" s="14" t="s">
        <v>65</v>
      </c>
      <c r="M822" s="11" t="s">
        <v>15</v>
      </c>
      <c r="N822" s="14" t="s">
        <v>62</v>
      </c>
      <c r="O822" s="15">
        <v>3500</v>
      </c>
      <c r="P822" s="12">
        <v>1</v>
      </c>
      <c r="Q822" s="13" t="s">
        <v>102</v>
      </c>
      <c r="R822" s="16">
        <v>1343540000</v>
      </c>
      <c r="S822" s="17">
        <v>1244018519</v>
      </c>
      <c r="T822" s="12">
        <v>0</v>
      </c>
      <c r="U822" s="18">
        <v>0</v>
      </c>
      <c r="V822" s="19">
        <v>0</v>
      </c>
      <c r="W822" s="13" t="s">
        <v>1563</v>
      </c>
      <c r="X822" s="14" t="s">
        <v>2574</v>
      </c>
      <c r="Y822" s="13" t="s">
        <v>2510</v>
      </c>
      <c r="Z822" s="14" t="s">
        <v>2575</v>
      </c>
      <c r="AA822" s="17">
        <v>10</v>
      </c>
      <c r="AB822" s="14" t="s">
        <v>173</v>
      </c>
      <c r="AC822" s="17">
        <v>1343540000</v>
      </c>
      <c r="AD822" s="14" t="s">
        <v>2110</v>
      </c>
      <c r="AE822" s="17">
        <v>1244018519</v>
      </c>
      <c r="AF822" s="14" t="s">
        <v>1970</v>
      </c>
      <c r="AG822" s="20" t="s">
        <v>2511</v>
      </c>
      <c r="AH822" s="10">
        <v>762550789</v>
      </c>
      <c r="AI822" s="24" t="str">
        <f>VLOOKUP(Sales[[#This Row],[Store]],'Store lay bao  cao'!A:B,2,0)</f>
        <v>Lấy BC</v>
      </c>
      <c r="AJ822" s="24" t="str">
        <f>VLOOKUP(Sales[[#This Row],[Associate]],'Associate Status'!B:C,2,0)</f>
        <v>Active</v>
      </c>
    </row>
    <row r="823" spans="1:36" x14ac:dyDescent="0.25">
      <c r="A823" s="7">
        <v>2025</v>
      </c>
      <c r="B823" s="8">
        <v>10</v>
      </c>
      <c r="C823" s="8">
        <v>44</v>
      </c>
      <c r="D823" s="8" t="s">
        <v>66</v>
      </c>
      <c r="E823" s="8" t="s">
        <v>43</v>
      </c>
      <c r="F823" s="8" t="s">
        <v>66</v>
      </c>
      <c r="G823" s="9">
        <v>148808247</v>
      </c>
      <c r="H823" s="10">
        <v>142772625</v>
      </c>
      <c r="I823" s="11">
        <v>45958</v>
      </c>
      <c r="J823" s="12">
        <v>211216</v>
      </c>
      <c r="K823" s="13" t="s">
        <v>545</v>
      </c>
      <c r="L823" s="14" t="s">
        <v>65</v>
      </c>
      <c r="M823" s="11" t="s">
        <v>15</v>
      </c>
      <c r="N823" s="14" t="s">
        <v>62</v>
      </c>
      <c r="O823" s="15">
        <v>3500</v>
      </c>
      <c r="P823" s="12">
        <v>1</v>
      </c>
      <c r="Q823" s="13" t="s">
        <v>102</v>
      </c>
      <c r="R823" s="16">
        <v>436480000</v>
      </c>
      <c r="S823" s="17">
        <v>404148148</v>
      </c>
      <c r="T823" s="12">
        <v>0</v>
      </c>
      <c r="U823" s="18">
        <v>0</v>
      </c>
      <c r="V823" s="19">
        <v>0</v>
      </c>
      <c r="W823" s="13" t="s">
        <v>1563</v>
      </c>
      <c r="X823" s="14" t="s">
        <v>2055</v>
      </c>
      <c r="Y823" s="13" t="s">
        <v>2510</v>
      </c>
      <c r="Z823" s="14" t="s">
        <v>2056</v>
      </c>
      <c r="AA823" s="17">
        <v>10</v>
      </c>
      <c r="AB823" s="14" t="s">
        <v>2339</v>
      </c>
      <c r="AC823" s="17">
        <v>436480000</v>
      </c>
      <c r="AD823" s="14" t="s">
        <v>2141</v>
      </c>
      <c r="AE823" s="17">
        <v>404148148</v>
      </c>
      <c r="AF823" s="14" t="s">
        <v>1970</v>
      </c>
      <c r="AG823" s="21" t="s">
        <v>2511</v>
      </c>
      <c r="AH823" s="10">
        <v>255339901</v>
      </c>
      <c r="AI823" s="24" t="str">
        <f>VLOOKUP(Sales[[#This Row],[Store]],'Store lay bao  cao'!A:B,2,0)</f>
        <v>Lấy BC</v>
      </c>
      <c r="AJ823" s="24" t="str">
        <f>VLOOKUP(Sales[[#This Row],[Associate]],'Associate Status'!B:C,2,0)</f>
        <v>Active</v>
      </c>
    </row>
    <row r="824" spans="1:36" x14ac:dyDescent="0.25">
      <c r="A824" s="7">
        <v>2025</v>
      </c>
      <c r="B824" s="8">
        <v>10</v>
      </c>
      <c r="C824" s="8">
        <v>44</v>
      </c>
      <c r="D824" s="8" t="s">
        <v>69</v>
      </c>
      <c r="E824" s="8" t="s">
        <v>34</v>
      </c>
      <c r="F824" s="8" t="s">
        <v>69</v>
      </c>
      <c r="G824" s="9">
        <v>89102279</v>
      </c>
      <c r="H824" s="10">
        <v>85374000</v>
      </c>
      <c r="I824" s="11">
        <v>45958</v>
      </c>
      <c r="J824" s="12">
        <v>217307</v>
      </c>
      <c r="K824" s="13" t="s">
        <v>544</v>
      </c>
      <c r="L824" s="14" t="s">
        <v>65</v>
      </c>
      <c r="M824" s="11" t="s">
        <v>15</v>
      </c>
      <c r="N824" s="14" t="s">
        <v>62</v>
      </c>
      <c r="O824" s="15">
        <v>3501</v>
      </c>
      <c r="P824" s="12">
        <v>1</v>
      </c>
      <c r="Q824" s="13" t="s">
        <v>102</v>
      </c>
      <c r="R824" s="16">
        <v>262570000</v>
      </c>
      <c r="S824" s="17">
        <v>243120370</v>
      </c>
      <c r="T824" s="12">
        <v>0</v>
      </c>
      <c r="U824" s="18">
        <v>0</v>
      </c>
      <c r="V824" s="19">
        <v>0</v>
      </c>
      <c r="W824" s="13" t="s">
        <v>2254</v>
      </c>
      <c r="X824" s="14" t="s">
        <v>2576</v>
      </c>
      <c r="Y824" s="13" t="s">
        <v>994</v>
      </c>
      <c r="Z824" s="14" t="s">
        <v>1628</v>
      </c>
      <c r="AA824" s="17">
        <v>10</v>
      </c>
      <c r="AB824" s="14" t="s">
        <v>173</v>
      </c>
      <c r="AC824" s="17">
        <v>262570000</v>
      </c>
      <c r="AD824" s="14"/>
      <c r="AE824" s="17">
        <v>243120370</v>
      </c>
      <c r="AF824" s="14" t="s">
        <v>106</v>
      </c>
      <c r="AG824" s="20"/>
      <c r="AH824" s="10">
        <v>154018091</v>
      </c>
      <c r="AI824" s="24" t="str">
        <f>VLOOKUP(Sales[[#This Row],[Store]],'Store lay bao  cao'!A:B,2,0)</f>
        <v>Lấy BC</v>
      </c>
      <c r="AJ824" s="24" t="str">
        <f>VLOOKUP(Sales[[#This Row],[Associate]],'Associate Status'!B:C,2,0)</f>
        <v>Active</v>
      </c>
    </row>
    <row r="825" spans="1:36" ht="26.25" x14ac:dyDescent="0.25">
      <c r="A825" s="7">
        <v>2025</v>
      </c>
      <c r="B825" s="8">
        <v>10</v>
      </c>
      <c r="C825" s="8">
        <v>44</v>
      </c>
      <c r="D825" s="8" t="s">
        <v>66</v>
      </c>
      <c r="E825" s="8" t="s">
        <v>53</v>
      </c>
      <c r="F825" s="8" t="s">
        <v>66</v>
      </c>
      <c r="G825" s="9">
        <v>97397754</v>
      </c>
      <c r="H825" s="10">
        <v>93190500</v>
      </c>
      <c r="I825" s="11">
        <v>45959</v>
      </c>
      <c r="J825" s="12">
        <v>210751</v>
      </c>
      <c r="K825" s="13" t="s">
        <v>546</v>
      </c>
      <c r="L825" s="14" t="s">
        <v>65</v>
      </c>
      <c r="M825" s="11" t="s">
        <v>15</v>
      </c>
      <c r="N825" s="14" t="s">
        <v>62</v>
      </c>
      <c r="O825" s="15">
        <v>3521</v>
      </c>
      <c r="P825" s="12">
        <v>1</v>
      </c>
      <c r="Q825" s="13" t="s">
        <v>2098</v>
      </c>
      <c r="R825" s="16">
        <v>323950000</v>
      </c>
      <c r="S825" s="17">
        <v>299953704</v>
      </c>
      <c r="T825" s="12">
        <v>0</v>
      </c>
      <c r="U825" s="18">
        <v>0</v>
      </c>
      <c r="V825" s="19">
        <v>0</v>
      </c>
      <c r="W825" s="13" t="s">
        <v>636</v>
      </c>
      <c r="X825" s="23" t="s">
        <v>2232</v>
      </c>
      <c r="Y825" s="13" t="s">
        <v>2127</v>
      </c>
      <c r="Z825" s="14" t="s">
        <v>1624</v>
      </c>
      <c r="AA825" s="17">
        <v>19</v>
      </c>
      <c r="AB825" s="23" t="s">
        <v>2233</v>
      </c>
      <c r="AC825" s="17">
        <v>323950000</v>
      </c>
      <c r="AD825" s="14"/>
      <c r="AE825" s="17">
        <v>299953704</v>
      </c>
      <c r="AF825" s="14" t="s">
        <v>136</v>
      </c>
      <c r="AG825" s="21" t="s">
        <v>914</v>
      </c>
      <c r="AH825" s="10">
        <v>202555950</v>
      </c>
      <c r="AI825" s="24" t="str">
        <f>VLOOKUP(Sales[[#This Row],[Store]],'Store lay bao  cao'!A:B,2,0)</f>
        <v>Lấy BC</v>
      </c>
      <c r="AJ825" s="24" t="str">
        <f>VLOOKUP(Sales[[#This Row],[Associate]],'Associate Status'!B:C,2,0)</f>
        <v>Active</v>
      </c>
    </row>
    <row r="826" spans="1:36" x14ac:dyDescent="0.25">
      <c r="A826" s="7">
        <v>2025</v>
      </c>
      <c r="B826" s="8">
        <v>11</v>
      </c>
      <c r="C826" s="8">
        <v>44</v>
      </c>
      <c r="D826" s="8" t="s">
        <v>60</v>
      </c>
      <c r="E826" s="8" t="s">
        <v>34</v>
      </c>
      <c r="F826" s="8" t="s">
        <v>60</v>
      </c>
      <c r="G826" s="9">
        <v>103548888</v>
      </c>
      <c r="H826" s="10">
        <v>100320000</v>
      </c>
      <c r="I826" s="11">
        <v>45962</v>
      </c>
      <c r="J826" s="12">
        <v>205106</v>
      </c>
      <c r="K826" s="13" t="s">
        <v>547</v>
      </c>
      <c r="L826" s="14" t="s">
        <v>64</v>
      </c>
      <c r="M826" s="11" t="s">
        <v>15</v>
      </c>
      <c r="N826" s="14" t="s">
        <v>62</v>
      </c>
      <c r="O826" s="15">
        <v>3533</v>
      </c>
      <c r="P826" s="12">
        <v>1</v>
      </c>
      <c r="Q826" s="13" t="s">
        <v>2094</v>
      </c>
      <c r="R826" s="16">
        <v>293238000</v>
      </c>
      <c r="S826" s="17">
        <v>271516667</v>
      </c>
      <c r="T826" s="12">
        <v>0</v>
      </c>
      <c r="U826" s="18">
        <v>0</v>
      </c>
      <c r="V826" s="19">
        <v>0</v>
      </c>
      <c r="W826" s="13" t="s">
        <v>1563</v>
      </c>
      <c r="X826" s="14" t="s">
        <v>2577</v>
      </c>
      <c r="Y826" s="13" t="s">
        <v>984</v>
      </c>
      <c r="Z826" s="14" t="s">
        <v>2578</v>
      </c>
      <c r="AA826" s="17">
        <v>11</v>
      </c>
      <c r="AB826" s="14" t="s">
        <v>2145</v>
      </c>
      <c r="AC826" s="17">
        <v>293238000</v>
      </c>
      <c r="AD826" s="14" t="s">
        <v>108</v>
      </c>
      <c r="AE826" s="17">
        <v>271516667</v>
      </c>
      <c r="AF826" s="14" t="s">
        <v>1970</v>
      </c>
      <c r="AG826" s="20"/>
      <c r="AH826" s="10">
        <v>167967779</v>
      </c>
      <c r="AI826" s="24" t="str">
        <f>VLOOKUP(Sales[[#This Row],[Store]],'Store lay bao  cao'!A:B,2,0)</f>
        <v>Lấy BC</v>
      </c>
      <c r="AJ826" s="24" t="str">
        <f>VLOOKUP(Sales[[#This Row],[Associate]],'Associate Status'!B:C,2,0)</f>
        <v>Active</v>
      </c>
    </row>
    <row r="827" spans="1:36" ht="90" x14ac:dyDescent="0.25">
      <c r="A827" s="7">
        <v>2025</v>
      </c>
      <c r="B827" s="8">
        <v>11</v>
      </c>
      <c r="C827" s="8">
        <v>44</v>
      </c>
      <c r="D827" s="8" t="s">
        <v>60</v>
      </c>
      <c r="E827" s="8" t="s">
        <v>34</v>
      </c>
      <c r="F827" s="8" t="s">
        <v>60</v>
      </c>
      <c r="G827" s="9">
        <v>113922153</v>
      </c>
      <c r="H827" s="10">
        <v>114127200.00000003</v>
      </c>
      <c r="I827" s="11">
        <v>45963</v>
      </c>
      <c r="J827" s="12">
        <v>202686</v>
      </c>
      <c r="K827" s="13" t="s">
        <v>548</v>
      </c>
      <c r="L827" s="14" t="s">
        <v>58</v>
      </c>
      <c r="M827" s="11" t="s">
        <v>15</v>
      </c>
      <c r="N827" s="14" t="s">
        <v>11</v>
      </c>
      <c r="O827" s="15">
        <v>3537</v>
      </c>
      <c r="P827" s="12">
        <v>1</v>
      </c>
      <c r="Q827" s="13" t="s">
        <v>2088</v>
      </c>
      <c r="R827" s="16">
        <v>429354400</v>
      </c>
      <c r="S827" s="17">
        <v>397550370</v>
      </c>
      <c r="T827" s="12">
        <v>5</v>
      </c>
      <c r="U827" s="18">
        <v>20923704</v>
      </c>
      <c r="V827" s="19">
        <v>22597600</v>
      </c>
      <c r="W827" s="13" t="s">
        <v>349</v>
      </c>
      <c r="X827" s="23" t="s">
        <v>2579</v>
      </c>
      <c r="Y827" s="13" t="s">
        <v>329</v>
      </c>
      <c r="Z827" s="14" t="s">
        <v>2580</v>
      </c>
      <c r="AA827" s="17">
        <v>19</v>
      </c>
      <c r="AB827" s="14" t="s">
        <v>1498</v>
      </c>
      <c r="AC827" s="17">
        <v>451952000</v>
      </c>
      <c r="AD827" s="14" t="s">
        <v>108</v>
      </c>
      <c r="AE827" s="17">
        <v>418474074</v>
      </c>
      <c r="AF827" s="14" t="s">
        <v>2445</v>
      </c>
      <c r="AG827" s="21" t="s">
        <v>172</v>
      </c>
      <c r="AH827" s="10">
        <v>283628217</v>
      </c>
      <c r="AI827" s="24" t="str">
        <f>VLOOKUP(Sales[[#This Row],[Store]],'Store lay bao  cao'!A:B,2,0)</f>
        <v>Lấy BC</v>
      </c>
      <c r="AJ827" s="24" t="str">
        <f>VLOOKUP(Sales[[#This Row],[Associate]],'Associate Status'!B:C,2,0)</f>
        <v>Active</v>
      </c>
    </row>
    <row r="828" spans="1:36" x14ac:dyDescent="0.25">
      <c r="A828" s="7">
        <v>2025</v>
      </c>
      <c r="B828" s="8">
        <v>11</v>
      </c>
      <c r="C828" s="8">
        <v>44</v>
      </c>
      <c r="D828" s="8" t="s">
        <v>60</v>
      </c>
      <c r="E828" s="8" t="s">
        <v>43</v>
      </c>
      <c r="F828" s="8" t="s">
        <v>60</v>
      </c>
      <c r="G828" s="9">
        <v>65412838</v>
      </c>
      <c r="H828" s="10">
        <v>65530575.000000007</v>
      </c>
      <c r="I828" s="11">
        <v>45963</v>
      </c>
      <c r="J828" s="12">
        <v>202682</v>
      </c>
      <c r="K828" s="13" t="s">
        <v>548</v>
      </c>
      <c r="L828" s="14" t="s">
        <v>58</v>
      </c>
      <c r="M828" s="11" t="s">
        <v>15</v>
      </c>
      <c r="N828" s="14" t="s">
        <v>11</v>
      </c>
      <c r="O828" s="15">
        <v>3537</v>
      </c>
      <c r="P828" s="12">
        <v>1</v>
      </c>
      <c r="Q828" s="13" t="s">
        <v>2088</v>
      </c>
      <c r="R828" s="16">
        <v>248752750</v>
      </c>
      <c r="S828" s="17">
        <v>230326620</v>
      </c>
      <c r="T828" s="12">
        <v>5</v>
      </c>
      <c r="U828" s="18">
        <v>12122454</v>
      </c>
      <c r="V828" s="19">
        <v>13092250</v>
      </c>
      <c r="W828" s="13" t="s">
        <v>349</v>
      </c>
      <c r="X828" s="14" t="s">
        <v>2581</v>
      </c>
      <c r="Y828" s="13" t="s">
        <v>329</v>
      </c>
      <c r="Z828" s="14" t="s">
        <v>2582</v>
      </c>
      <c r="AA828" s="17">
        <v>19</v>
      </c>
      <c r="AB828" s="14" t="s">
        <v>1498</v>
      </c>
      <c r="AC828" s="17">
        <v>261845000</v>
      </c>
      <c r="AD828" s="14" t="s">
        <v>2149</v>
      </c>
      <c r="AE828" s="17">
        <v>242449074</v>
      </c>
      <c r="AF828" s="14" t="s">
        <v>2445</v>
      </c>
      <c r="AG828" s="20" t="s">
        <v>172</v>
      </c>
      <c r="AH828" s="10">
        <v>164913782</v>
      </c>
      <c r="AI828" s="24" t="str">
        <f>VLOOKUP(Sales[[#This Row],[Store]],'Store lay bao  cao'!A:B,2,0)</f>
        <v>Lấy BC</v>
      </c>
      <c r="AJ828" s="24" t="str">
        <f>VLOOKUP(Sales[[#This Row],[Associate]],'Associate Status'!B:C,2,0)</f>
        <v>Active</v>
      </c>
    </row>
    <row r="829" spans="1:36" x14ac:dyDescent="0.25">
      <c r="A829" s="7">
        <v>2025</v>
      </c>
      <c r="B829" s="8">
        <v>11</v>
      </c>
      <c r="C829" s="8">
        <v>44</v>
      </c>
      <c r="D829" s="8" t="s">
        <v>60</v>
      </c>
      <c r="E829" s="8" t="s">
        <v>37</v>
      </c>
      <c r="F829" s="8" t="s">
        <v>60</v>
      </c>
      <c r="G829" s="9">
        <v>98105670</v>
      </c>
      <c r="H829" s="10">
        <v>98282250</v>
      </c>
      <c r="I829" s="11">
        <v>45963</v>
      </c>
      <c r="J829" s="12">
        <v>202685</v>
      </c>
      <c r="K829" s="13" t="s">
        <v>548</v>
      </c>
      <c r="L829" s="14" t="s">
        <v>58</v>
      </c>
      <c r="M829" s="11" t="s">
        <v>15</v>
      </c>
      <c r="N829" s="14" t="s">
        <v>11</v>
      </c>
      <c r="O829" s="15">
        <v>3537</v>
      </c>
      <c r="P829" s="12">
        <v>1</v>
      </c>
      <c r="Q829" s="13" t="s">
        <v>2088</v>
      </c>
      <c r="R829" s="16">
        <v>372552950</v>
      </c>
      <c r="S829" s="17">
        <v>344956435</v>
      </c>
      <c r="T829" s="12">
        <v>5</v>
      </c>
      <c r="U829" s="18">
        <v>18155602</v>
      </c>
      <c r="V829" s="19">
        <v>19608050</v>
      </c>
      <c r="W829" s="13" t="s">
        <v>349</v>
      </c>
      <c r="X829" s="14" t="s">
        <v>2583</v>
      </c>
      <c r="Y829" s="13" t="s">
        <v>329</v>
      </c>
      <c r="Z829" s="14" t="s">
        <v>2584</v>
      </c>
      <c r="AA829" s="17">
        <v>19</v>
      </c>
      <c r="AB829" s="14" t="s">
        <v>1498</v>
      </c>
      <c r="AC829" s="17">
        <v>392161000</v>
      </c>
      <c r="AD829" s="14" t="s">
        <v>2597</v>
      </c>
      <c r="AE829" s="17">
        <v>363112037</v>
      </c>
      <c r="AF829" s="14" t="s">
        <v>2445</v>
      </c>
      <c r="AG829" s="21" t="s">
        <v>172</v>
      </c>
      <c r="AH829" s="10">
        <v>246850765</v>
      </c>
      <c r="AI829" s="24" t="str">
        <f>VLOOKUP(Sales[[#This Row],[Store]],'Store lay bao  cao'!A:B,2,0)</f>
        <v>Lấy BC</v>
      </c>
      <c r="AJ829" s="24" t="str">
        <f>VLOOKUP(Sales[[#This Row],[Associate]],'Associate Status'!B:C,2,0)</f>
        <v>Active</v>
      </c>
    </row>
    <row r="830" spans="1:36" x14ac:dyDescent="0.25">
      <c r="A830" s="7">
        <v>2025</v>
      </c>
      <c r="B830" s="8">
        <v>11</v>
      </c>
      <c r="C830" s="8">
        <v>45</v>
      </c>
      <c r="D830" s="8" t="s">
        <v>69</v>
      </c>
      <c r="E830" s="8" t="s">
        <v>37</v>
      </c>
      <c r="F830" s="8" t="s">
        <v>69</v>
      </c>
      <c r="G830" s="9">
        <v>132576416</v>
      </c>
      <c r="H830" s="10">
        <v>123723000</v>
      </c>
      <c r="I830" s="11">
        <v>45966</v>
      </c>
      <c r="J830" s="12">
        <v>217087</v>
      </c>
      <c r="K830" s="13" t="s">
        <v>551</v>
      </c>
      <c r="L830" s="14" t="s">
        <v>58</v>
      </c>
      <c r="M830" s="11" t="s">
        <v>15</v>
      </c>
      <c r="N830" s="14" t="s">
        <v>62</v>
      </c>
      <c r="O830" s="15">
        <v>3551</v>
      </c>
      <c r="P830" s="12">
        <v>1</v>
      </c>
      <c r="Q830" s="13" t="s">
        <v>2094</v>
      </c>
      <c r="R830" s="16">
        <v>538563840</v>
      </c>
      <c r="S830" s="17">
        <v>498670222</v>
      </c>
      <c r="T830" s="12">
        <v>0</v>
      </c>
      <c r="U830" s="18">
        <v>0</v>
      </c>
      <c r="V830" s="19">
        <v>0</v>
      </c>
      <c r="W830" s="13" t="s">
        <v>349</v>
      </c>
      <c r="X830" s="14" t="s">
        <v>2310</v>
      </c>
      <c r="Y830" s="13" t="s">
        <v>2585</v>
      </c>
      <c r="Z830" s="14" t="s">
        <v>2586</v>
      </c>
      <c r="AA830" s="17">
        <v>10</v>
      </c>
      <c r="AB830" s="14" t="s">
        <v>1337</v>
      </c>
      <c r="AC830" s="17">
        <v>538563840</v>
      </c>
      <c r="AD830" s="14" t="s">
        <v>2097</v>
      </c>
      <c r="AE830" s="17">
        <v>498670222</v>
      </c>
      <c r="AF830" s="14" t="s">
        <v>1970</v>
      </c>
      <c r="AG830" s="20" t="s">
        <v>300</v>
      </c>
      <c r="AH830" s="10">
        <v>366093806</v>
      </c>
      <c r="AI830" s="24" t="str">
        <f>VLOOKUP(Sales[[#This Row],[Store]],'Store lay bao  cao'!A:B,2,0)</f>
        <v>Lấy BC</v>
      </c>
      <c r="AJ830" s="24" t="str">
        <f>VLOOKUP(Sales[[#This Row],[Associate]],'Associate Status'!B:C,2,0)</f>
        <v>Active</v>
      </c>
    </row>
    <row r="831" spans="1:36" x14ac:dyDescent="0.25">
      <c r="A831" s="7">
        <v>2025</v>
      </c>
      <c r="B831" s="8">
        <v>11</v>
      </c>
      <c r="C831" s="8">
        <v>45</v>
      </c>
      <c r="D831" s="8" t="s">
        <v>66</v>
      </c>
      <c r="E831" s="8" t="s">
        <v>34</v>
      </c>
      <c r="F831" s="8" t="s">
        <v>66</v>
      </c>
      <c r="G831" s="9">
        <v>13570970</v>
      </c>
      <c r="H831" s="10">
        <v>13009500</v>
      </c>
      <c r="I831" s="11">
        <v>45967</v>
      </c>
      <c r="J831" s="12">
        <v>214606</v>
      </c>
      <c r="K831" s="13" t="s">
        <v>553</v>
      </c>
      <c r="L831" s="14" t="s">
        <v>58</v>
      </c>
      <c r="M831" s="11" t="s">
        <v>15</v>
      </c>
      <c r="N831" s="14" t="s">
        <v>62</v>
      </c>
      <c r="O831" s="15">
        <v>3557</v>
      </c>
      <c r="P831" s="12">
        <v>1</v>
      </c>
      <c r="Q831" s="13" t="s">
        <v>102</v>
      </c>
      <c r="R831" s="16">
        <v>59781120</v>
      </c>
      <c r="S831" s="17">
        <v>55352889</v>
      </c>
      <c r="T831" s="12">
        <v>0</v>
      </c>
      <c r="U831" s="18">
        <v>0</v>
      </c>
      <c r="V831" s="19">
        <v>0</v>
      </c>
      <c r="W831" s="13" t="s">
        <v>2444</v>
      </c>
      <c r="X831" s="14" t="s">
        <v>2587</v>
      </c>
      <c r="Y831" s="13" t="s">
        <v>2154</v>
      </c>
      <c r="Z831" s="14" t="s">
        <v>1350</v>
      </c>
      <c r="AA831" s="17">
        <v>10</v>
      </c>
      <c r="AB831" s="14" t="s">
        <v>1337</v>
      </c>
      <c r="AC831" s="17">
        <v>59781120</v>
      </c>
      <c r="AD831" s="14"/>
      <c r="AE831" s="17">
        <v>55352889</v>
      </c>
      <c r="AF831" s="14" t="s">
        <v>1970</v>
      </c>
      <c r="AG831" s="21"/>
      <c r="AH831" s="10">
        <v>41781919</v>
      </c>
      <c r="AI831" s="24" t="str">
        <f>VLOOKUP(Sales[[#This Row],[Store]],'Store lay bao  cao'!A:B,2,0)</f>
        <v>Lấy BC</v>
      </c>
      <c r="AJ831" s="24" t="str">
        <f>VLOOKUP(Sales[[#This Row],[Associate]],'Associate Status'!B:C,2,0)</f>
        <v>Active</v>
      </c>
    </row>
    <row r="832" spans="1:36" x14ac:dyDescent="0.25">
      <c r="A832" s="7">
        <v>2025</v>
      </c>
      <c r="B832" s="8">
        <v>11</v>
      </c>
      <c r="C832" s="8">
        <v>46</v>
      </c>
      <c r="D832" s="8" t="s">
        <v>60</v>
      </c>
      <c r="E832" s="8" t="s">
        <v>37</v>
      </c>
      <c r="F832" s="8" t="s">
        <v>60</v>
      </c>
      <c r="G832" s="9">
        <v>18183848</v>
      </c>
      <c r="H832" s="10">
        <v>19242630</v>
      </c>
      <c r="I832" s="11">
        <v>45971</v>
      </c>
      <c r="J832" s="12">
        <v>206898</v>
      </c>
      <c r="K832" s="13" t="s">
        <v>555</v>
      </c>
      <c r="L832" s="14" t="s">
        <v>58</v>
      </c>
      <c r="M832" s="11" t="s">
        <v>15</v>
      </c>
      <c r="N832" s="14" t="s">
        <v>11</v>
      </c>
      <c r="O832" s="15">
        <v>3574</v>
      </c>
      <c r="P832" s="12">
        <v>1</v>
      </c>
      <c r="Q832" s="13" t="s">
        <v>102</v>
      </c>
      <c r="R832" s="16">
        <v>78264000</v>
      </c>
      <c r="S832" s="17">
        <v>72466667</v>
      </c>
      <c r="T832" s="12">
        <v>0</v>
      </c>
      <c r="U832" s="18">
        <v>0</v>
      </c>
      <c r="V832" s="19">
        <v>0</v>
      </c>
      <c r="W832" s="13" t="s">
        <v>1563</v>
      </c>
      <c r="X832" s="14" t="s">
        <v>2588</v>
      </c>
      <c r="Y832" s="13" t="s">
        <v>2154</v>
      </c>
      <c r="Z832" s="14" t="s">
        <v>1125</v>
      </c>
      <c r="AA832" s="17">
        <v>10</v>
      </c>
      <c r="AB832" s="14" t="s">
        <v>1498</v>
      </c>
      <c r="AC832" s="17">
        <v>78264000</v>
      </c>
      <c r="AD832" s="14" t="s">
        <v>2598</v>
      </c>
      <c r="AE832" s="17">
        <v>72466667</v>
      </c>
      <c r="AF832" s="14" t="s">
        <v>1970</v>
      </c>
      <c r="AG832" s="20"/>
      <c r="AH832" s="10">
        <v>54282819</v>
      </c>
      <c r="AI832" s="24" t="str">
        <f>VLOOKUP(Sales[[#This Row],[Store]],'Store lay bao  cao'!A:B,2,0)</f>
        <v>Lấy BC</v>
      </c>
      <c r="AJ832" s="24" t="str">
        <f>VLOOKUP(Sales[[#This Row],[Associate]],'Associate Status'!B:C,2,0)</f>
        <v>Active</v>
      </c>
    </row>
    <row r="833" spans="1:36" x14ac:dyDescent="0.25">
      <c r="A833" s="7">
        <v>2025</v>
      </c>
      <c r="B833" s="8">
        <v>11</v>
      </c>
      <c r="C833" s="8">
        <v>46</v>
      </c>
      <c r="D833" s="8" t="s">
        <v>63</v>
      </c>
      <c r="E833" s="8" t="s">
        <v>43</v>
      </c>
      <c r="F833" s="8" t="s">
        <v>63</v>
      </c>
      <c r="G833" s="9">
        <v>28826223</v>
      </c>
      <c r="H833" s="10">
        <v>23161000</v>
      </c>
      <c r="I833" s="11">
        <v>45972</v>
      </c>
      <c r="J833" s="12">
        <v>210769</v>
      </c>
      <c r="K833" s="13" t="s">
        <v>622</v>
      </c>
      <c r="L833" s="14" t="s">
        <v>59</v>
      </c>
      <c r="M833" s="11" t="s">
        <v>17</v>
      </c>
      <c r="N833" s="14" t="s">
        <v>11</v>
      </c>
      <c r="O833" s="15">
        <v>2316</v>
      </c>
      <c r="P833" s="12">
        <v>1</v>
      </c>
      <c r="Q833" s="13" t="s">
        <v>2098</v>
      </c>
      <c r="R833" s="16">
        <v>62182250</v>
      </c>
      <c r="S833" s="17">
        <v>57576157</v>
      </c>
      <c r="T833" s="12">
        <v>5</v>
      </c>
      <c r="U833" s="18">
        <v>3030324</v>
      </c>
      <c r="V833" s="19">
        <v>3272750</v>
      </c>
      <c r="W833" s="13" t="s">
        <v>635</v>
      </c>
      <c r="X833" s="14" t="s">
        <v>2589</v>
      </c>
      <c r="Y833" s="13" t="s">
        <v>2194</v>
      </c>
      <c r="Z833" s="14" t="s">
        <v>2590</v>
      </c>
      <c r="AA833" s="17">
        <v>13</v>
      </c>
      <c r="AB833" s="14" t="s">
        <v>1951</v>
      </c>
      <c r="AC833" s="17">
        <v>65455000</v>
      </c>
      <c r="AD833" s="14" t="s">
        <v>2337</v>
      </c>
      <c r="AE833" s="17">
        <v>60606481</v>
      </c>
      <c r="AF833" s="14" t="s">
        <v>2089</v>
      </c>
      <c r="AG833" s="21" t="s">
        <v>309</v>
      </c>
      <c r="AH833" s="10">
        <v>28749934</v>
      </c>
      <c r="AI833" s="24" t="str">
        <f>VLOOKUP(Sales[[#This Row],[Store]],'Store lay bao  cao'!A:B,2,0)</f>
        <v>Lấy BC</v>
      </c>
      <c r="AJ833" s="24" t="str">
        <f>VLOOKUP(Sales[[#This Row],[Associate]],'Associate Status'!B:C,2,0)</f>
        <v>Active</v>
      </c>
    </row>
    <row r="834" spans="1:36" x14ac:dyDescent="0.25">
      <c r="A834" s="7">
        <v>2025</v>
      </c>
      <c r="B834" s="8">
        <v>11</v>
      </c>
      <c r="C834" s="8">
        <v>46</v>
      </c>
      <c r="D834" s="8" t="s">
        <v>60</v>
      </c>
      <c r="E834" s="8" t="s">
        <v>37</v>
      </c>
      <c r="F834" s="8" t="s">
        <v>60</v>
      </c>
      <c r="G834" s="9">
        <v>3064181</v>
      </c>
      <c r="H834" s="10">
        <v>2850000</v>
      </c>
      <c r="I834" s="11">
        <v>45972</v>
      </c>
      <c r="J834" s="12">
        <v>208307</v>
      </c>
      <c r="K834" s="13" t="s">
        <v>622</v>
      </c>
      <c r="L834" s="14" t="s">
        <v>50</v>
      </c>
      <c r="M834" s="11" t="s">
        <v>17</v>
      </c>
      <c r="N834" s="14" t="s">
        <v>11</v>
      </c>
      <c r="O834" s="15">
        <v>2316</v>
      </c>
      <c r="P834" s="12">
        <v>1</v>
      </c>
      <c r="Q834" s="13" t="s">
        <v>2098</v>
      </c>
      <c r="R834" s="16">
        <v>10670400</v>
      </c>
      <c r="S834" s="17">
        <v>9880000</v>
      </c>
      <c r="T834" s="12">
        <v>10</v>
      </c>
      <c r="U834" s="18">
        <v>1097778</v>
      </c>
      <c r="V834" s="19">
        <v>1185600</v>
      </c>
      <c r="W834" s="13" t="s">
        <v>635</v>
      </c>
      <c r="X834" s="14" t="s">
        <v>2591</v>
      </c>
      <c r="Y834" s="13" t="s">
        <v>2194</v>
      </c>
      <c r="Z834" s="14" t="s">
        <v>2592</v>
      </c>
      <c r="AA834" s="17">
        <v>13</v>
      </c>
      <c r="AB834" s="14" t="s">
        <v>1897</v>
      </c>
      <c r="AC834" s="17">
        <v>11856000</v>
      </c>
      <c r="AD834" s="14" t="s">
        <v>108</v>
      </c>
      <c r="AE834" s="17">
        <v>10977778</v>
      </c>
      <c r="AF834" s="14" t="s">
        <v>2089</v>
      </c>
      <c r="AG834" s="20" t="s">
        <v>309</v>
      </c>
      <c r="AH834" s="10">
        <v>6815819</v>
      </c>
      <c r="AI834" s="24" t="str">
        <f>VLOOKUP(Sales[[#This Row],[Store]],'Store lay bao  cao'!A:B,2,0)</f>
        <v>Lấy BC</v>
      </c>
      <c r="AJ834" s="24" t="str">
        <f>VLOOKUP(Sales[[#This Row],[Associate]],'Associate Status'!B:C,2,0)</f>
        <v>Active</v>
      </c>
    </row>
    <row r="835" spans="1:36" x14ac:dyDescent="0.25">
      <c r="A835" s="7">
        <v>2025</v>
      </c>
      <c r="B835" s="8">
        <v>11</v>
      </c>
      <c r="C835" s="8">
        <v>47</v>
      </c>
      <c r="D835" s="8" t="s">
        <v>63</v>
      </c>
      <c r="E835" s="8" t="s">
        <v>37</v>
      </c>
      <c r="F835" s="8" t="s">
        <v>63</v>
      </c>
      <c r="G835" s="9">
        <v>2409440</v>
      </c>
      <c r="H835" s="10">
        <v>2344592.4</v>
      </c>
      <c r="I835" s="11">
        <v>45979</v>
      </c>
      <c r="J835" s="12">
        <v>205026</v>
      </c>
      <c r="K835" s="13" t="s">
        <v>821</v>
      </c>
      <c r="L835" s="14" t="s">
        <v>47</v>
      </c>
      <c r="M835" s="11" t="s">
        <v>21</v>
      </c>
      <c r="N835" s="14" t="s">
        <v>62</v>
      </c>
      <c r="O835" s="15">
        <v>5296</v>
      </c>
      <c r="P835" s="12">
        <v>1</v>
      </c>
      <c r="Q835" s="13" t="s">
        <v>2098</v>
      </c>
      <c r="R835" s="16">
        <v>14068000</v>
      </c>
      <c r="S835" s="17">
        <v>13025926</v>
      </c>
      <c r="T835" s="12">
        <v>0</v>
      </c>
      <c r="U835" s="18">
        <v>0</v>
      </c>
      <c r="V835" s="19">
        <v>0</v>
      </c>
      <c r="W835" s="13" t="s">
        <v>2172</v>
      </c>
      <c r="X835" s="14" t="s">
        <v>2599</v>
      </c>
      <c r="Y835" s="13" t="s">
        <v>2211</v>
      </c>
      <c r="Z835" s="14" t="s">
        <v>2153</v>
      </c>
      <c r="AA835" s="17">
        <v>18</v>
      </c>
      <c r="AB835" s="14" t="s">
        <v>2600</v>
      </c>
      <c r="AC835" s="17">
        <v>14068000</v>
      </c>
      <c r="AD835" s="14" t="s">
        <v>2097</v>
      </c>
      <c r="AE835" s="17">
        <v>13025926</v>
      </c>
      <c r="AF835" s="14" t="s">
        <v>255</v>
      </c>
      <c r="AG835" s="21" t="s">
        <v>281</v>
      </c>
      <c r="AH835" s="10">
        <v>10616486</v>
      </c>
      <c r="AI835" s="24" t="str">
        <f>VLOOKUP(Sales[[#This Row],[Store]],'Store lay bao  cao'!A:B,2,0)</f>
        <v>Lấy BC</v>
      </c>
      <c r="AJ835" s="24" t="str">
        <f>VLOOKUP(Sales[[#This Row],[Associate]],'Associate Status'!B:C,2,0)</f>
        <v>Active</v>
      </c>
    </row>
    <row r="836" spans="1:36" x14ac:dyDescent="0.25">
      <c r="A836" s="7">
        <v>2025</v>
      </c>
      <c r="B836" s="8">
        <v>11</v>
      </c>
      <c r="C836" s="8">
        <v>47</v>
      </c>
      <c r="D836" s="8" t="s">
        <v>63</v>
      </c>
      <c r="E836" s="8" t="s">
        <v>37</v>
      </c>
      <c r="F836" s="8" t="s">
        <v>63</v>
      </c>
      <c r="G836" s="9">
        <v>1321732</v>
      </c>
      <c r="H836" s="10">
        <v>1121326.8</v>
      </c>
      <c r="I836" s="11">
        <v>45979</v>
      </c>
      <c r="J836" s="12">
        <v>205035</v>
      </c>
      <c r="K836" s="13" t="s">
        <v>821</v>
      </c>
      <c r="L836" s="14" t="s">
        <v>47</v>
      </c>
      <c r="M836" s="11" t="s">
        <v>21</v>
      </c>
      <c r="N836" s="14" t="s">
        <v>62</v>
      </c>
      <c r="O836" s="15">
        <v>5296</v>
      </c>
      <c r="P836" s="12">
        <v>1</v>
      </c>
      <c r="Q836" s="13" t="s">
        <v>2098</v>
      </c>
      <c r="R836" s="16">
        <v>6728000</v>
      </c>
      <c r="S836" s="17">
        <v>6229630</v>
      </c>
      <c r="T836" s="12">
        <v>0</v>
      </c>
      <c r="U836" s="18">
        <v>0</v>
      </c>
      <c r="V836" s="19">
        <v>0</v>
      </c>
      <c r="W836" s="13" t="s">
        <v>2172</v>
      </c>
      <c r="X836" s="14" t="s">
        <v>1559</v>
      </c>
      <c r="Y836" s="13" t="s">
        <v>2211</v>
      </c>
      <c r="Z836" s="14" t="s">
        <v>2093</v>
      </c>
      <c r="AA836" s="17">
        <v>18</v>
      </c>
      <c r="AB836" s="14" t="s">
        <v>1511</v>
      </c>
      <c r="AC836" s="17">
        <v>6728000</v>
      </c>
      <c r="AD836" s="14" t="s">
        <v>2097</v>
      </c>
      <c r="AE836" s="17">
        <v>6229630</v>
      </c>
      <c r="AF836" s="14" t="s">
        <v>255</v>
      </c>
      <c r="AG836" s="20" t="s">
        <v>281</v>
      </c>
      <c r="AH836" s="10">
        <v>4907898</v>
      </c>
      <c r="AI836" s="24" t="str">
        <f>VLOOKUP(Sales[[#This Row],[Store]],'Store lay bao  cao'!A:B,2,0)</f>
        <v>Lấy BC</v>
      </c>
      <c r="AJ836" s="24" t="str">
        <f>VLOOKUP(Sales[[#This Row],[Associate]],'Associate Status'!B:C,2,0)</f>
        <v>Active</v>
      </c>
    </row>
    <row r="837" spans="1:36" x14ac:dyDescent="0.25">
      <c r="A837" s="7">
        <v>2025</v>
      </c>
      <c r="B837" s="8">
        <v>11</v>
      </c>
      <c r="C837" s="8">
        <v>47</v>
      </c>
      <c r="D837" s="8" t="s">
        <v>63</v>
      </c>
      <c r="E837" s="8" t="s">
        <v>37</v>
      </c>
      <c r="F837" s="8" t="s">
        <v>63</v>
      </c>
      <c r="G837" s="9">
        <v>1620996</v>
      </c>
      <c r="H837" s="10">
        <v>1478112.5999999999</v>
      </c>
      <c r="I837" s="11">
        <v>45979</v>
      </c>
      <c r="J837" s="12">
        <v>205015</v>
      </c>
      <c r="K837" s="13" t="s">
        <v>821</v>
      </c>
      <c r="L837" s="14" t="s">
        <v>47</v>
      </c>
      <c r="M837" s="11" t="s">
        <v>21</v>
      </c>
      <c r="N837" s="14" t="s">
        <v>62</v>
      </c>
      <c r="O837" s="15">
        <v>5296</v>
      </c>
      <c r="P837" s="12">
        <v>1</v>
      </c>
      <c r="Q837" s="13" t="s">
        <v>2098</v>
      </c>
      <c r="R837" s="16">
        <v>8869000</v>
      </c>
      <c r="S837" s="17">
        <v>8212037</v>
      </c>
      <c r="T837" s="12">
        <v>0</v>
      </c>
      <c r="U837" s="18">
        <v>0</v>
      </c>
      <c r="V837" s="19">
        <v>0</v>
      </c>
      <c r="W837" s="13" t="s">
        <v>2172</v>
      </c>
      <c r="X837" s="14" t="s">
        <v>1559</v>
      </c>
      <c r="Y837" s="13" t="s">
        <v>2211</v>
      </c>
      <c r="Z837" s="14" t="s">
        <v>2383</v>
      </c>
      <c r="AA837" s="17">
        <v>18</v>
      </c>
      <c r="AB837" s="14" t="s">
        <v>1511</v>
      </c>
      <c r="AC837" s="17">
        <v>8869000</v>
      </c>
      <c r="AD837" s="14" t="s">
        <v>2097</v>
      </c>
      <c r="AE837" s="17">
        <v>8212037</v>
      </c>
      <c r="AF837" s="14" t="s">
        <v>255</v>
      </c>
      <c r="AG837" s="21" t="s">
        <v>281</v>
      </c>
      <c r="AH837" s="10">
        <v>6591041</v>
      </c>
      <c r="AI837" s="24" t="str">
        <f>VLOOKUP(Sales[[#This Row],[Store]],'Store lay bao  cao'!A:B,2,0)</f>
        <v>Lấy BC</v>
      </c>
      <c r="AJ837" s="24" t="str">
        <f>VLOOKUP(Sales[[#This Row],[Associate]],'Associate Status'!B:C,2,0)</f>
        <v>Active</v>
      </c>
    </row>
    <row r="838" spans="1:36" x14ac:dyDescent="0.25">
      <c r="A838" s="7">
        <v>2025</v>
      </c>
      <c r="B838" s="8">
        <v>11</v>
      </c>
      <c r="C838" s="8">
        <v>48</v>
      </c>
      <c r="D838" s="8" t="s">
        <v>69</v>
      </c>
      <c r="E838" s="8" t="s">
        <v>34</v>
      </c>
      <c r="F838" s="8" t="s">
        <v>69</v>
      </c>
      <c r="G838" s="9">
        <v>163790954</v>
      </c>
      <c r="H838" s="10">
        <v>156937500</v>
      </c>
      <c r="I838" s="11">
        <v>45985</v>
      </c>
      <c r="J838" s="12">
        <v>217312</v>
      </c>
      <c r="K838" s="13" t="s">
        <v>559</v>
      </c>
      <c r="L838" s="14" t="s">
        <v>65</v>
      </c>
      <c r="M838" s="11" t="s">
        <v>15</v>
      </c>
      <c r="N838" s="14" t="s">
        <v>62</v>
      </c>
      <c r="O838" s="15">
        <v>3651</v>
      </c>
      <c r="P838" s="12">
        <v>1</v>
      </c>
      <c r="Q838" s="13" t="s">
        <v>2094</v>
      </c>
      <c r="R838" s="16">
        <v>420000000</v>
      </c>
      <c r="S838" s="17">
        <v>388888889</v>
      </c>
      <c r="T838" s="12">
        <v>1.47</v>
      </c>
      <c r="U838" s="18">
        <v>5787037</v>
      </c>
      <c r="V838" s="19">
        <v>6250000</v>
      </c>
      <c r="W838" s="13" t="s">
        <v>2254</v>
      </c>
      <c r="X838" s="14" t="s">
        <v>2601</v>
      </c>
      <c r="Y838" s="13" t="s">
        <v>2152</v>
      </c>
      <c r="Z838" s="14" t="s">
        <v>2602</v>
      </c>
      <c r="AA838" s="17">
        <v>10</v>
      </c>
      <c r="AB838" s="14" t="s">
        <v>173</v>
      </c>
      <c r="AC838" s="17">
        <v>426250000</v>
      </c>
      <c r="AD838" s="14"/>
      <c r="AE838" s="17">
        <v>394675926</v>
      </c>
      <c r="AF838" s="14" t="s">
        <v>106</v>
      </c>
      <c r="AG838" s="20" t="s">
        <v>448</v>
      </c>
      <c r="AH838" s="10">
        <v>225097935</v>
      </c>
      <c r="AI838" s="24" t="str">
        <f>VLOOKUP(Sales[[#This Row],[Store]],'Store lay bao  cao'!A:B,2,0)</f>
        <v>Lấy BC</v>
      </c>
      <c r="AJ838" s="24" t="str">
        <f>VLOOKUP(Sales[[#This Row],[Associate]],'Associate Status'!B:C,2,0)</f>
        <v>Active</v>
      </c>
    </row>
    <row r="839" spans="1:36" x14ac:dyDescent="0.25">
      <c r="A839" s="7">
        <v>2025</v>
      </c>
      <c r="B839" s="8">
        <v>11</v>
      </c>
      <c r="C839" s="8">
        <v>48</v>
      </c>
      <c r="D839" s="8" t="s">
        <v>60</v>
      </c>
      <c r="E839" s="8" t="s">
        <v>34</v>
      </c>
      <c r="F839" s="8" t="s">
        <v>60</v>
      </c>
      <c r="G839" s="9">
        <v>79474542</v>
      </c>
      <c r="H839" s="10">
        <v>77199375</v>
      </c>
      <c r="I839" s="11">
        <v>45989</v>
      </c>
      <c r="J839" s="12">
        <v>205089</v>
      </c>
      <c r="K839" s="13" t="s">
        <v>1428</v>
      </c>
      <c r="L839" s="14" t="s">
        <v>64</v>
      </c>
      <c r="M839" s="11" t="s">
        <v>15</v>
      </c>
      <c r="N839" s="14" t="s">
        <v>62</v>
      </c>
      <c r="O839" s="15">
        <v>3702</v>
      </c>
      <c r="P839" s="12">
        <v>1</v>
      </c>
      <c r="Q839" s="13" t="s">
        <v>2098</v>
      </c>
      <c r="R839" s="16">
        <v>228461000</v>
      </c>
      <c r="S839" s="17">
        <v>211537963</v>
      </c>
      <c r="T839" s="12">
        <v>0</v>
      </c>
      <c r="U839" s="18">
        <v>0</v>
      </c>
      <c r="V839" s="19">
        <v>0</v>
      </c>
      <c r="W839" s="13" t="s">
        <v>1563</v>
      </c>
      <c r="X839" s="14" t="s">
        <v>1564</v>
      </c>
      <c r="Y839" s="13" t="s">
        <v>2603</v>
      </c>
      <c r="Z839" s="14" t="s">
        <v>1565</v>
      </c>
      <c r="AA839" s="17">
        <v>15</v>
      </c>
      <c r="AB839" s="14" t="s">
        <v>2145</v>
      </c>
      <c r="AC839" s="17">
        <v>228461000</v>
      </c>
      <c r="AD839" s="14" t="s">
        <v>108</v>
      </c>
      <c r="AE839" s="17">
        <v>211537963</v>
      </c>
      <c r="AF839" s="14" t="s">
        <v>278</v>
      </c>
      <c r="AG839" s="21" t="s">
        <v>389</v>
      </c>
      <c r="AH839" s="10">
        <v>132063421</v>
      </c>
      <c r="AI839" s="24" t="str">
        <f>VLOOKUP(Sales[[#This Row],[Store]],'Store lay bao  cao'!A:B,2,0)</f>
        <v>Lấy BC</v>
      </c>
      <c r="AJ839" s="24" t="str">
        <f>VLOOKUP(Sales[[#This Row],[Associate]],'Associate Status'!B:C,2,0)</f>
        <v>Active</v>
      </c>
    </row>
    <row r="840" spans="1:36" x14ac:dyDescent="0.25">
      <c r="A840" s="7">
        <v>2025</v>
      </c>
      <c r="B840" s="8">
        <v>11</v>
      </c>
      <c r="C840" s="8">
        <v>48</v>
      </c>
      <c r="D840" s="8" t="s">
        <v>63</v>
      </c>
      <c r="E840" s="8" t="s">
        <v>34</v>
      </c>
      <c r="F840" s="8" t="s">
        <v>63</v>
      </c>
      <c r="G840" s="9">
        <v>26398751</v>
      </c>
      <c r="H840" s="10">
        <v>21210600.000000004</v>
      </c>
      <c r="I840" s="11">
        <v>45990</v>
      </c>
      <c r="J840" s="12">
        <v>210765</v>
      </c>
      <c r="K840" s="13" t="s">
        <v>564</v>
      </c>
      <c r="L840" s="14" t="s">
        <v>59</v>
      </c>
      <c r="M840" s="11" t="s">
        <v>15</v>
      </c>
      <c r="N840" s="14" t="s">
        <v>11</v>
      </c>
      <c r="O840" s="15">
        <v>3709</v>
      </c>
      <c r="P840" s="12">
        <v>1</v>
      </c>
      <c r="Q840" s="13" t="s">
        <v>102</v>
      </c>
      <c r="R840" s="16">
        <v>64554000</v>
      </c>
      <c r="S840" s="17">
        <v>59772222</v>
      </c>
      <c r="T840" s="12">
        <v>0</v>
      </c>
      <c r="U840" s="18">
        <v>0</v>
      </c>
      <c r="V840" s="19">
        <v>0</v>
      </c>
      <c r="W840" s="13" t="s">
        <v>349</v>
      </c>
      <c r="X840" s="14" t="s">
        <v>2604</v>
      </c>
      <c r="Y840" s="13" t="s">
        <v>265</v>
      </c>
      <c r="Z840" s="14" t="s">
        <v>2605</v>
      </c>
      <c r="AA840" s="17">
        <v>10</v>
      </c>
      <c r="AB840" s="14" t="s">
        <v>1951</v>
      </c>
      <c r="AC840" s="17">
        <v>64554000</v>
      </c>
      <c r="AD840" s="14" t="s">
        <v>108</v>
      </c>
      <c r="AE840" s="17">
        <v>59772222</v>
      </c>
      <c r="AF840" s="14" t="s">
        <v>136</v>
      </c>
      <c r="AG840" s="20" t="s">
        <v>266</v>
      </c>
      <c r="AH840" s="10">
        <v>33373471</v>
      </c>
      <c r="AI840" s="24" t="str">
        <f>VLOOKUP(Sales[[#This Row],[Store]],'Store lay bao  cao'!A:B,2,0)</f>
        <v>Lấy BC</v>
      </c>
      <c r="AJ840" s="24" t="str">
        <f>VLOOKUP(Sales[[#This Row],[Associate]],'Associate Status'!B:C,2,0)</f>
        <v>Active</v>
      </c>
    </row>
    <row r="841" spans="1:36" x14ac:dyDescent="0.25">
      <c r="A841" s="7">
        <v>2025</v>
      </c>
      <c r="B841" s="8">
        <v>11</v>
      </c>
      <c r="C841" s="8">
        <v>48</v>
      </c>
      <c r="D841" s="8" t="s">
        <v>63</v>
      </c>
      <c r="E841" s="8" t="s">
        <v>43</v>
      </c>
      <c r="F841" s="8" t="s">
        <v>63</v>
      </c>
      <c r="G841" s="9">
        <v>108263388</v>
      </c>
      <c r="H841" s="10">
        <v>110000000</v>
      </c>
      <c r="I841" s="11">
        <v>45991</v>
      </c>
      <c r="J841" s="12">
        <v>205070</v>
      </c>
      <c r="K841" s="13" t="s">
        <v>568</v>
      </c>
      <c r="L841" s="14" t="s">
        <v>55</v>
      </c>
      <c r="M841" s="11" t="s">
        <v>15</v>
      </c>
      <c r="N841" s="14" t="s">
        <v>62</v>
      </c>
      <c r="O841" s="15">
        <v>3730</v>
      </c>
      <c r="P841" s="12">
        <v>1</v>
      </c>
      <c r="Q841" s="13" t="s">
        <v>102</v>
      </c>
      <c r="R841" s="16">
        <v>363732000</v>
      </c>
      <c r="S841" s="17">
        <v>336788889</v>
      </c>
      <c r="T841" s="12">
        <v>0</v>
      </c>
      <c r="U841" s="18">
        <v>0</v>
      </c>
      <c r="V841" s="19">
        <v>0</v>
      </c>
      <c r="W841" s="13" t="s">
        <v>349</v>
      </c>
      <c r="X841" s="14" t="s">
        <v>2606</v>
      </c>
      <c r="Y841" s="13" t="s">
        <v>984</v>
      </c>
      <c r="Z841" s="14" t="s">
        <v>2607</v>
      </c>
      <c r="AA841" s="17">
        <v>18</v>
      </c>
      <c r="AB841" s="14" t="s">
        <v>2608</v>
      </c>
      <c r="AC841" s="17">
        <v>363732000</v>
      </c>
      <c r="AD841" s="14" t="s">
        <v>2178</v>
      </c>
      <c r="AE841" s="17">
        <v>336788889</v>
      </c>
      <c r="AF841" s="14" t="s">
        <v>1970</v>
      </c>
      <c r="AG841" s="21"/>
      <c r="AH841" s="10">
        <v>228525501</v>
      </c>
      <c r="AI841" s="24" t="str">
        <f>VLOOKUP(Sales[[#This Row],[Store]],'Store lay bao  cao'!A:B,2,0)</f>
        <v>Lấy BC</v>
      </c>
      <c r="AJ841" s="24" t="str">
        <f>VLOOKUP(Sales[[#This Row],[Associate]],'Associate Status'!B:C,2,0)</f>
        <v>Active</v>
      </c>
    </row>
    <row r="842" spans="1:36" ht="102.75" x14ac:dyDescent="0.25">
      <c r="A842" s="7">
        <v>2025</v>
      </c>
      <c r="B842" s="8">
        <v>12</v>
      </c>
      <c r="C842" s="8">
        <v>49</v>
      </c>
      <c r="D842" s="8" t="s">
        <v>63</v>
      </c>
      <c r="E842" s="8" t="s">
        <v>34</v>
      </c>
      <c r="F842" s="8" t="s">
        <v>63</v>
      </c>
      <c r="G842" s="9">
        <v>34788304</v>
      </c>
      <c r="H842" s="10">
        <v>35337500</v>
      </c>
      <c r="I842" s="11">
        <v>45992</v>
      </c>
      <c r="J842" s="12">
        <v>205077</v>
      </c>
      <c r="K842" s="13" t="s">
        <v>567</v>
      </c>
      <c r="L842" s="14" t="s">
        <v>55</v>
      </c>
      <c r="M842" s="11" t="s">
        <v>15</v>
      </c>
      <c r="N842" s="14" t="s">
        <v>62</v>
      </c>
      <c r="O842" s="15">
        <v>3742</v>
      </c>
      <c r="P842" s="12">
        <v>1</v>
      </c>
      <c r="Q842" s="13" t="s">
        <v>102</v>
      </c>
      <c r="R842" s="16">
        <v>119423550</v>
      </c>
      <c r="S842" s="17">
        <v>110577361</v>
      </c>
      <c r="T842" s="12">
        <v>5</v>
      </c>
      <c r="U842" s="18">
        <v>5819861</v>
      </c>
      <c r="V842" s="19">
        <v>6285450</v>
      </c>
      <c r="W842" s="13" t="s">
        <v>1563</v>
      </c>
      <c r="X842" s="23" t="s">
        <v>2609</v>
      </c>
      <c r="Y842" s="13" t="s">
        <v>329</v>
      </c>
      <c r="Z842" s="14" t="s">
        <v>2610</v>
      </c>
      <c r="AA842" s="17">
        <v>19</v>
      </c>
      <c r="AB842" s="23" t="s">
        <v>2611</v>
      </c>
      <c r="AC842" s="17">
        <v>125709000</v>
      </c>
      <c r="AD842" s="14" t="s">
        <v>108</v>
      </c>
      <c r="AE842" s="17">
        <v>116397222</v>
      </c>
      <c r="AF842" s="14" t="s">
        <v>1970</v>
      </c>
      <c r="AG842" s="20" t="s">
        <v>172</v>
      </c>
      <c r="AH842" s="10">
        <v>75789057</v>
      </c>
      <c r="AI842" s="24" t="str">
        <f>VLOOKUP(Sales[[#This Row],[Store]],'Store lay bao  cao'!A:B,2,0)</f>
        <v>Lấy BC</v>
      </c>
      <c r="AJ842" s="24" t="str">
        <f>VLOOKUP(Sales[[#This Row],[Associate]],'Associate Status'!B:C,2,0)</f>
        <v>Active</v>
      </c>
    </row>
    <row r="843" spans="1:36" x14ac:dyDescent="0.25">
      <c r="A843" s="7">
        <v>2025</v>
      </c>
      <c r="B843" s="8">
        <v>12</v>
      </c>
      <c r="C843" s="8">
        <v>49</v>
      </c>
      <c r="D843" s="8" t="s">
        <v>63</v>
      </c>
      <c r="E843" s="8" t="s">
        <v>43</v>
      </c>
      <c r="F843" s="8" t="s">
        <v>63</v>
      </c>
      <c r="G843" s="9">
        <v>30989154</v>
      </c>
      <c r="H843" s="10">
        <v>31487500</v>
      </c>
      <c r="I843" s="11">
        <v>45992</v>
      </c>
      <c r="J843" s="12">
        <v>205076</v>
      </c>
      <c r="K843" s="13" t="s">
        <v>567</v>
      </c>
      <c r="L843" s="14" t="s">
        <v>55</v>
      </c>
      <c r="M843" s="11" t="s">
        <v>15</v>
      </c>
      <c r="N843" s="14" t="s">
        <v>62</v>
      </c>
      <c r="O843" s="15">
        <v>3742</v>
      </c>
      <c r="P843" s="12">
        <v>1</v>
      </c>
      <c r="Q843" s="13" t="s">
        <v>102</v>
      </c>
      <c r="R843" s="16">
        <v>109215800</v>
      </c>
      <c r="S843" s="17">
        <v>101125741</v>
      </c>
      <c r="T843" s="12">
        <v>5</v>
      </c>
      <c r="U843" s="18">
        <v>5322407</v>
      </c>
      <c r="V843" s="19">
        <v>5748200</v>
      </c>
      <c r="W843" s="13" t="s">
        <v>1563</v>
      </c>
      <c r="X843" s="14" t="s">
        <v>2612</v>
      </c>
      <c r="Y843" s="13" t="s">
        <v>329</v>
      </c>
      <c r="Z843" s="14" t="s">
        <v>2613</v>
      </c>
      <c r="AA843" s="17">
        <v>19</v>
      </c>
      <c r="AB843" s="14" t="s">
        <v>2611</v>
      </c>
      <c r="AC843" s="17">
        <v>114964000</v>
      </c>
      <c r="AD843" s="14" t="s">
        <v>2230</v>
      </c>
      <c r="AE843" s="17">
        <v>106448148</v>
      </c>
      <c r="AF843" s="14" t="s">
        <v>1970</v>
      </c>
      <c r="AG843" s="21" t="s">
        <v>172</v>
      </c>
      <c r="AH843" s="10">
        <v>70136587</v>
      </c>
      <c r="AI843" s="24" t="str">
        <f>VLOOKUP(Sales[[#This Row],[Store]],'Store lay bao  cao'!A:B,2,0)</f>
        <v>Lấy BC</v>
      </c>
      <c r="AJ843" s="24" t="str">
        <f>VLOOKUP(Sales[[#This Row],[Associate]],'Associate Status'!B:C,2,0)</f>
        <v>Active</v>
      </c>
    </row>
    <row r="844" spans="1:36" x14ac:dyDescent="0.25">
      <c r="A844" s="7">
        <v>2025</v>
      </c>
      <c r="B844" s="8">
        <v>12</v>
      </c>
      <c r="C844" s="8">
        <v>49</v>
      </c>
      <c r="D844" s="8" t="s">
        <v>57</v>
      </c>
      <c r="E844" s="8" t="s">
        <v>34</v>
      </c>
      <c r="F844" s="8" t="s">
        <v>57</v>
      </c>
      <c r="G844" s="9">
        <v>37008358</v>
      </c>
      <c r="H844" s="10">
        <v>33957000</v>
      </c>
      <c r="I844" s="11">
        <v>45992</v>
      </c>
      <c r="J844" s="12">
        <v>193282</v>
      </c>
      <c r="K844" s="13" t="s">
        <v>2633</v>
      </c>
      <c r="L844" s="14" t="s">
        <v>58</v>
      </c>
      <c r="M844" s="11" t="s">
        <v>17</v>
      </c>
      <c r="N844" s="14" t="s">
        <v>11</v>
      </c>
      <c r="O844" s="15">
        <v>2397</v>
      </c>
      <c r="P844" s="12">
        <v>1</v>
      </c>
      <c r="Q844" s="13" t="s">
        <v>2088</v>
      </c>
      <c r="R844" s="16">
        <v>152210560</v>
      </c>
      <c r="S844" s="17">
        <v>140935704</v>
      </c>
      <c r="T844" s="12">
        <v>0</v>
      </c>
      <c r="U844" s="18">
        <v>0</v>
      </c>
      <c r="V844" s="19">
        <v>0</v>
      </c>
      <c r="W844" s="13" t="s">
        <v>635</v>
      </c>
      <c r="X844" s="14" t="s">
        <v>2634</v>
      </c>
      <c r="Y844" s="13" t="s">
        <v>2211</v>
      </c>
      <c r="Z844" s="14" t="s">
        <v>2635</v>
      </c>
      <c r="AA844" s="17">
        <v>20</v>
      </c>
      <c r="AB844" s="14" t="s">
        <v>1337</v>
      </c>
      <c r="AC844" s="17">
        <v>152210560</v>
      </c>
      <c r="AD844" s="14" t="s">
        <v>108</v>
      </c>
      <c r="AE844" s="17">
        <v>140935704</v>
      </c>
      <c r="AF844" s="14" t="s">
        <v>129</v>
      </c>
      <c r="AG844" s="20" t="s">
        <v>281</v>
      </c>
      <c r="AH844" s="10">
        <v>103927346</v>
      </c>
      <c r="AI844" s="24" t="str">
        <f>VLOOKUP(Sales[[#This Row],[Store]],'Store lay bao  cao'!A:B,2,0)</f>
        <v>Lấy BC</v>
      </c>
      <c r="AJ844" s="24" t="str">
        <f>VLOOKUP(Sales[[#This Row],[Associate]],'Associate Status'!B:C,2,0)</f>
        <v>Active</v>
      </c>
    </row>
    <row r="845" spans="1:36" x14ac:dyDescent="0.25">
      <c r="A845" s="7">
        <v>2025</v>
      </c>
      <c r="B845" s="8">
        <v>12</v>
      </c>
      <c r="C845" s="8">
        <v>49</v>
      </c>
      <c r="D845" s="8" t="s">
        <v>66</v>
      </c>
      <c r="E845" s="8" t="s">
        <v>34</v>
      </c>
      <c r="F845" s="8" t="s">
        <v>66</v>
      </c>
      <c r="G845" s="9">
        <v>242772904</v>
      </c>
      <c r="H845" s="10">
        <v>237755250</v>
      </c>
      <c r="I845" s="11">
        <v>45996</v>
      </c>
      <c r="J845" s="12">
        <v>216112</v>
      </c>
      <c r="K845" s="13" t="s">
        <v>565</v>
      </c>
      <c r="L845" s="14" t="s">
        <v>65</v>
      </c>
      <c r="M845" s="11" t="s">
        <v>15</v>
      </c>
      <c r="N845" s="14" t="s">
        <v>62</v>
      </c>
      <c r="O845" s="15">
        <v>3760</v>
      </c>
      <c r="P845" s="12">
        <v>1</v>
      </c>
      <c r="Q845" s="13" t="s">
        <v>102</v>
      </c>
      <c r="R845" s="16">
        <v>732899000</v>
      </c>
      <c r="S845" s="17">
        <v>678610185</v>
      </c>
      <c r="T845" s="12">
        <v>0</v>
      </c>
      <c r="U845" s="18">
        <v>0</v>
      </c>
      <c r="V845" s="19">
        <v>0</v>
      </c>
      <c r="W845" s="13" t="s">
        <v>1563</v>
      </c>
      <c r="X845" s="14" t="s">
        <v>2614</v>
      </c>
      <c r="Y845" s="13" t="s">
        <v>2615</v>
      </c>
      <c r="Z845" s="14" t="s">
        <v>2616</v>
      </c>
      <c r="AA845" s="17">
        <v>11</v>
      </c>
      <c r="AB845" s="14" t="s">
        <v>2617</v>
      </c>
      <c r="AC845" s="17">
        <v>270000000</v>
      </c>
      <c r="AD845" s="14" t="s">
        <v>924</v>
      </c>
      <c r="AE845" s="17">
        <v>250000000</v>
      </c>
      <c r="AF845" s="14" t="s">
        <v>1970</v>
      </c>
      <c r="AG845" s="21" t="s">
        <v>2618</v>
      </c>
      <c r="AH845" s="10">
        <v>435837281</v>
      </c>
      <c r="AI845" s="24" t="str">
        <f>VLOOKUP(Sales[[#This Row],[Store]],'Store lay bao  cao'!A:B,2,0)</f>
        <v>Lấy BC</v>
      </c>
      <c r="AJ845" s="24" t="str">
        <f>VLOOKUP(Sales[[#This Row],[Associate]],'Associate Status'!B:C,2,0)</f>
        <v>Active</v>
      </c>
    </row>
    <row r="846" spans="1:36" x14ac:dyDescent="0.25">
      <c r="A846" s="7">
        <v>2025</v>
      </c>
      <c r="B846" s="8">
        <v>12</v>
      </c>
      <c r="C846" s="8">
        <v>49</v>
      </c>
      <c r="D846" s="8" t="s">
        <v>69</v>
      </c>
      <c r="E846" s="8" t="s">
        <v>43</v>
      </c>
      <c r="F846" s="8" t="s">
        <v>69</v>
      </c>
      <c r="G846" s="9">
        <v>186066526</v>
      </c>
      <c r="H846" s="10">
        <v>178281000</v>
      </c>
      <c r="I846" s="11">
        <v>45996</v>
      </c>
      <c r="J846" s="12">
        <v>217311</v>
      </c>
      <c r="K846" s="13" t="s">
        <v>565</v>
      </c>
      <c r="L846" s="14" t="s">
        <v>65</v>
      </c>
      <c r="M846" s="11" t="s">
        <v>15</v>
      </c>
      <c r="N846" s="14" t="s">
        <v>62</v>
      </c>
      <c r="O846" s="15">
        <v>3760</v>
      </c>
      <c r="P846" s="12">
        <v>1</v>
      </c>
      <c r="Q846" s="13" t="s">
        <v>102</v>
      </c>
      <c r="R846" s="16">
        <v>504680000</v>
      </c>
      <c r="S846" s="17">
        <v>467296296</v>
      </c>
      <c r="T846" s="12">
        <v>0</v>
      </c>
      <c r="U846" s="18">
        <v>0</v>
      </c>
      <c r="V846" s="19">
        <v>0</v>
      </c>
      <c r="W846" s="13" t="s">
        <v>1563</v>
      </c>
      <c r="X846" s="14" t="s">
        <v>2619</v>
      </c>
      <c r="Y846" s="13" t="s">
        <v>2615</v>
      </c>
      <c r="Z846" s="14" t="s">
        <v>2620</v>
      </c>
      <c r="AA846" s="17">
        <v>11</v>
      </c>
      <c r="AB846" s="14" t="s">
        <v>173</v>
      </c>
      <c r="AC846" s="17">
        <v>210000000</v>
      </c>
      <c r="AD846" s="14" t="s">
        <v>2432</v>
      </c>
      <c r="AE846" s="17">
        <v>194444444</v>
      </c>
      <c r="AF846" s="14" t="s">
        <v>1970</v>
      </c>
      <c r="AG846" s="20" t="s">
        <v>2618</v>
      </c>
      <c r="AH846" s="10">
        <v>281229770</v>
      </c>
      <c r="AI846" s="24" t="str">
        <f>VLOOKUP(Sales[[#This Row],[Store]],'Store lay bao  cao'!A:B,2,0)</f>
        <v>Lấy BC</v>
      </c>
      <c r="AJ846" s="24" t="str">
        <f>VLOOKUP(Sales[[#This Row],[Associate]],'Associate Status'!B:C,2,0)</f>
        <v>Active</v>
      </c>
    </row>
    <row r="847" spans="1:36" x14ac:dyDescent="0.25">
      <c r="A847" s="7">
        <v>2025</v>
      </c>
      <c r="B847" s="8">
        <v>12</v>
      </c>
      <c r="C847" s="8">
        <v>49</v>
      </c>
      <c r="D847" s="8" t="s">
        <v>2593</v>
      </c>
      <c r="E847" s="8" t="s">
        <v>61</v>
      </c>
      <c r="F847" s="8" t="s">
        <v>71</v>
      </c>
      <c r="G847" s="9">
        <v>41739327</v>
      </c>
      <c r="H847" s="10">
        <v>40465100</v>
      </c>
      <c r="I847" s="11">
        <v>45998</v>
      </c>
      <c r="J847" s="12">
        <v>222534</v>
      </c>
      <c r="K847" s="13" t="s">
        <v>566</v>
      </c>
      <c r="L847" s="14" t="s">
        <v>65</v>
      </c>
      <c r="M847" s="11" t="s">
        <v>15</v>
      </c>
      <c r="N847" s="14" t="s">
        <v>62</v>
      </c>
      <c r="O847" s="15">
        <v>3767</v>
      </c>
      <c r="P847" s="12">
        <v>1</v>
      </c>
      <c r="Q847" s="13" t="s">
        <v>102</v>
      </c>
      <c r="R847" s="16">
        <v>109120000</v>
      </c>
      <c r="S847" s="17">
        <v>101037037</v>
      </c>
      <c r="T847" s="12">
        <v>0</v>
      </c>
      <c r="U847" s="18">
        <v>0</v>
      </c>
      <c r="V847" s="19">
        <v>0</v>
      </c>
      <c r="W847" s="13" t="s">
        <v>636</v>
      </c>
      <c r="X847" s="14" t="s">
        <v>2621</v>
      </c>
      <c r="Y847" s="13" t="s">
        <v>2510</v>
      </c>
      <c r="Z847" s="14" t="s">
        <v>2622</v>
      </c>
      <c r="AA847" s="17">
        <v>10</v>
      </c>
      <c r="AB847" s="14" t="s">
        <v>2623</v>
      </c>
      <c r="AC847" s="17">
        <v>109120000</v>
      </c>
      <c r="AD847" s="14" t="s">
        <v>2097</v>
      </c>
      <c r="AE847" s="17">
        <v>101037037</v>
      </c>
      <c r="AF847" s="14" t="s">
        <v>1970</v>
      </c>
      <c r="AG847" s="21" t="s">
        <v>2511</v>
      </c>
      <c r="AH847" s="10">
        <v>59297710</v>
      </c>
      <c r="AI847" s="24" t="str">
        <f>VLOOKUP(Sales[[#This Row],[Store]],'Store lay bao  cao'!A:B,2,0)</f>
        <v>Lấy BC</v>
      </c>
      <c r="AJ847" s="24" t="str">
        <f>VLOOKUP(Sales[[#This Row],[Associate]],'Associate Status'!B:C,2,0)</f>
        <v>Active</v>
      </c>
    </row>
    <row r="848" spans="1:36" x14ac:dyDescent="0.25">
      <c r="A848" s="7">
        <v>2025</v>
      </c>
      <c r="B848" s="8">
        <v>12</v>
      </c>
      <c r="C848" s="8">
        <v>49</v>
      </c>
      <c r="D848" s="8" t="s">
        <v>2593</v>
      </c>
      <c r="E848" s="8" t="s">
        <v>61</v>
      </c>
      <c r="F848" s="8" t="s">
        <v>71</v>
      </c>
      <c r="G848" s="9">
        <v>41739327</v>
      </c>
      <c r="H848" s="10">
        <v>40465100</v>
      </c>
      <c r="I848" s="11">
        <v>45998</v>
      </c>
      <c r="J848" s="12">
        <v>222535</v>
      </c>
      <c r="K848" s="13" t="s">
        <v>566</v>
      </c>
      <c r="L848" s="14" t="s">
        <v>65</v>
      </c>
      <c r="M848" s="11" t="s">
        <v>15</v>
      </c>
      <c r="N848" s="14" t="s">
        <v>62</v>
      </c>
      <c r="O848" s="15">
        <v>3767</v>
      </c>
      <c r="P848" s="12">
        <v>1</v>
      </c>
      <c r="Q848" s="13" t="s">
        <v>102</v>
      </c>
      <c r="R848" s="16">
        <v>109120000</v>
      </c>
      <c r="S848" s="17">
        <v>101037037</v>
      </c>
      <c r="T848" s="12">
        <v>0</v>
      </c>
      <c r="U848" s="18">
        <v>0</v>
      </c>
      <c r="V848" s="19">
        <v>0</v>
      </c>
      <c r="W848" s="13" t="s">
        <v>636</v>
      </c>
      <c r="X848" s="14" t="s">
        <v>2624</v>
      </c>
      <c r="Y848" s="13" t="s">
        <v>2510</v>
      </c>
      <c r="Z848" s="14" t="s">
        <v>2625</v>
      </c>
      <c r="AA848" s="17">
        <v>10</v>
      </c>
      <c r="AB848" s="14" t="s">
        <v>2623</v>
      </c>
      <c r="AC848" s="17">
        <v>109120000</v>
      </c>
      <c r="AD848" s="14" t="s">
        <v>2097</v>
      </c>
      <c r="AE848" s="17">
        <v>101037037</v>
      </c>
      <c r="AF848" s="14" t="s">
        <v>1970</v>
      </c>
      <c r="AG848" s="20" t="s">
        <v>2511</v>
      </c>
      <c r="AH848" s="10">
        <v>59297710</v>
      </c>
      <c r="AI848" s="24" t="str">
        <f>VLOOKUP(Sales[[#This Row],[Store]],'Store lay bao  cao'!A:B,2,0)</f>
        <v>Lấy BC</v>
      </c>
      <c r="AJ848" s="24" t="str">
        <f>VLOOKUP(Sales[[#This Row],[Associate]],'Associate Status'!B:C,2,0)</f>
        <v>Active</v>
      </c>
    </row>
    <row r="849" spans="1:36" x14ac:dyDescent="0.25">
      <c r="A849" s="7">
        <v>2025</v>
      </c>
      <c r="B849" s="8">
        <v>12</v>
      </c>
      <c r="C849" s="8">
        <v>50</v>
      </c>
      <c r="D849" s="8" t="s">
        <v>63</v>
      </c>
      <c r="E849" s="8" t="s">
        <v>37</v>
      </c>
      <c r="F849" s="8" t="s">
        <v>63</v>
      </c>
      <c r="G849" s="9">
        <v>1620996</v>
      </c>
      <c r="H849" s="10">
        <v>1478112.5999999999</v>
      </c>
      <c r="I849" s="11">
        <v>46000</v>
      </c>
      <c r="J849" s="12">
        <v>205022</v>
      </c>
      <c r="K849" s="13" t="s">
        <v>825</v>
      </c>
      <c r="L849" s="14" t="s">
        <v>47</v>
      </c>
      <c r="M849" s="11" t="s">
        <v>21</v>
      </c>
      <c r="N849" s="14" t="s">
        <v>62</v>
      </c>
      <c r="O849" s="15">
        <v>5639</v>
      </c>
      <c r="P849" s="12">
        <v>1</v>
      </c>
      <c r="Q849" s="13" t="s">
        <v>2098</v>
      </c>
      <c r="R849" s="16">
        <v>8869000</v>
      </c>
      <c r="S849" s="17">
        <v>8212037</v>
      </c>
      <c r="T849" s="12">
        <v>0</v>
      </c>
      <c r="U849" s="18">
        <v>0</v>
      </c>
      <c r="V849" s="19">
        <v>0</v>
      </c>
      <c r="W849" s="13" t="s">
        <v>865</v>
      </c>
      <c r="X849" s="14" t="s">
        <v>911</v>
      </c>
      <c r="Y849" s="13" t="s">
        <v>2636</v>
      </c>
      <c r="Z849" s="14" t="s">
        <v>2095</v>
      </c>
      <c r="AA849" s="17">
        <v>20</v>
      </c>
      <c r="AB849" s="14" t="s">
        <v>2637</v>
      </c>
      <c r="AC849" s="17">
        <v>8869000</v>
      </c>
      <c r="AD849" s="14" t="s">
        <v>2097</v>
      </c>
      <c r="AE849" s="17">
        <v>8212037</v>
      </c>
      <c r="AF849" s="14" t="s">
        <v>752</v>
      </c>
      <c r="AG849" s="21" t="s">
        <v>2638</v>
      </c>
      <c r="AH849" s="10">
        <v>6591041</v>
      </c>
      <c r="AI849" s="24" t="str">
        <f>VLOOKUP(Sales[[#This Row],[Store]],'Store lay bao  cao'!A:B,2,0)</f>
        <v>Lấy BC</v>
      </c>
      <c r="AJ849" s="24" t="str">
        <f>VLOOKUP(Sales[[#This Row],[Associate]],'Associate Status'!B:C,2,0)</f>
        <v>Retired</v>
      </c>
    </row>
    <row r="850" spans="1:36" x14ac:dyDescent="0.25">
      <c r="A850" s="7">
        <v>2025</v>
      </c>
      <c r="B850" s="8">
        <v>12</v>
      </c>
      <c r="C850" s="8">
        <v>50</v>
      </c>
      <c r="D850" s="8" t="s">
        <v>63</v>
      </c>
      <c r="E850" s="8" t="s">
        <v>37</v>
      </c>
      <c r="F850" s="8" t="s">
        <v>63</v>
      </c>
      <c r="G850" s="9">
        <v>1190323</v>
      </c>
      <c r="H850" s="10">
        <v>968418.6</v>
      </c>
      <c r="I850" s="11">
        <v>46000</v>
      </c>
      <c r="J850" s="12">
        <v>205032</v>
      </c>
      <c r="K850" s="13" t="s">
        <v>825</v>
      </c>
      <c r="L850" s="14" t="s">
        <v>47</v>
      </c>
      <c r="M850" s="11" t="s">
        <v>21</v>
      </c>
      <c r="N850" s="14" t="s">
        <v>62</v>
      </c>
      <c r="O850" s="15">
        <v>5639</v>
      </c>
      <c r="P850" s="12">
        <v>1</v>
      </c>
      <c r="Q850" s="13" t="s">
        <v>2098</v>
      </c>
      <c r="R850" s="16">
        <v>5811000</v>
      </c>
      <c r="S850" s="17">
        <v>5380556</v>
      </c>
      <c r="T850" s="12">
        <v>0</v>
      </c>
      <c r="U850" s="18">
        <v>0</v>
      </c>
      <c r="V850" s="19">
        <v>0</v>
      </c>
      <c r="W850" s="13" t="s">
        <v>865</v>
      </c>
      <c r="X850" s="14" t="s">
        <v>904</v>
      </c>
      <c r="Y850" s="13" t="s">
        <v>2636</v>
      </c>
      <c r="Z850" s="14" t="s">
        <v>2114</v>
      </c>
      <c r="AA850" s="17">
        <v>20</v>
      </c>
      <c r="AB850" s="14" t="s">
        <v>2639</v>
      </c>
      <c r="AC850" s="17">
        <v>5811000</v>
      </c>
      <c r="AD850" s="14" t="s">
        <v>2097</v>
      </c>
      <c r="AE850" s="17">
        <v>5380556</v>
      </c>
      <c r="AF850" s="14" t="s">
        <v>752</v>
      </c>
      <c r="AG850" s="20" t="s">
        <v>2638</v>
      </c>
      <c r="AH850" s="10">
        <v>4190233</v>
      </c>
      <c r="AI850" s="24" t="str">
        <f>VLOOKUP(Sales[[#This Row],[Store]],'Store lay bao  cao'!A:B,2,0)</f>
        <v>Lấy BC</v>
      </c>
      <c r="AJ850" s="24" t="str">
        <f>VLOOKUP(Sales[[#This Row],[Associate]],'Associate Status'!B:C,2,0)</f>
        <v>Retired</v>
      </c>
    </row>
    <row r="851" spans="1:36" x14ac:dyDescent="0.25">
      <c r="A851" s="7">
        <v>2025</v>
      </c>
      <c r="B851" s="8">
        <v>12</v>
      </c>
      <c r="C851" s="8">
        <v>50</v>
      </c>
      <c r="D851" s="8" t="s">
        <v>63</v>
      </c>
      <c r="E851" s="8" t="s">
        <v>37</v>
      </c>
      <c r="F851" s="8" t="s">
        <v>63</v>
      </c>
      <c r="G851" s="9">
        <v>1620996</v>
      </c>
      <c r="H851" s="10">
        <v>1478112.5999999999</v>
      </c>
      <c r="I851" s="11">
        <v>46000</v>
      </c>
      <c r="J851" s="12">
        <v>205027</v>
      </c>
      <c r="K851" s="13" t="s">
        <v>825</v>
      </c>
      <c r="L851" s="14" t="s">
        <v>47</v>
      </c>
      <c r="M851" s="11" t="s">
        <v>21</v>
      </c>
      <c r="N851" s="14" t="s">
        <v>62</v>
      </c>
      <c r="O851" s="15">
        <v>5639</v>
      </c>
      <c r="P851" s="12">
        <v>1</v>
      </c>
      <c r="Q851" s="13" t="s">
        <v>2098</v>
      </c>
      <c r="R851" s="16">
        <v>8869000</v>
      </c>
      <c r="S851" s="17">
        <v>8212037</v>
      </c>
      <c r="T851" s="12">
        <v>0</v>
      </c>
      <c r="U851" s="18">
        <v>0</v>
      </c>
      <c r="V851" s="19">
        <v>0</v>
      </c>
      <c r="W851" s="13" t="s">
        <v>865</v>
      </c>
      <c r="X851" s="14" t="s">
        <v>1559</v>
      </c>
      <c r="Y851" s="13" t="s">
        <v>2636</v>
      </c>
      <c r="Z851" s="14" t="s">
        <v>2124</v>
      </c>
      <c r="AA851" s="17">
        <v>20</v>
      </c>
      <c r="AB851" s="14" t="s">
        <v>1511</v>
      </c>
      <c r="AC851" s="17">
        <v>8869000</v>
      </c>
      <c r="AD851" s="14" t="s">
        <v>2097</v>
      </c>
      <c r="AE851" s="17">
        <v>8212037</v>
      </c>
      <c r="AF851" s="14" t="s">
        <v>752</v>
      </c>
      <c r="AG851" s="21" t="s">
        <v>2638</v>
      </c>
      <c r="AH851" s="10">
        <v>6591041</v>
      </c>
      <c r="AI851" s="24" t="str">
        <f>VLOOKUP(Sales[[#This Row],[Store]],'Store lay bao  cao'!A:B,2,0)</f>
        <v>Lấy BC</v>
      </c>
      <c r="AJ851" s="24" t="str">
        <f>VLOOKUP(Sales[[#This Row],[Associate]],'Associate Status'!B:C,2,0)</f>
        <v>Retired</v>
      </c>
    </row>
    <row r="852" spans="1:36" x14ac:dyDescent="0.25">
      <c r="A852" s="7">
        <v>2025</v>
      </c>
      <c r="B852" s="8">
        <v>12</v>
      </c>
      <c r="C852" s="8">
        <v>51</v>
      </c>
      <c r="D852" s="8" t="s">
        <v>66</v>
      </c>
      <c r="E852" s="8" t="s">
        <v>43</v>
      </c>
      <c r="F852" s="8" t="s">
        <v>66</v>
      </c>
      <c r="G852" s="9">
        <v>35489834</v>
      </c>
      <c r="H852" s="10">
        <v>34050375</v>
      </c>
      <c r="I852" s="11">
        <v>46009</v>
      </c>
      <c r="J852" s="12">
        <v>211223</v>
      </c>
      <c r="K852" s="13" t="s">
        <v>652</v>
      </c>
      <c r="L852" s="14" t="s">
        <v>65</v>
      </c>
      <c r="M852" s="11" t="s">
        <v>17</v>
      </c>
      <c r="N852" s="14" t="s">
        <v>62</v>
      </c>
      <c r="O852" s="15">
        <v>2454</v>
      </c>
      <c r="P852" s="12">
        <v>1</v>
      </c>
      <c r="Q852" s="13" t="s">
        <v>2098</v>
      </c>
      <c r="R852" s="16">
        <v>102044250</v>
      </c>
      <c r="S852" s="17">
        <v>94485417</v>
      </c>
      <c r="T852" s="12">
        <v>5</v>
      </c>
      <c r="U852" s="18">
        <v>4972917</v>
      </c>
      <c r="V852" s="19">
        <v>5370750</v>
      </c>
      <c r="W852" s="13" t="s">
        <v>2157</v>
      </c>
      <c r="X852" s="14" t="s">
        <v>2640</v>
      </c>
      <c r="Y852" s="13" t="s">
        <v>2142</v>
      </c>
      <c r="Z852" s="14" t="s">
        <v>2641</v>
      </c>
      <c r="AA852" s="17">
        <v>12</v>
      </c>
      <c r="AB852" s="14" t="s">
        <v>2642</v>
      </c>
      <c r="AC852" s="17">
        <v>107415000</v>
      </c>
      <c r="AD852" s="14" t="s">
        <v>2110</v>
      </c>
      <c r="AE852" s="17">
        <v>99458333</v>
      </c>
      <c r="AF852" s="14" t="s">
        <v>2089</v>
      </c>
      <c r="AG852" s="20" t="s">
        <v>186</v>
      </c>
      <c r="AH852" s="10">
        <v>58995583</v>
      </c>
      <c r="AI852" s="24" t="str">
        <f>VLOOKUP(Sales[[#This Row],[Store]],'Store lay bao  cao'!A:B,2,0)</f>
        <v>Lấy BC</v>
      </c>
      <c r="AJ852" s="24" t="str">
        <f>VLOOKUP(Sales[[#This Row],[Associate]],'Associate Status'!B:C,2,0)</f>
        <v>Active</v>
      </c>
    </row>
    <row r="853" spans="1:36" x14ac:dyDescent="0.25">
      <c r="A853" s="7">
        <v>2025</v>
      </c>
      <c r="B853" s="8">
        <v>12</v>
      </c>
      <c r="C853" s="8">
        <v>51</v>
      </c>
      <c r="D853" s="8" t="s">
        <v>66</v>
      </c>
      <c r="E853" s="8" t="s">
        <v>43</v>
      </c>
      <c r="F853" s="8" t="s">
        <v>66</v>
      </c>
      <c r="G853" s="9">
        <v>35489834</v>
      </c>
      <c r="H853" s="10">
        <v>34050375</v>
      </c>
      <c r="I853" s="11">
        <v>46009</v>
      </c>
      <c r="J853" s="12">
        <v>211222</v>
      </c>
      <c r="K853" s="13" t="s">
        <v>652</v>
      </c>
      <c r="L853" s="14" t="s">
        <v>65</v>
      </c>
      <c r="M853" s="11" t="s">
        <v>17</v>
      </c>
      <c r="N853" s="14" t="s">
        <v>62</v>
      </c>
      <c r="O853" s="15">
        <v>2454</v>
      </c>
      <c r="P853" s="12">
        <v>1</v>
      </c>
      <c r="Q853" s="13" t="s">
        <v>2098</v>
      </c>
      <c r="R853" s="16">
        <v>102044250</v>
      </c>
      <c r="S853" s="17">
        <v>94485417</v>
      </c>
      <c r="T853" s="12">
        <v>5</v>
      </c>
      <c r="U853" s="18">
        <v>4972917</v>
      </c>
      <c r="V853" s="19">
        <v>5370750</v>
      </c>
      <c r="W853" s="13" t="s">
        <v>2157</v>
      </c>
      <c r="X853" s="14" t="s">
        <v>2640</v>
      </c>
      <c r="Y853" s="13" t="s">
        <v>2142</v>
      </c>
      <c r="Z853" s="14" t="s">
        <v>2643</v>
      </c>
      <c r="AA853" s="17">
        <v>12</v>
      </c>
      <c r="AB853" s="14" t="s">
        <v>2644</v>
      </c>
      <c r="AC853" s="17">
        <v>107415000</v>
      </c>
      <c r="AD853" s="14" t="s">
        <v>2155</v>
      </c>
      <c r="AE853" s="17">
        <v>99458333</v>
      </c>
      <c r="AF853" s="14" t="s">
        <v>2089</v>
      </c>
      <c r="AG853" s="21" t="s">
        <v>186</v>
      </c>
      <c r="AH853" s="10">
        <v>58995583</v>
      </c>
      <c r="AI853" s="24" t="str">
        <f>VLOOKUP(Sales[[#This Row],[Store]],'Store lay bao  cao'!A:B,2,0)</f>
        <v>Lấy BC</v>
      </c>
      <c r="AJ853" s="24" t="str">
        <f>VLOOKUP(Sales[[#This Row],[Associate]],'Associate Status'!B:C,2,0)</f>
        <v>Active</v>
      </c>
    </row>
    <row r="854" spans="1:36" x14ac:dyDescent="0.25">
      <c r="A854" s="7">
        <v>2025</v>
      </c>
      <c r="B854" s="8">
        <v>12</v>
      </c>
      <c r="C854" s="8">
        <v>51</v>
      </c>
      <c r="D854" s="8" t="s">
        <v>2593</v>
      </c>
      <c r="E854" s="8" t="s">
        <v>34</v>
      </c>
      <c r="F854" s="8" t="s">
        <v>71</v>
      </c>
      <c r="G854" s="9">
        <v>40393026</v>
      </c>
      <c r="H854" s="10">
        <v>39159900</v>
      </c>
      <c r="I854" s="11">
        <v>46010</v>
      </c>
      <c r="J854" s="12">
        <v>222532</v>
      </c>
      <c r="K854" s="13" t="s">
        <v>572</v>
      </c>
      <c r="L854" s="14" t="s">
        <v>65</v>
      </c>
      <c r="M854" s="11" t="s">
        <v>15</v>
      </c>
      <c r="N854" s="14" t="s">
        <v>62</v>
      </c>
      <c r="O854" s="15">
        <v>3802</v>
      </c>
      <c r="P854" s="12">
        <v>1</v>
      </c>
      <c r="Q854" s="13" t="s">
        <v>102</v>
      </c>
      <c r="R854" s="16">
        <v>107250000</v>
      </c>
      <c r="S854" s="17">
        <v>99305556</v>
      </c>
      <c r="T854" s="12">
        <v>0</v>
      </c>
      <c r="U854" s="18">
        <v>0</v>
      </c>
      <c r="V854" s="19">
        <v>0</v>
      </c>
      <c r="W854" s="13" t="s">
        <v>636</v>
      </c>
      <c r="X854" s="14" t="s">
        <v>2626</v>
      </c>
      <c r="Y854" s="13" t="s">
        <v>2154</v>
      </c>
      <c r="Z854" s="14" t="s">
        <v>2627</v>
      </c>
      <c r="AA854" s="17">
        <v>10</v>
      </c>
      <c r="AB854" s="14" t="s">
        <v>2628</v>
      </c>
      <c r="AC854" s="17">
        <v>107250000</v>
      </c>
      <c r="AD854" s="14" t="s">
        <v>2097</v>
      </c>
      <c r="AE854" s="17">
        <v>99305556</v>
      </c>
      <c r="AF854" s="14" t="s">
        <v>1970</v>
      </c>
      <c r="AG854" s="20"/>
      <c r="AH854" s="10">
        <v>58912530</v>
      </c>
      <c r="AI854" s="24" t="str">
        <f>VLOOKUP(Sales[[#This Row],[Store]],'Store lay bao  cao'!A:B,2,0)</f>
        <v>Lấy BC</v>
      </c>
      <c r="AJ854" s="24" t="str">
        <f>VLOOKUP(Sales[[#This Row],[Associate]],'Associate Status'!B:C,2,0)</f>
        <v>Active</v>
      </c>
    </row>
    <row r="855" spans="1:36" x14ac:dyDescent="0.25">
      <c r="A855" s="7">
        <v>2025</v>
      </c>
      <c r="B855" s="8">
        <v>12</v>
      </c>
      <c r="C855" s="8">
        <v>51</v>
      </c>
      <c r="D855" s="8" t="s">
        <v>2593</v>
      </c>
      <c r="E855" s="8" t="s">
        <v>61</v>
      </c>
      <c r="F855" s="8" t="s">
        <v>71</v>
      </c>
      <c r="G855" s="9">
        <v>20196513.09090909</v>
      </c>
      <c r="H855" s="10">
        <v>19579950</v>
      </c>
      <c r="I855" s="11">
        <v>46010</v>
      </c>
      <c r="J855" s="12">
        <v>222533</v>
      </c>
      <c r="K855" s="13" t="s">
        <v>572</v>
      </c>
      <c r="L855" s="14" t="s">
        <v>65</v>
      </c>
      <c r="M855" s="11" t="s">
        <v>15</v>
      </c>
      <c r="N855" s="14" t="s">
        <v>62</v>
      </c>
      <c r="O855" s="15">
        <v>3802</v>
      </c>
      <c r="P855" s="12">
        <v>2</v>
      </c>
      <c r="Q855" s="13" t="s">
        <v>102</v>
      </c>
      <c r="R855" s="16">
        <v>53626000</v>
      </c>
      <c r="S855" s="17">
        <v>49653704</v>
      </c>
      <c r="T855" s="12">
        <v>0</v>
      </c>
      <c r="U855" s="18">
        <v>0</v>
      </c>
      <c r="V855" s="19">
        <v>0</v>
      </c>
      <c r="W855" s="13" t="s">
        <v>636</v>
      </c>
      <c r="X855" s="14" t="s">
        <v>2629</v>
      </c>
      <c r="Y855" s="13" t="s">
        <v>2154</v>
      </c>
      <c r="Z855" s="14" t="s">
        <v>2630</v>
      </c>
      <c r="AA855" s="17">
        <v>10</v>
      </c>
      <c r="AB855" s="14" t="s">
        <v>2628</v>
      </c>
      <c r="AC855" s="17">
        <v>53626000</v>
      </c>
      <c r="AD855" s="14" t="s">
        <v>2097</v>
      </c>
      <c r="AE855" s="17">
        <v>49653704</v>
      </c>
      <c r="AF855" s="14" t="s">
        <v>1970</v>
      </c>
      <c r="AG855" s="21"/>
      <c r="AH855" s="10">
        <v>29457190.90909091</v>
      </c>
      <c r="AI855" s="24" t="str">
        <f>VLOOKUP(Sales[[#This Row],[Store]],'Store lay bao  cao'!A:B,2,0)</f>
        <v>Lấy BC</v>
      </c>
      <c r="AJ855" s="24" t="str">
        <f>VLOOKUP(Sales[[#This Row],[Associate]],'Associate Status'!B:C,2,0)</f>
        <v>Active</v>
      </c>
    </row>
    <row r="856" spans="1:36" x14ac:dyDescent="0.25">
      <c r="A856" s="7">
        <v>2025</v>
      </c>
      <c r="B856" s="8">
        <v>12</v>
      </c>
      <c r="C856" s="8">
        <v>52</v>
      </c>
      <c r="D856" s="8" t="s">
        <v>66</v>
      </c>
      <c r="E856" s="8" t="s">
        <v>34</v>
      </c>
      <c r="F856" s="8" t="s">
        <v>66</v>
      </c>
      <c r="G856" s="9">
        <v>48346529</v>
      </c>
      <c r="H856" s="10">
        <v>45997875</v>
      </c>
      <c r="I856" s="11">
        <v>46015</v>
      </c>
      <c r="J856" s="12">
        <v>211111</v>
      </c>
      <c r="K856" s="13" t="s">
        <v>571</v>
      </c>
      <c r="L856" s="14" t="s">
        <v>65</v>
      </c>
      <c r="M856" s="11" t="s">
        <v>15</v>
      </c>
      <c r="N856" s="14" t="s">
        <v>62</v>
      </c>
      <c r="O856" s="15">
        <v>3839</v>
      </c>
      <c r="P856" s="12">
        <v>1</v>
      </c>
      <c r="Q856" s="13" t="s">
        <v>2102</v>
      </c>
      <c r="R856" s="16">
        <v>143220000</v>
      </c>
      <c r="S856" s="17">
        <v>132611111</v>
      </c>
      <c r="T856" s="12">
        <v>0</v>
      </c>
      <c r="U856" s="18">
        <v>0</v>
      </c>
      <c r="V856" s="19">
        <v>0</v>
      </c>
      <c r="W856" s="13" t="s">
        <v>1563</v>
      </c>
      <c r="X856" s="14" t="s">
        <v>2631</v>
      </c>
      <c r="Y856" s="13" t="s">
        <v>2127</v>
      </c>
      <c r="Z856" s="14" t="s">
        <v>2632</v>
      </c>
      <c r="AA856" s="17">
        <v>18</v>
      </c>
      <c r="AB856" s="14" t="s">
        <v>2275</v>
      </c>
      <c r="AC856" s="17">
        <v>143220000</v>
      </c>
      <c r="AD856" s="14" t="s">
        <v>2097</v>
      </c>
      <c r="AE856" s="17">
        <v>132611111</v>
      </c>
      <c r="AF856" s="14" t="s">
        <v>2082</v>
      </c>
      <c r="AG856" s="20" t="s">
        <v>914</v>
      </c>
      <c r="AH856" s="10">
        <v>84264582</v>
      </c>
      <c r="AI856" s="24" t="str">
        <f>VLOOKUP(Sales[[#This Row],[Store]],'Store lay bao  cao'!A:B,2,0)</f>
        <v>Lấy BC</v>
      </c>
      <c r="AJ856" s="24" t="str">
        <f>VLOOKUP(Sales[[#This Row],[Associate]],'Associate Status'!B:C,2,0)</f>
        <v>Active</v>
      </c>
    </row>
    <row r="857" spans="1:36" x14ac:dyDescent="0.25">
      <c r="A857" s="7">
        <v>2025</v>
      </c>
      <c r="B857" s="8">
        <v>12</v>
      </c>
      <c r="C857" s="8">
        <v>53</v>
      </c>
      <c r="D857" s="8" t="s">
        <v>69</v>
      </c>
      <c r="E857" s="8" t="s">
        <v>34</v>
      </c>
      <c r="F857" s="8" t="s">
        <v>69</v>
      </c>
      <c r="G857" s="9">
        <v>313168305</v>
      </c>
      <c r="H857" s="10">
        <v>300064500</v>
      </c>
      <c r="I857" s="11">
        <v>46021</v>
      </c>
      <c r="J857" s="12">
        <v>217300</v>
      </c>
      <c r="K857" s="13" t="s">
        <v>673</v>
      </c>
      <c r="L857" s="14" t="s">
        <v>65</v>
      </c>
      <c r="M857" s="11" t="s">
        <v>17</v>
      </c>
      <c r="N857" s="14" t="s">
        <v>62</v>
      </c>
      <c r="O857" s="15">
        <v>2520</v>
      </c>
      <c r="P857" s="12">
        <v>1</v>
      </c>
      <c r="Q857" s="13" t="s">
        <v>2150</v>
      </c>
      <c r="R857" s="16">
        <v>845680000</v>
      </c>
      <c r="S857" s="17">
        <v>783037037</v>
      </c>
      <c r="T857" s="12">
        <v>0</v>
      </c>
      <c r="U857" s="18">
        <v>0</v>
      </c>
      <c r="V857" s="19">
        <v>0</v>
      </c>
      <c r="W857" s="13" t="s">
        <v>635</v>
      </c>
      <c r="X857" s="14" t="s">
        <v>2645</v>
      </c>
      <c r="Y857" s="13" t="s">
        <v>2103</v>
      </c>
      <c r="Z857" s="14" t="s">
        <v>1851</v>
      </c>
      <c r="AA857" s="17">
        <v>18</v>
      </c>
      <c r="AB857" s="14" t="s">
        <v>173</v>
      </c>
      <c r="AC857" s="17">
        <v>845680000</v>
      </c>
      <c r="AD857" s="14"/>
      <c r="AE857" s="17">
        <v>783037037</v>
      </c>
      <c r="AF857" s="14" t="s">
        <v>129</v>
      </c>
      <c r="AG857" s="21" t="s">
        <v>207</v>
      </c>
      <c r="AH857" s="10">
        <v>469868732</v>
      </c>
      <c r="AI857" s="24" t="str">
        <f>VLOOKUP(Sales[[#This Row],[Store]],'Store lay bao  cao'!A:B,2,0)</f>
        <v>Lấy BC</v>
      </c>
      <c r="AJ857" s="24" t="str">
        <f>VLOOKUP(Sales[[#This Row],[Associate]],'Associate Status'!B:C,2,0)</f>
        <v>Active</v>
      </c>
    </row>
    <row r="858" spans="1:36" x14ac:dyDescent="0.25">
      <c r="A858" s="7">
        <v>2025</v>
      </c>
      <c r="B858" s="8">
        <v>12</v>
      </c>
      <c r="C858" s="8">
        <v>53</v>
      </c>
      <c r="D858" s="8" t="s">
        <v>66</v>
      </c>
      <c r="E858" s="8" t="s">
        <v>43</v>
      </c>
      <c r="F858" s="8" t="s">
        <v>66</v>
      </c>
      <c r="G858" s="9">
        <v>76583325</v>
      </c>
      <c r="H858" s="10">
        <v>73477125</v>
      </c>
      <c r="I858" s="11">
        <v>46022</v>
      </c>
      <c r="J858" s="12">
        <v>211213</v>
      </c>
      <c r="K858" s="13" t="s">
        <v>678</v>
      </c>
      <c r="L858" s="14" t="s">
        <v>65</v>
      </c>
      <c r="M858" s="11" t="s">
        <v>17</v>
      </c>
      <c r="N858" s="14" t="s">
        <v>62</v>
      </c>
      <c r="O858" s="15">
        <v>2527</v>
      </c>
      <c r="P858" s="12">
        <v>1</v>
      </c>
      <c r="Q858" s="13" t="s">
        <v>2088</v>
      </c>
      <c r="R858" s="16">
        <v>212187250</v>
      </c>
      <c r="S858" s="17">
        <v>196469676</v>
      </c>
      <c r="T858" s="12">
        <v>5</v>
      </c>
      <c r="U858" s="18">
        <v>10340509</v>
      </c>
      <c r="V858" s="19">
        <v>11167750</v>
      </c>
      <c r="W858" s="13" t="s">
        <v>635</v>
      </c>
      <c r="X858" s="14" t="s">
        <v>2646</v>
      </c>
      <c r="Y858" s="13" t="s">
        <v>2142</v>
      </c>
      <c r="Z858" s="14" t="s">
        <v>2647</v>
      </c>
      <c r="AA858" s="17">
        <v>16</v>
      </c>
      <c r="AB858" s="14" t="s">
        <v>2339</v>
      </c>
      <c r="AC858" s="17">
        <v>223355000</v>
      </c>
      <c r="AD858" s="14" t="s">
        <v>2141</v>
      </c>
      <c r="AE858" s="17">
        <v>206810185</v>
      </c>
      <c r="AF858" s="14" t="s">
        <v>2089</v>
      </c>
      <c r="AG858" s="20" t="s">
        <v>186</v>
      </c>
      <c r="AH858" s="10">
        <v>119886351</v>
      </c>
      <c r="AI858" s="24" t="str">
        <f>VLOOKUP(Sales[[#This Row],[Store]],'Store lay bao  cao'!A:B,2,0)</f>
        <v>Lấy BC</v>
      </c>
      <c r="AJ858" s="24" t="str">
        <f>VLOOKUP(Sales[[#This Row],[Associate]],'Associate Status'!B:C,2,0)</f>
        <v>Active</v>
      </c>
    </row>
    <row r="859" spans="1:36" x14ac:dyDescent="0.25">
      <c r="A859" s="7">
        <v>2026</v>
      </c>
      <c r="B859" s="8">
        <v>1</v>
      </c>
      <c r="C859" s="8">
        <v>1</v>
      </c>
      <c r="D859" s="8" t="s">
        <v>71</v>
      </c>
      <c r="E859" s="8" t="s">
        <v>37</v>
      </c>
      <c r="F859" s="8" t="s">
        <v>71</v>
      </c>
      <c r="G859" s="9">
        <v>28276064</v>
      </c>
      <c r="H859" s="10">
        <v>25061400</v>
      </c>
      <c r="I859" s="11">
        <v>46023</v>
      </c>
      <c r="J859" s="12">
        <v>225197</v>
      </c>
      <c r="K859" s="13" t="s">
        <v>573</v>
      </c>
      <c r="L859" s="88" t="s">
        <v>65</v>
      </c>
      <c r="M859" s="11" t="s">
        <v>15</v>
      </c>
      <c r="N859" s="14" t="s">
        <v>62</v>
      </c>
      <c r="O859" s="15">
        <v>3892</v>
      </c>
      <c r="P859" s="12">
        <v>1</v>
      </c>
      <c r="Q859" s="13" t="s">
        <v>102</v>
      </c>
      <c r="R859" s="25">
        <v>67584000</v>
      </c>
      <c r="S859" s="17">
        <v>62577778</v>
      </c>
      <c r="T859" s="12">
        <v>0</v>
      </c>
      <c r="U859" s="18">
        <v>0</v>
      </c>
      <c r="V859" s="19">
        <v>0</v>
      </c>
      <c r="W859" s="13" t="s">
        <v>349</v>
      </c>
      <c r="X859" s="14" t="s">
        <v>2649</v>
      </c>
      <c r="Y859" s="13" t="s">
        <v>2615</v>
      </c>
      <c r="Z859" s="14" t="s">
        <v>2650</v>
      </c>
      <c r="AA859" s="17">
        <v>13</v>
      </c>
      <c r="AB859" s="14" t="s">
        <v>2623</v>
      </c>
      <c r="AC859" s="17">
        <v>67584000</v>
      </c>
      <c r="AD859" s="14" t="s">
        <v>2097</v>
      </c>
      <c r="AE859" s="17">
        <v>62577778</v>
      </c>
      <c r="AF859" s="14" t="s">
        <v>1970</v>
      </c>
      <c r="AG859" s="20" t="s">
        <v>2618</v>
      </c>
      <c r="AH859" s="26">
        <v>34301714</v>
      </c>
      <c r="AI859" s="24" t="str">
        <f>VLOOKUP(Sales[[#This Row],[Store]],'Store lay bao  cao'!A:B,2,0)</f>
        <v>Lấy BC</v>
      </c>
      <c r="AJ859" s="24" t="str">
        <f>VLOOKUP(Sales[[#This Row],[Associate]],'Associate Status'!B:C,2,0)</f>
        <v>Active</v>
      </c>
    </row>
    <row r="860" spans="1:36" x14ac:dyDescent="0.25">
      <c r="A860" s="89">
        <v>2026</v>
      </c>
      <c r="B860" s="90">
        <v>1</v>
      </c>
      <c r="C860" s="90">
        <v>1</v>
      </c>
      <c r="D860" s="90" t="s">
        <v>2593</v>
      </c>
      <c r="E860" s="90" t="s">
        <v>61</v>
      </c>
      <c r="F860" s="90" t="s">
        <v>71</v>
      </c>
      <c r="G860" s="27">
        <v>20196513.09090909</v>
      </c>
      <c r="H860" s="28">
        <v>19579950</v>
      </c>
      <c r="I860" s="91">
        <v>46023</v>
      </c>
      <c r="J860" s="92">
        <v>222533</v>
      </c>
      <c r="K860" s="93" t="s">
        <v>573</v>
      </c>
      <c r="L860" s="94" t="s">
        <v>65</v>
      </c>
      <c r="M860" s="91" t="s">
        <v>15</v>
      </c>
      <c r="N860" s="95" t="s">
        <v>62</v>
      </c>
      <c r="O860" s="96">
        <v>3892</v>
      </c>
      <c r="P860" s="92">
        <v>2</v>
      </c>
      <c r="Q860" s="93" t="s">
        <v>102</v>
      </c>
      <c r="R860" s="97">
        <v>53626000</v>
      </c>
      <c r="S860" s="29">
        <v>49653704</v>
      </c>
      <c r="T860" s="92">
        <v>16.670000000000002</v>
      </c>
      <c r="U860" s="30">
        <v>9929630</v>
      </c>
      <c r="V860" s="98">
        <v>10724000</v>
      </c>
      <c r="W860" s="93" t="s">
        <v>349</v>
      </c>
      <c r="X860" s="95" t="s">
        <v>2629</v>
      </c>
      <c r="Y860" s="93" t="s">
        <v>2615</v>
      </c>
      <c r="Z860" s="95" t="s">
        <v>2630</v>
      </c>
      <c r="AA860" s="29">
        <v>13</v>
      </c>
      <c r="AB860" s="95" t="s">
        <v>2628</v>
      </c>
      <c r="AC860" s="29">
        <v>64350000</v>
      </c>
      <c r="AD860" s="95" t="s">
        <v>2097</v>
      </c>
      <c r="AE860" s="29">
        <v>59583333</v>
      </c>
      <c r="AF860" s="95" t="s">
        <v>1970</v>
      </c>
      <c r="AG860" s="31" t="s">
        <v>2618</v>
      </c>
      <c r="AH860" s="32">
        <v>29457190.90909091</v>
      </c>
      <c r="AI860" s="99" t="str">
        <f>VLOOKUP(Sales[[#This Row],[Store]],'Store lay bao  cao'!A:B,2,0)</f>
        <v>Lấy BC</v>
      </c>
      <c r="AJ860" s="99" t="str">
        <f>VLOOKUP(Sales[[#This Row],[Associate]],'Associate Status'!B:C,2,0)</f>
        <v>Active</v>
      </c>
    </row>
    <row r="861" spans="1:36" x14ac:dyDescent="0.25">
      <c r="A861" s="7">
        <v>2026</v>
      </c>
      <c r="B861" s="8">
        <v>1</v>
      </c>
      <c r="C861" s="8">
        <v>1</v>
      </c>
      <c r="D861" s="8" t="s">
        <v>66</v>
      </c>
      <c r="E861" s="8" t="s">
        <v>43</v>
      </c>
      <c r="F861" s="8" t="s">
        <v>66</v>
      </c>
      <c r="G861" s="9">
        <v>-76583325</v>
      </c>
      <c r="H861" s="10">
        <v>-73477125</v>
      </c>
      <c r="I861" s="11">
        <v>46025</v>
      </c>
      <c r="J861" s="12">
        <v>211213</v>
      </c>
      <c r="K861" s="13" t="s">
        <v>683</v>
      </c>
      <c r="L861" s="88" t="s">
        <v>65</v>
      </c>
      <c r="M861" s="11" t="s">
        <v>17</v>
      </c>
      <c r="N861" s="14" t="s">
        <v>62</v>
      </c>
      <c r="O861" s="15">
        <v>2545</v>
      </c>
      <c r="P861" s="12">
        <v>-1</v>
      </c>
      <c r="Q861" s="13" t="s">
        <v>2094</v>
      </c>
      <c r="R861" s="25">
        <v>-212187250</v>
      </c>
      <c r="S861" s="17">
        <v>-196469676</v>
      </c>
      <c r="T861" s="12">
        <v>5</v>
      </c>
      <c r="U861" s="18">
        <v>-10340509</v>
      </c>
      <c r="V861" s="19">
        <v>-11167750</v>
      </c>
      <c r="W861" s="13" t="s">
        <v>635</v>
      </c>
      <c r="X861" s="14" t="s">
        <v>2646</v>
      </c>
      <c r="Y861" s="13" t="s">
        <v>2142</v>
      </c>
      <c r="Z861" s="14" t="s">
        <v>2647</v>
      </c>
      <c r="AA861" s="17">
        <v>17</v>
      </c>
      <c r="AB861" s="14" t="s">
        <v>2339</v>
      </c>
      <c r="AC861" s="17">
        <v>-223355000</v>
      </c>
      <c r="AD861" s="14" t="s">
        <v>2141</v>
      </c>
      <c r="AE861" s="17">
        <v>-206810185</v>
      </c>
      <c r="AF861" s="14" t="s">
        <v>2089</v>
      </c>
      <c r="AG861" s="20" t="s">
        <v>186</v>
      </c>
      <c r="AH861" s="26">
        <v>-119886351</v>
      </c>
      <c r="AI861" s="24" t="str">
        <f>VLOOKUP(Sales[[#This Row],[Store]],'Store lay bao  cao'!A:B,2,0)</f>
        <v>Lấy BC</v>
      </c>
      <c r="AJ861" s="24" t="str">
        <f>VLOOKUP(Sales[[#This Row],[Associate]],'Associate Status'!B:C,2,0)</f>
        <v>Active</v>
      </c>
    </row>
    <row r="862" spans="1:36" x14ac:dyDescent="0.25">
      <c r="A862" s="89">
        <v>2026</v>
      </c>
      <c r="B862" s="90">
        <v>1</v>
      </c>
      <c r="C862" s="90">
        <v>1</v>
      </c>
      <c r="D862" s="90" t="s">
        <v>66</v>
      </c>
      <c r="E862" s="90" t="s">
        <v>43</v>
      </c>
      <c r="F862" s="90" t="s">
        <v>66</v>
      </c>
      <c r="G862" s="27">
        <v>76583325</v>
      </c>
      <c r="H862" s="28">
        <v>73477125</v>
      </c>
      <c r="I862" s="91">
        <v>46025</v>
      </c>
      <c r="J862" s="92">
        <v>211212</v>
      </c>
      <c r="K862" s="93" t="s">
        <v>684</v>
      </c>
      <c r="L862" s="94" t="s">
        <v>65</v>
      </c>
      <c r="M862" s="91" t="s">
        <v>17</v>
      </c>
      <c r="N862" s="95" t="s">
        <v>62</v>
      </c>
      <c r="O862" s="96">
        <v>2546</v>
      </c>
      <c r="P862" s="92">
        <v>1</v>
      </c>
      <c r="Q862" s="93" t="s">
        <v>2094</v>
      </c>
      <c r="R862" s="97">
        <v>212187250</v>
      </c>
      <c r="S862" s="29">
        <v>196469676</v>
      </c>
      <c r="T862" s="92">
        <v>23.42</v>
      </c>
      <c r="U862" s="30">
        <v>60070139</v>
      </c>
      <c r="V862" s="98">
        <v>64875750</v>
      </c>
      <c r="W862" s="93" t="s">
        <v>635</v>
      </c>
      <c r="X862" s="95" t="s">
        <v>2646</v>
      </c>
      <c r="Y862" s="93" t="s">
        <v>2142</v>
      </c>
      <c r="Z862" s="95" t="s">
        <v>2647</v>
      </c>
      <c r="AA862" s="29">
        <v>17</v>
      </c>
      <c r="AB862" s="95" t="s">
        <v>2339</v>
      </c>
      <c r="AC862" s="29">
        <v>277063000</v>
      </c>
      <c r="AD862" s="95" t="s">
        <v>2110</v>
      </c>
      <c r="AE862" s="29">
        <v>256539815</v>
      </c>
      <c r="AF862" s="95" t="s">
        <v>2089</v>
      </c>
      <c r="AG862" s="31" t="s">
        <v>186</v>
      </c>
      <c r="AH862" s="32">
        <v>119886351</v>
      </c>
      <c r="AI862" s="99" t="str">
        <f>VLOOKUP(Sales[[#This Row],[Store]],'Store lay bao  cao'!A:B,2,0)</f>
        <v>Lấy BC</v>
      </c>
      <c r="AJ862" s="99" t="str">
        <f>VLOOKUP(Sales[[#This Row],[Associate]],'Associate Status'!B:C,2,0)</f>
        <v>Active</v>
      </c>
    </row>
    <row r="863" spans="1:36" x14ac:dyDescent="0.25">
      <c r="A863" s="89">
        <v>2026</v>
      </c>
      <c r="B863" s="90">
        <v>1</v>
      </c>
      <c r="C863" s="90">
        <v>1</v>
      </c>
      <c r="D863" s="90" t="s">
        <v>52</v>
      </c>
      <c r="E863" s="90" t="s">
        <v>43</v>
      </c>
      <c r="F863" s="90" t="s">
        <v>52</v>
      </c>
      <c r="G863" s="27">
        <v>4796221</v>
      </c>
      <c r="H863" s="28">
        <v>4320000</v>
      </c>
      <c r="I863" s="91">
        <v>46025</v>
      </c>
      <c r="J863" s="92">
        <v>182173</v>
      </c>
      <c r="K863" s="93" t="s">
        <v>848</v>
      </c>
      <c r="L863" s="94" t="s">
        <v>50</v>
      </c>
      <c r="M863" s="91" t="s">
        <v>21</v>
      </c>
      <c r="N863" s="95" t="s">
        <v>11</v>
      </c>
      <c r="O863" s="96">
        <v>5965</v>
      </c>
      <c r="P863" s="92">
        <v>1</v>
      </c>
      <c r="Q863" s="93" t="s">
        <v>2098</v>
      </c>
      <c r="R863" s="97">
        <v>17972000</v>
      </c>
      <c r="S863" s="29">
        <v>16640741</v>
      </c>
      <c r="T863" s="92">
        <v>0</v>
      </c>
      <c r="U863" s="30">
        <v>0</v>
      </c>
      <c r="V863" s="98">
        <v>0</v>
      </c>
      <c r="W863" s="93" t="s">
        <v>2163</v>
      </c>
      <c r="X863" s="95" t="s">
        <v>2651</v>
      </c>
      <c r="Y863" s="93" t="s">
        <v>1940</v>
      </c>
      <c r="Z863" s="95" t="s">
        <v>890</v>
      </c>
      <c r="AA863" s="29">
        <v>18</v>
      </c>
      <c r="AB863" s="95" t="s">
        <v>2652</v>
      </c>
      <c r="AC863" s="29">
        <v>17972000</v>
      </c>
      <c r="AD863" s="95" t="s">
        <v>2100</v>
      </c>
      <c r="AE863" s="29">
        <v>16640741</v>
      </c>
      <c r="AF863" s="95" t="s">
        <v>324</v>
      </c>
      <c r="AG863" s="31" t="s">
        <v>2653</v>
      </c>
      <c r="AH863" s="32">
        <v>11844520</v>
      </c>
      <c r="AI863" s="99" t="str">
        <f>VLOOKUP(Sales[[#This Row],[Store]],'Store lay bao  cao'!A:B,2,0)</f>
        <v>Lấy BC</v>
      </c>
      <c r="AJ863" s="99" t="str">
        <f>VLOOKUP(Sales[[#This Row],[Associate]],'Associate Status'!B:C,2,0)</f>
        <v>Retired</v>
      </c>
    </row>
    <row r="864" spans="1:36" x14ac:dyDescent="0.25">
      <c r="A864" s="7">
        <v>2026</v>
      </c>
      <c r="B864" s="8">
        <v>1</v>
      </c>
      <c r="C864" s="8">
        <v>1</v>
      </c>
      <c r="D864" s="8" t="s">
        <v>60</v>
      </c>
      <c r="E864" s="8" t="s">
        <v>43</v>
      </c>
      <c r="F864" s="8" t="s">
        <v>60</v>
      </c>
      <c r="G864" s="9">
        <v>4288646</v>
      </c>
      <c r="H864" s="10">
        <v>3990000</v>
      </c>
      <c r="I864" s="11">
        <v>46026</v>
      </c>
      <c r="J864" s="12">
        <v>208260</v>
      </c>
      <c r="K864" s="13" t="s">
        <v>847</v>
      </c>
      <c r="L864" s="88" t="s">
        <v>50</v>
      </c>
      <c r="M864" s="11" t="s">
        <v>21</v>
      </c>
      <c r="N864" s="14" t="s">
        <v>11</v>
      </c>
      <c r="O864" s="15">
        <v>5985</v>
      </c>
      <c r="P864" s="12">
        <v>1</v>
      </c>
      <c r="Q864" s="13" t="s">
        <v>2098</v>
      </c>
      <c r="R864" s="25">
        <v>16599000</v>
      </c>
      <c r="S864" s="17">
        <v>15369444</v>
      </c>
      <c r="T864" s="12">
        <v>0</v>
      </c>
      <c r="U864" s="18">
        <v>0</v>
      </c>
      <c r="V864" s="19">
        <v>0</v>
      </c>
      <c r="W864" s="13" t="s">
        <v>863</v>
      </c>
      <c r="X864" s="14" t="s">
        <v>2654</v>
      </c>
      <c r="Y864" s="13" t="s">
        <v>2208</v>
      </c>
      <c r="Z864" s="14" t="s">
        <v>1761</v>
      </c>
      <c r="AA864" s="17">
        <v>21</v>
      </c>
      <c r="AB864" s="14" t="s">
        <v>1897</v>
      </c>
      <c r="AC864" s="17">
        <v>16599000</v>
      </c>
      <c r="AD864" s="14" t="s">
        <v>2230</v>
      </c>
      <c r="AE864" s="17">
        <v>15369444</v>
      </c>
      <c r="AF864" s="14" t="s">
        <v>752</v>
      </c>
      <c r="AG864" s="20" t="s">
        <v>268</v>
      </c>
      <c r="AH864" s="26">
        <v>11080798</v>
      </c>
      <c r="AI864" s="24" t="str">
        <f>VLOOKUP(Sales[[#This Row],[Store]],'Store lay bao  cao'!A:B,2,0)</f>
        <v>Lấy BC</v>
      </c>
      <c r="AJ864" s="24" t="str">
        <f>VLOOKUP(Sales[[#This Row],[Associate]],'Associate Status'!B:C,2,0)</f>
        <v>Retired</v>
      </c>
    </row>
    <row r="865" spans="1:36" x14ac:dyDescent="0.25">
      <c r="A865" s="89">
        <v>2026</v>
      </c>
      <c r="B865" s="90">
        <v>1</v>
      </c>
      <c r="C865" s="90">
        <v>1</v>
      </c>
      <c r="D865" s="90" t="s">
        <v>60</v>
      </c>
      <c r="E865" s="90" t="s">
        <v>43</v>
      </c>
      <c r="F865" s="90" t="s">
        <v>60</v>
      </c>
      <c r="G865" s="27">
        <v>3064182</v>
      </c>
      <c r="H865" s="28">
        <v>2850000</v>
      </c>
      <c r="I865" s="91">
        <v>46026</v>
      </c>
      <c r="J865" s="92">
        <v>208246</v>
      </c>
      <c r="K865" s="93" t="s">
        <v>847</v>
      </c>
      <c r="L865" s="94" t="s">
        <v>50</v>
      </c>
      <c r="M865" s="91" t="s">
        <v>21</v>
      </c>
      <c r="N865" s="95" t="s">
        <v>11</v>
      </c>
      <c r="O865" s="96">
        <v>5985</v>
      </c>
      <c r="P865" s="92">
        <v>1</v>
      </c>
      <c r="Q865" s="93" t="s">
        <v>2098</v>
      </c>
      <c r="R865" s="97">
        <v>11856000</v>
      </c>
      <c r="S865" s="29">
        <v>10977778</v>
      </c>
      <c r="T865" s="92">
        <v>0</v>
      </c>
      <c r="U865" s="30">
        <v>0</v>
      </c>
      <c r="V865" s="98">
        <v>0</v>
      </c>
      <c r="W865" s="93" t="s">
        <v>863</v>
      </c>
      <c r="X865" s="95" t="s">
        <v>2655</v>
      </c>
      <c r="Y865" s="93" t="s">
        <v>2208</v>
      </c>
      <c r="Z865" s="95" t="s">
        <v>2656</v>
      </c>
      <c r="AA865" s="29">
        <v>21</v>
      </c>
      <c r="AB865" s="95" t="s">
        <v>2657</v>
      </c>
      <c r="AC865" s="29">
        <v>11856000</v>
      </c>
      <c r="AD865" s="95" t="s">
        <v>2230</v>
      </c>
      <c r="AE865" s="29">
        <v>10977778</v>
      </c>
      <c r="AF865" s="95" t="s">
        <v>752</v>
      </c>
      <c r="AG865" s="31" t="s">
        <v>268</v>
      </c>
      <c r="AH865" s="32">
        <v>7913596</v>
      </c>
      <c r="AI865" s="99" t="str">
        <f>VLOOKUP(Sales[[#This Row],[Store]],'Store lay bao  cao'!A:B,2,0)</f>
        <v>Lấy BC</v>
      </c>
      <c r="AJ865" s="99" t="str">
        <f>VLOOKUP(Sales[[#This Row],[Associate]],'Associate Status'!B:C,2,0)</f>
        <v>Retired</v>
      </c>
    </row>
    <row r="866" spans="1:36" x14ac:dyDescent="0.25">
      <c r="A866" s="7">
        <v>2026</v>
      </c>
      <c r="B866" s="8">
        <v>1</v>
      </c>
      <c r="C866" s="8">
        <v>1</v>
      </c>
      <c r="D866" s="8" t="s">
        <v>71</v>
      </c>
      <c r="E866" s="8" t="s">
        <v>37</v>
      </c>
      <c r="F866" s="8" t="s">
        <v>71</v>
      </c>
      <c r="G866" s="9">
        <v>28276064</v>
      </c>
      <c r="H866" s="10">
        <v>25061400</v>
      </c>
      <c r="I866" s="11">
        <v>46023</v>
      </c>
      <c r="J866" s="12">
        <v>225197</v>
      </c>
      <c r="K866" s="13" t="s">
        <v>573</v>
      </c>
      <c r="L866" s="88" t="s">
        <v>65</v>
      </c>
      <c r="M866" s="11" t="s">
        <v>15</v>
      </c>
      <c r="N866" s="14" t="s">
        <v>62</v>
      </c>
      <c r="O866" s="15">
        <v>3892</v>
      </c>
      <c r="P866" s="12">
        <v>1</v>
      </c>
      <c r="Q866" s="13" t="s">
        <v>102</v>
      </c>
      <c r="R866" s="25">
        <v>67584000</v>
      </c>
      <c r="S866" s="17">
        <v>62577778</v>
      </c>
      <c r="T866" s="12">
        <v>0</v>
      </c>
      <c r="U866" s="18">
        <v>0</v>
      </c>
      <c r="V866" s="19">
        <v>0</v>
      </c>
      <c r="W866" s="13" t="s">
        <v>349</v>
      </c>
      <c r="X866" s="14" t="s">
        <v>2649</v>
      </c>
      <c r="Y866" s="13" t="s">
        <v>2615</v>
      </c>
      <c r="Z866" s="14" t="s">
        <v>2650</v>
      </c>
      <c r="AA866" s="17">
        <v>13</v>
      </c>
      <c r="AB866" s="14" t="s">
        <v>2623</v>
      </c>
      <c r="AC866" s="17">
        <v>67584000</v>
      </c>
      <c r="AD866" s="14" t="s">
        <v>2097</v>
      </c>
      <c r="AE866" s="17">
        <v>62577778</v>
      </c>
      <c r="AF866" s="14" t="s">
        <v>1970</v>
      </c>
      <c r="AG866" s="20" t="s">
        <v>2618</v>
      </c>
      <c r="AH866" s="26">
        <v>34301714</v>
      </c>
      <c r="AI866" s="24" t="str">
        <f>VLOOKUP(Sales[[#This Row],[Store]],'Store lay bao  cao'!A:B,2,0)</f>
        <v>Lấy BC</v>
      </c>
      <c r="AJ866" s="24" t="str">
        <f>VLOOKUP(Sales[[#This Row],[Associate]],'Associate Status'!B:C,2,0)</f>
        <v>Active</v>
      </c>
    </row>
    <row r="867" spans="1:36" x14ac:dyDescent="0.25">
      <c r="A867" s="89">
        <v>2026</v>
      </c>
      <c r="B867" s="90">
        <v>1</v>
      </c>
      <c r="C867" s="90">
        <v>1</v>
      </c>
      <c r="D867" s="90" t="s">
        <v>2593</v>
      </c>
      <c r="E867" s="90" t="s">
        <v>61</v>
      </c>
      <c r="F867" s="90" t="s">
        <v>71</v>
      </c>
      <c r="G867" s="27">
        <v>20196513.09090909</v>
      </c>
      <c r="H867" s="28">
        <v>19579950</v>
      </c>
      <c r="I867" s="91">
        <v>46023</v>
      </c>
      <c r="J867" s="92">
        <v>222533</v>
      </c>
      <c r="K867" s="93" t="s">
        <v>573</v>
      </c>
      <c r="L867" s="94" t="s">
        <v>65</v>
      </c>
      <c r="M867" s="91" t="s">
        <v>15</v>
      </c>
      <c r="N867" s="95" t="s">
        <v>62</v>
      </c>
      <c r="O867" s="96">
        <v>3892</v>
      </c>
      <c r="P867" s="92">
        <v>2</v>
      </c>
      <c r="Q867" s="93" t="s">
        <v>102</v>
      </c>
      <c r="R867" s="97">
        <v>53626000</v>
      </c>
      <c r="S867" s="29">
        <v>49653704</v>
      </c>
      <c r="T867" s="92">
        <v>16.670000000000002</v>
      </c>
      <c r="U867" s="30">
        <v>9929630</v>
      </c>
      <c r="V867" s="98">
        <v>10724000</v>
      </c>
      <c r="W867" s="93" t="s">
        <v>349</v>
      </c>
      <c r="X867" s="95" t="s">
        <v>2629</v>
      </c>
      <c r="Y867" s="93" t="s">
        <v>2615</v>
      </c>
      <c r="Z867" s="95" t="s">
        <v>2630</v>
      </c>
      <c r="AA867" s="29">
        <v>13</v>
      </c>
      <c r="AB867" s="95" t="s">
        <v>2628</v>
      </c>
      <c r="AC867" s="29">
        <v>64350000</v>
      </c>
      <c r="AD867" s="95" t="s">
        <v>2097</v>
      </c>
      <c r="AE867" s="29">
        <v>59583333</v>
      </c>
      <c r="AF867" s="95" t="s">
        <v>1970</v>
      </c>
      <c r="AG867" s="31" t="s">
        <v>2618</v>
      </c>
      <c r="AH867" s="32">
        <v>29457190.90909091</v>
      </c>
      <c r="AI867" s="99" t="str">
        <f>VLOOKUP(Sales[[#This Row],[Store]],'Store lay bao  cao'!A:B,2,0)</f>
        <v>Lấy BC</v>
      </c>
      <c r="AJ867" s="99" t="str">
        <f>VLOOKUP(Sales[[#This Row],[Associate]],'Associate Status'!B:C,2,0)</f>
        <v>Active</v>
      </c>
    </row>
    <row r="868" spans="1:36" x14ac:dyDescent="0.25">
      <c r="A868" s="7">
        <v>2026</v>
      </c>
      <c r="B868" s="8">
        <v>1</v>
      </c>
      <c r="C868" s="8">
        <v>1</v>
      </c>
      <c r="D868" s="8" t="s">
        <v>66</v>
      </c>
      <c r="E868" s="8" t="s">
        <v>43</v>
      </c>
      <c r="F868" s="8" t="s">
        <v>66</v>
      </c>
      <c r="G868" s="9">
        <v>-76583325</v>
      </c>
      <c r="H868" s="10">
        <v>-73477125</v>
      </c>
      <c r="I868" s="11">
        <v>46025</v>
      </c>
      <c r="J868" s="12">
        <v>211213</v>
      </c>
      <c r="K868" s="13" t="s">
        <v>683</v>
      </c>
      <c r="L868" s="88" t="s">
        <v>65</v>
      </c>
      <c r="M868" s="11" t="s">
        <v>17</v>
      </c>
      <c r="N868" s="14" t="s">
        <v>62</v>
      </c>
      <c r="O868" s="15">
        <v>2545</v>
      </c>
      <c r="P868" s="12">
        <v>-1</v>
      </c>
      <c r="Q868" s="13" t="s">
        <v>2094</v>
      </c>
      <c r="R868" s="25">
        <v>-212187250</v>
      </c>
      <c r="S868" s="17">
        <v>-196469676</v>
      </c>
      <c r="T868" s="12">
        <v>5</v>
      </c>
      <c r="U868" s="18">
        <v>-10340509</v>
      </c>
      <c r="V868" s="19">
        <v>-11167750</v>
      </c>
      <c r="W868" s="13" t="s">
        <v>635</v>
      </c>
      <c r="X868" s="14" t="s">
        <v>2646</v>
      </c>
      <c r="Y868" s="13" t="s">
        <v>2142</v>
      </c>
      <c r="Z868" s="14" t="s">
        <v>2647</v>
      </c>
      <c r="AA868" s="17">
        <v>17</v>
      </c>
      <c r="AB868" s="14" t="s">
        <v>2339</v>
      </c>
      <c r="AC868" s="17">
        <v>-223355000</v>
      </c>
      <c r="AD868" s="14" t="s">
        <v>2141</v>
      </c>
      <c r="AE868" s="17">
        <v>-206810185</v>
      </c>
      <c r="AF868" s="14" t="s">
        <v>2089</v>
      </c>
      <c r="AG868" s="20" t="s">
        <v>186</v>
      </c>
      <c r="AH868" s="26">
        <v>-119886351</v>
      </c>
      <c r="AI868" s="24" t="str">
        <f>VLOOKUP(Sales[[#This Row],[Store]],'Store lay bao  cao'!A:B,2,0)</f>
        <v>Lấy BC</v>
      </c>
      <c r="AJ868" s="24" t="str">
        <f>VLOOKUP(Sales[[#This Row],[Associate]],'Associate Status'!B:C,2,0)</f>
        <v>Active</v>
      </c>
    </row>
    <row r="869" spans="1:36" x14ac:dyDescent="0.25">
      <c r="A869" s="89">
        <v>2026</v>
      </c>
      <c r="B869" s="90">
        <v>1</v>
      </c>
      <c r="C869" s="90">
        <v>1</v>
      </c>
      <c r="D869" s="90" t="s">
        <v>66</v>
      </c>
      <c r="E869" s="90" t="s">
        <v>43</v>
      </c>
      <c r="F869" s="90" t="s">
        <v>66</v>
      </c>
      <c r="G869" s="27">
        <v>76583325</v>
      </c>
      <c r="H869" s="28">
        <v>73477125</v>
      </c>
      <c r="I869" s="91">
        <v>46025</v>
      </c>
      <c r="J869" s="92">
        <v>211212</v>
      </c>
      <c r="K869" s="93" t="s">
        <v>684</v>
      </c>
      <c r="L869" s="94" t="s">
        <v>65</v>
      </c>
      <c r="M869" s="91" t="s">
        <v>17</v>
      </c>
      <c r="N869" s="95" t="s">
        <v>62</v>
      </c>
      <c r="O869" s="96">
        <v>2546</v>
      </c>
      <c r="P869" s="92">
        <v>1</v>
      </c>
      <c r="Q869" s="93" t="s">
        <v>2094</v>
      </c>
      <c r="R869" s="97">
        <v>212187250</v>
      </c>
      <c r="S869" s="29">
        <v>196469676</v>
      </c>
      <c r="T869" s="92">
        <v>23.42</v>
      </c>
      <c r="U869" s="30">
        <v>60070139</v>
      </c>
      <c r="V869" s="98">
        <v>64875750</v>
      </c>
      <c r="W869" s="93" t="s">
        <v>635</v>
      </c>
      <c r="X869" s="95" t="s">
        <v>2646</v>
      </c>
      <c r="Y869" s="93" t="s">
        <v>2142</v>
      </c>
      <c r="Z869" s="95" t="s">
        <v>2647</v>
      </c>
      <c r="AA869" s="29">
        <v>17</v>
      </c>
      <c r="AB869" s="95" t="s">
        <v>2339</v>
      </c>
      <c r="AC869" s="29">
        <v>277063000</v>
      </c>
      <c r="AD869" s="95" t="s">
        <v>2110</v>
      </c>
      <c r="AE869" s="29">
        <v>256539815</v>
      </c>
      <c r="AF869" s="95" t="s">
        <v>2089</v>
      </c>
      <c r="AG869" s="31" t="s">
        <v>186</v>
      </c>
      <c r="AH869" s="32">
        <v>119886351</v>
      </c>
      <c r="AI869" s="99" t="str">
        <f>VLOOKUP(Sales[[#This Row],[Store]],'Store lay bao  cao'!A:B,2,0)</f>
        <v>Lấy BC</v>
      </c>
      <c r="AJ869" s="99" t="str">
        <f>VLOOKUP(Sales[[#This Row],[Associate]],'Associate Status'!B:C,2,0)</f>
        <v>Active</v>
      </c>
    </row>
    <row r="870" spans="1:36" x14ac:dyDescent="0.25">
      <c r="A870" s="89">
        <v>2026</v>
      </c>
      <c r="B870" s="90">
        <v>1</v>
      </c>
      <c r="C870" s="90">
        <v>1</v>
      </c>
      <c r="D870" s="90" t="s">
        <v>52</v>
      </c>
      <c r="E870" s="90" t="s">
        <v>43</v>
      </c>
      <c r="F870" s="90" t="s">
        <v>52</v>
      </c>
      <c r="G870" s="27">
        <v>4796221</v>
      </c>
      <c r="H870" s="28">
        <v>4320000</v>
      </c>
      <c r="I870" s="91">
        <v>46025</v>
      </c>
      <c r="J870" s="92">
        <v>182173</v>
      </c>
      <c r="K870" s="93" t="s">
        <v>848</v>
      </c>
      <c r="L870" s="94" t="s">
        <v>50</v>
      </c>
      <c r="M870" s="91" t="s">
        <v>21</v>
      </c>
      <c r="N870" s="95" t="s">
        <v>11</v>
      </c>
      <c r="O870" s="96">
        <v>5965</v>
      </c>
      <c r="P870" s="92">
        <v>1</v>
      </c>
      <c r="Q870" s="93" t="s">
        <v>2098</v>
      </c>
      <c r="R870" s="97">
        <v>17972000</v>
      </c>
      <c r="S870" s="29">
        <v>16640741</v>
      </c>
      <c r="T870" s="92">
        <v>0</v>
      </c>
      <c r="U870" s="30">
        <v>0</v>
      </c>
      <c r="V870" s="98">
        <v>0</v>
      </c>
      <c r="W870" s="93" t="s">
        <v>2163</v>
      </c>
      <c r="X870" s="95" t="s">
        <v>2651</v>
      </c>
      <c r="Y870" s="93" t="s">
        <v>1940</v>
      </c>
      <c r="Z870" s="95" t="s">
        <v>890</v>
      </c>
      <c r="AA870" s="29">
        <v>18</v>
      </c>
      <c r="AB870" s="95" t="s">
        <v>2652</v>
      </c>
      <c r="AC870" s="29">
        <v>17972000</v>
      </c>
      <c r="AD870" s="95" t="s">
        <v>2100</v>
      </c>
      <c r="AE870" s="29">
        <v>16640741</v>
      </c>
      <c r="AF870" s="95" t="s">
        <v>324</v>
      </c>
      <c r="AG870" s="31" t="s">
        <v>2653</v>
      </c>
      <c r="AH870" s="32">
        <v>11844520</v>
      </c>
      <c r="AI870" s="99" t="str">
        <f>VLOOKUP(Sales[[#This Row],[Store]],'Store lay bao  cao'!A:B,2,0)</f>
        <v>Lấy BC</v>
      </c>
      <c r="AJ870" s="99" t="str">
        <f>VLOOKUP(Sales[[#This Row],[Associate]],'Associate Status'!B:C,2,0)</f>
        <v>Retired</v>
      </c>
    </row>
    <row r="871" spans="1:36" x14ac:dyDescent="0.25">
      <c r="A871" s="89">
        <v>2026</v>
      </c>
      <c r="B871" s="90">
        <v>1</v>
      </c>
      <c r="C871" s="90">
        <v>1</v>
      </c>
      <c r="D871" s="90" t="s">
        <v>60</v>
      </c>
      <c r="E871" s="90" t="s">
        <v>43</v>
      </c>
      <c r="F871" s="90" t="s">
        <v>60</v>
      </c>
      <c r="G871" s="27">
        <v>4288646</v>
      </c>
      <c r="H871" s="28">
        <v>3990000</v>
      </c>
      <c r="I871" s="91">
        <v>46026</v>
      </c>
      <c r="J871" s="92">
        <v>208260</v>
      </c>
      <c r="K871" s="93" t="s">
        <v>847</v>
      </c>
      <c r="L871" s="94" t="s">
        <v>50</v>
      </c>
      <c r="M871" s="91" t="s">
        <v>21</v>
      </c>
      <c r="N871" s="95" t="s">
        <v>11</v>
      </c>
      <c r="O871" s="96">
        <v>5985</v>
      </c>
      <c r="P871" s="92">
        <v>1</v>
      </c>
      <c r="Q871" s="93" t="s">
        <v>2098</v>
      </c>
      <c r="R871" s="97">
        <v>16599000</v>
      </c>
      <c r="S871" s="29">
        <v>15369444</v>
      </c>
      <c r="T871" s="92">
        <v>0</v>
      </c>
      <c r="U871" s="30">
        <v>0</v>
      </c>
      <c r="V871" s="98">
        <v>0</v>
      </c>
      <c r="W871" s="93" t="s">
        <v>863</v>
      </c>
      <c r="X871" s="95" t="s">
        <v>2654</v>
      </c>
      <c r="Y871" s="93" t="s">
        <v>2208</v>
      </c>
      <c r="Z871" s="95" t="s">
        <v>1761</v>
      </c>
      <c r="AA871" s="29">
        <v>21</v>
      </c>
      <c r="AB871" s="95" t="s">
        <v>1897</v>
      </c>
      <c r="AC871" s="29">
        <v>16599000</v>
      </c>
      <c r="AD871" s="95" t="s">
        <v>2230</v>
      </c>
      <c r="AE871" s="29">
        <v>15369444</v>
      </c>
      <c r="AF871" s="95" t="s">
        <v>752</v>
      </c>
      <c r="AG871" s="31" t="s">
        <v>268</v>
      </c>
      <c r="AH871" s="32">
        <v>11080798</v>
      </c>
      <c r="AI871" s="99" t="str">
        <f>VLOOKUP(Sales[[#This Row],[Store]],'Store lay bao  cao'!A:B,2,0)</f>
        <v>Lấy BC</v>
      </c>
      <c r="AJ871" s="99" t="str">
        <f>VLOOKUP(Sales[[#This Row],[Associate]],'Associate Status'!B:C,2,0)</f>
        <v>Retired</v>
      </c>
    </row>
    <row r="872" spans="1:36" x14ac:dyDescent="0.25">
      <c r="A872" s="89">
        <v>2026</v>
      </c>
      <c r="B872" s="90">
        <v>1</v>
      </c>
      <c r="C872" s="90">
        <v>1</v>
      </c>
      <c r="D872" s="90" t="s">
        <v>60</v>
      </c>
      <c r="E872" s="90" t="s">
        <v>43</v>
      </c>
      <c r="F872" s="90" t="s">
        <v>60</v>
      </c>
      <c r="G872" s="27">
        <v>3064182</v>
      </c>
      <c r="H872" s="28">
        <v>2850000</v>
      </c>
      <c r="I872" s="91">
        <v>46026</v>
      </c>
      <c r="J872" s="92">
        <v>208246</v>
      </c>
      <c r="K872" s="93" t="s">
        <v>847</v>
      </c>
      <c r="L872" s="94" t="s">
        <v>50</v>
      </c>
      <c r="M872" s="91" t="s">
        <v>21</v>
      </c>
      <c r="N872" s="95" t="s">
        <v>11</v>
      </c>
      <c r="O872" s="96">
        <v>5985</v>
      </c>
      <c r="P872" s="92">
        <v>1</v>
      </c>
      <c r="Q872" s="93" t="s">
        <v>2098</v>
      </c>
      <c r="R872" s="97">
        <v>11856000</v>
      </c>
      <c r="S872" s="29">
        <v>10977778</v>
      </c>
      <c r="T872" s="92">
        <v>0</v>
      </c>
      <c r="U872" s="30">
        <v>0</v>
      </c>
      <c r="V872" s="98">
        <v>0</v>
      </c>
      <c r="W872" s="93" t="s">
        <v>863</v>
      </c>
      <c r="X872" s="95" t="s">
        <v>2655</v>
      </c>
      <c r="Y872" s="93" t="s">
        <v>2208</v>
      </c>
      <c r="Z872" s="95" t="s">
        <v>2656</v>
      </c>
      <c r="AA872" s="29">
        <v>21</v>
      </c>
      <c r="AB872" s="95" t="s">
        <v>2657</v>
      </c>
      <c r="AC872" s="29">
        <v>11856000</v>
      </c>
      <c r="AD872" s="95" t="s">
        <v>2230</v>
      </c>
      <c r="AE872" s="29">
        <v>10977778</v>
      </c>
      <c r="AF872" s="95" t="s">
        <v>752</v>
      </c>
      <c r="AG872" s="31" t="s">
        <v>268</v>
      </c>
      <c r="AH872" s="32">
        <v>7913596</v>
      </c>
      <c r="AI872" s="99" t="str">
        <f>VLOOKUP(Sales[[#This Row],[Store]],'Store lay bao  cao'!A:B,2,0)</f>
        <v>Lấy BC</v>
      </c>
      <c r="AJ872" s="99" t="str">
        <f>VLOOKUP(Sales[[#This Row],[Associate]],'Associate Status'!B:C,2,0)</f>
        <v>Retired</v>
      </c>
    </row>
    <row r="873" spans="1:36" x14ac:dyDescent="0.25">
      <c r="A873" s="7">
        <v>2026</v>
      </c>
      <c r="B873" s="8">
        <v>1</v>
      </c>
      <c r="C873" s="8">
        <v>2</v>
      </c>
      <c r="D873" s="8" t="s">
        <v>71</v>
      </c>
      <c r="E873" s="8" t="s">
        <v>34</v>
      </c>
      <c r="F873" s="8" t="s">
        <v>71</v>
      </c>
      <c r="G873" s="9">
        <v>6160855.5</v>
      </c>
      <c r="H873" s="10">
        <v>5850000</v>
      </c>
      <c r="I873" s="11">
        <v>46027</v>
      </c>
      <c r="J873" s="12">
        <v>223701</v>
      </c>
      <c r="K873" s="13" t="s">
        <v>589</v>
      </c>
      <c r="L873" s="88" t="s">
        <v>70</v>
      </c>
      <c r="M873" s="11" t="s">
        <v>15</v>
      </c>
      <c r="N873" s="14" t="s">
        <v>62</v>
      </c>
      <c r="O873" s="15">
        <v>3933</v>
      </c>
      <c r="P873" s="12">
        <v>1</v>
      </c>
      <c r="Q873" s="13" t="s">
        <v>2102</v>
      </c>
      <c r="R873" s="25">
        <v>17160000</v>
      </c>
      <c r="S873" s="17">
        <v>15888889</v>
      </c>
      <c r="T873" s="12">
        <v>0</v>
      </c>
      <c r="U873" s="18">
        <v>0</v>
      </c>
      <c r="V873" s="19">
        <v>0</v>
      </c>
      <c r="W873" s="13" t="s">
        <v>636</v>
      </c>
      <c r="X873" s="14" t="s">
        <v>2658</v>
      </c>
      <c r="Y873" s="13" t="s">
        <v>2127</v>
      </c>
      <c r="Z873" s="14" t="s">
        <v>2659</v>
      </c>
      <c r="AA873" s="17">
        <v>17</v>
      </c>
      <c r="AB873" s="14" t="s">
        <v>2660</v>
      </c>
      <c r="AC873" s="17">
        <v>17160000</v>
      </c>
      <c r="AD873" s="14" t="s">
        <v>2097</v>
      </c>
      <c r="AE873" s="17">
        <v>15888889</v>
      </c>
      <c r="AF873" s="14" t="s">
        <v>109</v>
      </c>
      <c r="AG873" s="20" t="s">
        <v>914</v>
      </c>
      <c r="AH873" s="26">
        <v>9728033.5</v>
      </c>
      <c r="AI873" s="24" t="str">
        <f>VLOOKUP(Sales[[#This Row],[Store]],'Store lay bao  cao'!A:B,2,0)</f>
        <v>Lấy BC</v>
      </c>
      <c r="AJ873" s="24" t="str">
        <f>VLOOKUP(Sales[[#This Row],[Associate]],'Associate Status'!B:C,2,0)</f>
        <v>Active</v>
      </c>
    </row>
    <row r="874" spans="1:36" x14ac:dyDescent="0.25">
      <c r="A874" s="7">
        <v>2026</v>
      </c>
      <c r="B874" s="8">
        <v>1</v>
      </c>
      <c r="C874" s="8">
        <v>2</v>
      </c>
      <c r="D874" s="8" t="s">
        <v>71</v>
      </c>
      <c r="E874" s="8" t="s">
        <v>34</v>
      </c>
      <c r="F874" s="8" t="s">
        <v>71</v>
      </c>
      <c r="G874" s="9">
        <v>22795218</v>
      </c>
      <c r="H874" s="10">
        <v>21703500.000000004</v>
      </c>
      <c r="I874" s="11">
        <v>46027</v>
      </c>
      <c r="J874" s="12">
        <v>225168</v>
      </c>
      <c r="K874" s="13" t="s">
        <v>589</v>
      </c>
      <c r="L874" s="88" t="s">
        <v>58</v>
      </c>
      <c r="M874" s="11" t="s">
        <v>15</v>
      </c>
      <c r="N874" s="14" t="s">
        <v>62</v>
      </c>
      <c r="O874" s="15">
        <v>3933</v>
      </c>
      <c r="P874" s="12">
        <v>1</v>
      </c>
      <c r="Q874" s="13" t="s">
        <v>2102</v>
      </c>
      <c r="R874" s="25">
        <v>67005000</v>
      </c>
      <c r="S874" s="17">
        <v>62041667</v>
      </c>
      <c r="T874" s="12">
        <v>0</v>
      </c>
      <c r="U874" s="18">
        <v>0</v>
      </c>
      <c r="V874" s="19">
        <v>0</v>
      </c>
      <c r="W874" s="13" t="s">
        <v>636</v>
      </c>
      <c r="X874" s="14" t="s">
        <v>2661</v>
      </c>
      <c r="Y874" s="13" t="s">
        <v>2127</v>
      </c>
      <c r="Z874" s="14" t="s">
        <v>2662</v>
      </c>
      <c r="AA874" s="17">
        <v>17</v>
      </c>
      <c r="AB874" s="14" t="s">
        <v>1337</v>
      </c>
      <c r="AC874" s="17">
        <v>67005000</v>
      </c>
      <c r="AD874" s="14" t="s">
        <v>108</v>
      </c>
      <c r="AE874" s="17">
        <v>62041667</v>
      </c>
      <c r="AF874" s="14" t="s">
        <v>109</v>
      </c>
      <c r="AG874" s="20" t="s">
        <v>914</v>
      </c>
      <c r="AH874" s="26">
        <v>39246449</v>
      </c>
      <c r="AI874" s="24" t="str">
        <f>VLOOKUP(Sales[[#This Row],[Store]],'Store lay bao  cao'!A:B,2,0)</f>
        <v>Lấy BC</v>
      </c>
      <c r="AJ874" s="24" t="str">
        <f>VLOOKUP(Sales[[#This Row],[Associate]],'Associate Status'!B:C,2,0)</f>
        <v>Active</v>
      </c>
    </row>
    <row r="875" spans="1:36" x14ac:dyDescent="0.25">
      <c r="A875" s="89">
        <v>2026</v>
      </c>
      <c r="B875" s="90">
        <v>1</v>
      </c>
      <c r="C875" s="90">
        <v>2</v>
      </c>
      <c r="D875" s="90" t="s">
        <v>71</v>
      </c>
      <c r="E875" s="90" t="s">
        <v>43</v>
      </c>
      <c r="F875" s="90" t="s">
        <v>71</v>
      </c>
      <c r="G875" s="27">
        <v>28755154</v>
      </c>
      <c r="H875" s="28">
        <v>27378000</v>
      </c>
      <c r="I875" s="91">
        <v>46027</v>
      </c>
      <c r="J875" s="92">
        <v>225169</v>
      </c>
      <c r="K875" s="93" t="s">
        <v>589</v>
      </c>
      <c r="L875" s="94" t="s">
        <v>58</v>
      </c>
      <c r="M875" s="91" t="s">
        <v>15</v>
      </c>
      <c r="N875" s="95" t="s">
        <v>62</v>
      </c>
      <c r="O875" s="96">
        <v>3933</v>
      </c>
      <c r="P875" s="92">
        <v>1</v>
      </c>
      <c r="Q875" s="93" t="s">
        <v>2102</v>
      </c>
      <c r="R875" s="97">
        <v>85345000</v>
      </c>
      <c r="S875" s="29">
        <v>79023148</v>
      </c>
      <c r="T875" s="92">
        <v>0</v>
      </c>
      <c r="U875" s="30">
        <v>0</v>
      </c>
      <c r="V875" s="98">
        <v>0</v>
      </c>
      <c r="W875" s="93" t="s">
        <v>636</v>
      </c>
      <c r="X875" s="95" t="s">
        <v>2663</v>
      </c>
      <c r="Y875" s="93" t="s">
        <v>2127</v>
      </c>
      <c r="Z875" s="95" t="s">
        <v>2664</v>
      </c>
      <c r="AA875" s="29">
        <v>17</v>
      </c>
      <c r="AB875" s="95" t="s">
        <v>1337</v>
      </c>
      <c r="AC875" s="29">
        <v>85345000</v>
      </c>
      <c r="AD875" s="95" t="s">
        <v>2149</v>
      </c>
      <c r="AE875" s="29">
        <v>79023148</v>
      </c>
      <c r="AF875" s="95" t="s">
        <v>109</v>
      </c>
      <c r="AG875" s="31" t="s">
        <v>914</v>
      </c>
      <c r="AH875" s="32">
        <v>50267994</v>
      </c>
      <c r="AI875" s="99" t="str">
        <f>VLOOKUP(Sales[[#This Row],[Store]],'Store lay bao  cao'!A:B,2,0)</f>
        <v>Lấy BC</v>
      </c>
      <c r="AJ875" s="99" t="str">
        <f>VLOOKUP(Sales[[#This Row],[Associate]],'Associate Status'!B:C,2,0)</f>
        <v>Active</v>
      </c>
    </row>
    <row r="876" spans="1:36" x14ac:dyDescent="0.25">
      <c r="A876" s="7">
        <v>2026</v>
      </c>
      <c r="B876" s="8">
        <v>1</v>
      </c>
      <c r="C876" s="8">
        <v>2</v>
      </c>
      <c r="D876" s="8" t="s">
        <v>60</v>
      </c>
      <c r="E876" s="8" t="s">
        <v>37</v>
      </c>
      <c r="F876" s="8" t="s">
        <v>60</v>
      </c>
      <c r="G876" s="9">
        <v>29728722</v>
      </c>
      <c r="H876" s="10">
        <v>31459725</v>
      </c>
      <c r="I876" s="11">
        <v>46027</v>
      </c>
      <c r="J876" s="12">
        <v>206895</v>
      </c>
      <c r="K876" s="13" t="s">
        <v>588</v>
      </c>
      <c r="L876" s="88" t="s">
        <v>58</v>
      </c>
      <c r="M876" s="11" t="s">
        <v>15</v>
      </c>
      <c r="N876" s="14" t="s">
        <v>11</v>
      </c>
      <c r="O876" s="15">
        <v>3935</v>
      </c>
      <c r="P876" s="12">
        <v>1</v>
      </c>
      <c r="Q876" s="13" t="s">
        <v>2088</v>
      </c>
      <c r="R876" s="25">
        <v>134349950</v>
      </c>
      <c r="S876" s="17">
        <v>124398102</v>
      </c>
      <c r="T876" s="12">
        <v>5</v>
      </c>
      <c r="U876" s="18">
        <v>6547269</v>
      </c>
      <c r="V876" s="19">
        <v>7071050</v>
      </c>
      <c r="W876" s="13" t="s">
        <v>636</v>
      </c>
      <c r="X876" s="14" t="s">
        <v>2665</v>
      </c>
      <c r="Y876" s="13" t="s">
        <v>329</v>
      </c>
      <c r="Z876" s="14" t="s">
        <v>2666</v>
      </c>
      <c r="AA876" s="17">
        <v>20</v>
      </c>
      <c r="AB876" s="14" t="s">
        <v>1444</v>
      </c>
      <c r="AC876" s="17">
        <v>141421000</v>
      </c>
      <c r="AD876" s="14" t="s">
        <v>2327</v>
      </c>
      <c r="AE876" s="17">
        <v>130945370</v>
      </c>
      <c r="AF876" s="14" t="s">
        <v>1970</v>
      </c>
      <c r="AG876" s="20" t="s">
        <v>172</v>
      </c>
      <c r="AH876" s="26">
        <v>94669380</v>
      </c>
      <c r="AI876" s="24" t="str">
        <f>VLOOKUP(Sales[[#This Row],[Store]],'Store lay bao  cao'!A:B,2,0)</f>
        <v>Lấy BC</v>
      </c>
      <c r="AJ876" s="24" t="str">
        <f>VLOOKUP(Sales[[#This Row],[Associate]],'Associate Status'!B:C,2,0)</f>
        <v>Active</v>
      </c>
    </row>
    <row r="877" spans="1:36" x14ac:dyDescent="0.25">
      <c r="A877" s="7">
        <v>2026</v>
      </c>
      <c r="B877" s="8">
        <v>1</v>
      </c>
      <c r="C877" s="8">
        <v>2</v>
      </c>
      <c r="D877" s="8" t="s">
        <v>71</v>
      </c>
      <c r="E877" s="8" t="s">
        <v>43</v>
      </c>
      <c r="F877" s="8" t="s">
        <v>71</v>
      </c>
      <c r="G877" s="9">
        <v>57110930</v>
      </c>
      <c r="H877" s="10">
        <v>54375750.000000007</v>
      </c>
      <c r="I877" s="11">
        <v>46027</v>
      </c>
      <c r="J877" s="12">
        <v>225181</v>
      </c>
      <c r="K877" s="13" t="s">
        <v>588</v>
      </c>
      <c r="L877" s="88" t="s">
        <v>58</v>
      </c>
      <c r="M877" s="11" t="s">
        <v>15</v>
      </c>
      <c r="N877" s="14" t="s">
        <v>62</v>
      </c>
      <c r="O877" s="15">
        <v>3935</v>
      </c>
      <c r="P877" s="12">
        <v>1</v>
      </c>
      <c r="Q877" s="13" t="s">
        <v>2088</v>
      </c>
      <c r="R877" s="25">
        <v>171629850</v>
      </c>
      <c r="S877" s="17">
        <v>158916528</v>
      </c>
      <c r="T877" s="12">
        <v>5</v>
      </c>
      <c r="U877" s="18">
        <v>8364028</v>
      </c>
      <c r="V877" s="19">
        <v>9033150</v>
      </c>
      <c r="W877" s="13" t="s">
        <v>636</v>
      </c>
      <c r="X877" s="14" t="s">
        <v>2667</v>
      </c>
      <c r="Y877" s="13" t="s">
        <v>329</v>
      </c>
      <c r="Z877" s="14" t="s">
        <v>2668</v>
      </c>
      <c r="AA877" s="17">
        <v>20</v>
      </c>
      <c r="AB877" s="14" t="s">
        <v>1337</v>
      </c>
      <c r="AC877" s="17">
        <v>180663000</v>
      </c>
      <c r="AD877" s="14" t="s">
        <v>2178</v>
      </c>
      <c r="AE877" s="17">
        <v>167280556</v>
      </c>
      <c r="AF877" s="14" t="s">
        <v>1970</v>
      </c>
      <c r="AG877" s="20" t="s">
        <v>172</v>
      </c>
      <c r="AH877" s="26">
        <v>101805598</v>
      </c>
      <c r="AI877" s="24" t="str">
        <f>VLOOKUP(Sales[[#This Row],[Store]],'Store lay bao  cao'!A:B,2,0)</f>
        <v>Lấy BC</v>
      </c>
      <c r="AJ877" s="24" t="str">
        <f>VLOOKUP(Sales[[#This Row],[Associate]],'Associate Status'!B:C,2,0)</f>
        <v>Active</v>
      </c>
    </row>
    <row r="878" spans="1:36" x14ac:dyDescent="0.25">
      <c r="A878" s="89">
        <v>2026</v>
      </c>
      <c r="B878" s="90">
        <v>1</v>
      </c>
      <c r="C878" s="90">
        <v>2</v>
      </c>
      <c r="D878" s="90" t="s">
        <v>71</v>
      </c>
      <c r="E878" s="90" t="s">
        <v>43</v>
      </c>
      <c r="F878" s="90" t="s">
        <v>71</v>
      </c>
      <c r="G878" s="27">
        <v>31612236</v>
      </c>
      <c r="H878" s="28">
        <v>30098250</v>
      </c>
      <c r="I878" s="91">
        <v>46028</v>
      </c>
      <c r="J878" s="92">
        <v>225154</v>
      </c>
      <c r="K878" s="93" t="s">
        <v>590</v>
      </c>
      <c r="L878" s="94" t="s">
        <v>58</v>
      </c>
      <c r="M878" s="91" t="s">
        <v>15</v>
      </c>
      <c r="N878" s="95" t="s">
        <v>62</v>
      </c>
      <c r="O878" s="96">
        <v>3936</v>
      </c>
      <c r="P878" s="92">
        <v>1</v>
      </c>
      <c r="Q878" s="93" t="s">
        <v>2088</v>
      </c>
      <c r="R878" s="97">
        <v>92157600</v>
      </c>
      <c r="S878" s="29">
        <v>85331111</v>
      </c>
      <c r="T878" s="92">
        <v>5</v>
      </c>
      <c r="U878" s="30">
        <v>4491111</v>
      </c>
      <c r="V878" s="98">
        <v>4850400</v>
      </c>
      <c r="W878" s="93" t="s">
        <v>2254</v>
      </c>
      <c r="X878" s="95" t="s">
        <v>2238</v>
      </c>
      <c r="Y878" s="93" t="s">
        <v>2137</v>
      </c>
      <c r="Z878" s="95" t="s">
        <v>2669</v>
      </c>
      <c r="AA878" s="29">
        <v>11</v>
      </c>
      <c r="AB878" s="95" t="s">
        <v>1337</v>
      </c>
      <c r="AC878" s="29">
        <v>97008000</v>
      </c>
      <c r="AD878" s="95" t="s">
        <v>2230</v>
      </c>
      <c r="AE878" s="29">
        <v>89822222</v>
      </c>
      <c r="AF878" s="95" t="s">
        <v>1970</v>
      </c>
      <c r="AG878" s="31" t="s">
        <v>275</v>
      </c>
      <c r="AH878" s="32">
        <v>53718875</v>
      </c>
      <c r="AI878" s="99" t="str">
        <f>VLOOKUP(Sales[[#This Row],[Store]],'Store lay bao  cao'!A:B,2,0)</f>
        <v>Lấy BC</v>
      </c>
      <c r="AJ878" s="99" t="str">
        <f>VLOOKUP(Sales[[#This Row],[Associate]],'Associate Status'!B:C,2,0)</f>
        <v>Active</v>
      </c>
    </row>
    <row r="879" spans="1:36" x14ac:dyDescent="0.25">
      <c r="A879" s="7">
        <v>2026</v>
      </c>
      <c r="B879" s="8">
        <v>1</v>
      </c>
      <c r="C879" s="8">
        <v>2</v>
      </c>
      <c r="D879" s="8" t="s">
        <v>71</v>
      </c>
      <c r="E879" s="8" t="s">
        <v>43</v>
      </c>
      <c r="F879" s="8" t="s">
        <v>71</v>
      </c>
      <c r="G879" s="9">
        <v>187852500.00000003</v>
      </c>
      <c r="H879" s="10">
        <v>170775000</v>
      </c>
      <c r="I879" s="11">
        <v>46029</v>
      </c>
      <c r="J879" s="12">
        <v>225200</v>
      </c>
      <c r="K879" s="13" t="s">
        <v>593</v>
      </c>
      <c r="L879" s="88" t="s">
        <v>44</v>
      </c>
      <c r="M879" s="11" t="s">
        <v>15</v>
      </c>
      <c r="N879" s="14" t="s">
        <v>62</v>
      </c>
      <c r="O879" s="15">
        <v>3941</v>
      </c>
      <c r="P879" s="12">
        <v>1</v>
      </c>
      <c r="Q879" s="13" t="s">
        <v>102</v>
      </c>
      <c r="R879" s="25">
        <v>489060000</v>
      </c>
      <c r="S879" s="17">
        <v>452833333</v>
      </c>
      <c r="T879" s="12">
        <v>0</v>
      </c>
      <c r="U879" s="18">
        <v>0</v>
      </c>
      <c r="V879" s="19">
        <v>0</v>
      </c>
      <c r="W879" s="13" t="s">
        <v>2173</v>
      </c>
      <c r="X879" s="14" t="s">
        <v>2670</v>
      </c>
      <c r="Y879" s="13" t="s">
        <v>2615</v>
      </c>
      <c r="Z879" s="14" t="s">
        <v>2671</v>
      </c>
      <c r="AA879" s="17">
        <v>10</v>
      </c>
      <c r="AB879" s="14" t="s">
        <v>2672</v>
      </c>
      <c r="AC879" s="17">
        <v>489060000</v>
      </c>
      <c r="AD879" s="14" t="s">
        <v>2337</v>
      </c>
      <c r="AE879" s="17">
        <v>452833333</v>
      </c>
      <c r="AF879" s="14" t="s">
        <v>1970</v>
      </c>
      <c r="AG879" s="20" t="s">
        <v>2618</v>
      </c>
      <c r="AH879" s="26">
        <v>264980832.99999997</v>
      </c>
      <c r="AI879" s="24" t="str">
        <f>VLOOKUP(Sales[[#This Row],[Store]],'Store lay bao  cao'!A:B,2,0)</f>
        <v>Lấy BC</v>
      </c>
      <c r="AJ879" s="24" t="str">
        <f>VLOOKUP(Sales[[#This Row],[Associate]],'Associate Status'!B:C,2,0)</f>
        <v>Active</v>
      </c>
    </row>
    <row r="880" spans="1:36" x14ac:dyDescent="0.25">
      <c r="A880" s="7">
        <v>2026</v>
      </c>
      <c r="B880" s="8">
        <v>1</v>
      </c>
      <c r="C880" s="8">
        <v>2</v>
      </c>
      <c r="D880" s="8" t="s">
        <v>71</v>
      </c>
      <c r="E880" s="8" t="s">
        <v>37</v>
      </c>
      <c r="F880" s="8" t="s">
        <v>71</v>
      </c>
      <c r="G880" s="9">
        <v>25413531.333333332</v>
      </c>
      <c r="H880" s="10">
        <v>24131250</v>
      </c>
      <c r="I880" s="11">
        <v>46029</v>
      </c>
      <c r="J880" s="12">
        <v>223727</v>
      </c>
      <c r="K880" s="13" t="s">
        <v>593</v>
      </c>
      <c r="L880" s="88" t="s">
        <v>70</v>
      </c>
      <c r="M880" s="11" t="s">
        <v>15</v>
      </c>
      <c r="N880" s="14" t="s">
        <v>62</v>
      </c>
      <c r="O880" s="15">
        <v>3941</v>
      </c>
      <c r="P880" s="12">
        <v>1</v>
      </c>
      <c r="Q880" s="13" t="s">
        <v>102</v>
      </c>
      <c r="R880" s="25">
        <v>70785000</v>
      </c>
      <c r="S880" s="17">
        <v>65541667</v>
      </c>
      <c r="T880" s="12">
        <v>0</v>
      </c>
      <c r="U880" s="18">
        <v>0</v>
      </c>
      <c r="V880" s="19">
        <v>0</v>
      </c>
      <c r="W880" s="13" t="s">
        <v>2173</v>
      </c>
      <c r="X880" s="14" t="s">
        <v>2673</v>
      </c>
      <c r="Y880" s="13" t="s">
        <v>2615</v>
      </c>
      <c r="Z880" s="14" t="s">
        <v>2674</v>
      </c>
      <c r="AA880" s="17">
        <v>10</v>
      </c>
      <c r="AB880" s="14" t="s">
        <v>2407</v>
      </c>
      <c r="AC880" s="17">
        <v>70785000</v>
      </c>
      <c r="AD880" s="14" t="s">
        <v>2097</v>
      </c>
      <c r="AE880" s="17">
        <v>65541667</v>
      </c>
      <c r="AF880" s="14" t="s">
        <v>1970</v>
      </c>
      <c r="AG880" s="20" t="s">
        <v>2618</v>
      </c>
      <c r="AH880" s="26">
        <v>40128135.666666672</v>
      </c>
      <c r="AI880" s="24" t="str">
        <f>VLOOKUP(Sales[[#This Row],[Store]],'Store lay bao  cao'!A:B,2,0)</f>
        <v>Lấy BC</v>
      </c>
      <c r="AJ880" s="24" t="str">
        <f>VLOOKUP(Sales[[#This Row],[Associate]],'Associate Status'!B:C,2,0)</f>
        <v>Active</v>
      </c>
    </row>
    <row r="881" spans="1:36" x14ac:dyDescent="0.25">
      <c r="A881" s="89">
        <v>2026</v>
      </c>
      <c r="B881" s="90">
        <v>1</v>
      </c>
      <c r="C881" s="90">
        <v>2</v>
      </c>
      <c r="D881" s="90" t="s">
        <v>71</v>
      </c>
      <c r="E881" s="90" t="s">
        <v>34</v>
      </c>
      <c r="F881" s="90" t="s">
        <v>71</v>
      </c>
      <c r="G881" s="27">
        <v>138847500</v>
      </c>
      <c r="H881" s="28">
        <v>126225000</v>
      </c>
      <c r="I881" s="91">
        <v>46029</v>
      </c>
      <c r="J881" s="92">
        <v>225203</v>
      </c>
      <c r="K881" s="93" t="s">
        <v>593</v>
      </c>
      <c r="L881" s="94" t="s">
        <v>44</v>
      </c>
      <c r="M881" s="91" t="s">
        <v>15</v>
      </c>
      <c r="N881" s="95" t="s">
        <v>62</v>
      </c>
      <c r="O881" s="96">
        <v>3941</v>
      </c>
      <c r="P881" s="92">
        <v>1</v>
      </c>
      <c r="Q881" s="93" t="s">
        <v>102</v>
      </c>
      <c r="R881" s="97">
        <v>366795000</v>
      </c>
      <c r="S881" s="29">
        <v>339625000</v>
      </c>
      <c r="T881" s="92">
        <v>0</v>
      </c>
      <c r="U881" s="30">
        <v>0</v>
      </c>
      <c r="V881" s="98">
        <v>0</v>
      </c>
      <c r="W881" s="93" t="s">
        <v>2173</v>
      </c>
      <c r="X881" s="95" t="s">
        <v>2675</v>
      </c>
      <c r="Y881" s="93" t="s">
        <v>2615</v>
      </c>
      <c r="Z881" s="95" t="s">
        <v>2676</v>
      </c>
      <c r="AA881" s="29">
        <v>10</v>
      </c>
      <c r="AB881" s="95" t="s">
        <v>2672</v>
      </c>
      <c r="AC881" s="29">
        <v>366795000</v>
      </c>
      <c r="AD881" s="95" t="s">
        <v>108</v>
      </c>
      <c r="AE881" s="29">
        <v>339625000</v>
      </c>
      <c r="AF881" s="95" t="s">
        <v>1970</v>
      </c>
      <c r="AG881" s="31" t="s">
        <v>2618</v>
      </c>
      <c r="AH881" s="32">
        <v>200777500</v>
      </c>
      <c r="AI881" s="99" t="str">
        <f>VLOOKUP(Sales[[#This Row],[Store]],'Store lay bao  cao'!A:B,2,0)</f>
        <v>Lấy BC</v>
      </c>
      <c r="AJ881" s="99" t="str">
        <f>VLOOKUP(Sales[[#This Row],[Associate]],'Associate Status'!B:C,2,0)</f>
        <v>Active</v>
      </c>
    </row>
    <row r="882" spans="1:36" x14ac:dyDescent="0.25">
      <c r="A882" s="7">
        <v>2026</v>
      </c>
      <c r="B882" s="8">
        <v>1</v>
      </c>
      <c r="C882" s="8">
        <v>2</v>
      </c>
      <c r="D882" s="8" t="s">
        <v>71</v>
      </c>
      <c r="E882" s="8" t="s">
        <v>34</v>
      </c>
      <c r="F882" s="8" t="s">
        <v>71</v>
      </c>
      <c r="G882" s="9">
        <v>49685625.000000007</v>
      </c>
      <c r="H882" s="10">
        <v>45168750</v>
      </c>
      <c r="I882" s="11">
        <v>46029</v>
      </c>
      <c r="J882" s="12">
        <v>225207</v>
      </c>
      <c r="K882" s="13" t="s">
        <v>592</v>
      </c>
      <c r="L882" s="88" t="s">
        <v>44</v>
      </c>
      <c r="M882" s="11" t="s">
        <v>15</v>
      </c>
      <c r="N882" s="14" t="s">
        <v>62</v>
      </c>
      <c r="O882" s="15">
        <v>3944</v>
      </c>
      <c r="P882" s="12">
        <v>1</v>
      </c>
      <c r="Q882" s="13" t="s">
        <v>2102</v>
      </c>
      <c r="R882" s="25">
        <v>128535000</v>
      </c>
      <c r="S882" s="17">
        <v>119013889</v>
      </c>
      <c r="T882" s="12">
        <v>0</v>
      </c>
      <c r="U882" s="18">
        <v>0</v>
      </c>
      <c r="V882" s="19">
        <v>0</v>
      </c>
      <c r="W882" s="13" t="s">
        <v>349</v>
      </c>
      <c r="X882" s="14" t="s">
        <v>2677</v>
      </c>
      <c r="Y882" s="13" t="s">
        <v>2127</v>
      </c>
      <c r="Z882" s="14" t="s">
        <v>2678</v>
      </c>
      <c r="AA882" s="17">
        <v>16</v>
      </c>
      <c r="AB882" s="14" t="s">
        <v>137</v>
      </c>
      <c r="AC882" s="17">
        <v>128535000</v>
      </c>
      <c r="AD882" s="14" t="s">
        <v>108</v>
      </c>
      <c r="AE882" s="17">
        <v>119013889</v>
      </c>
      <c r="AF882" s="14" t="s">
        <v>136</v>
      </c>
      <c r="AG882" s="20" t="s">
        <v>914</v>
      </c>
      <c r="AH882" s="26">
        <v>69328264</v>
      </c>
      <c r="AI882" s="24" t="str">
        <f>VLOOKUP(Sales[[#This Row],[Store]],'Store lay bao  cao'!A:B,2,0)</f>
        <v>Lấy BC</v>
      </c>
      <c r="AJ882" s="24" t="str">
        <f>VLOOKUP(Sales[[#This Row],[Associate]],'Associate Status'!B:C,2,0)</f>
        <v>Active</v>
      </c>
    </row>
    <row r="883" spans="1:36" x14ac:dyDescent="0.25">
      <c r="A883" s="7">
        <v>2026</v>
      </c>
      <c r="B883" s="8">
        <v>1</v>
      </c>
      <c r="C883" s="8">
        <v>2</v>
      </c>
      <c r="D883" s="8" t="s">
        <v>71</v>
      </c>
      <c r="E883" s="8" t="s">
        <v>53</v>
      </c>
      <c r="F883" s="8" t="s">
        <v>71</v>
      </c>
      <c r="G883" s="9">
        <v>19252675</v>
      </c>
      <c r="H883" s="10">
        <v>18281250</v>
      </c>
      <c r="I883" s="11">
        <v>46029</v>
      </c>
      <c r="J883" s="12">
        <v>223709</v>
      </c>
      <c r="K883" s="13" t="s">
        <v>592</v>
      </c>
      <c r="L883" s="88" t="s">
        <v>70</v>
      </c>
      <c r="M883" s="11" t="s">
        <v>15</v>
      </c>
      <c r="N883" s="14" t="s">
        <v>62</v>
      </c>
      <c r="O883" s="15">
        <v>3944</v>
      </c>
      <c r="P883" s="12">
        <v>1</v>
      </c>
      <c r="Q883" s="13" t="s">
        <v>2102</v>
      </c>
      <c r="R883" s="25">
        <v>53625000</v>
      </c>
      <c r="S883" s="17">
        <v>49652778</v>
      </c>
      <c r="T883" s="12">
        <v>0</v>
      </c>
      <c r="U883" s="18">
        <v>0</v>
      </c>
      <c r="V883" s="19">
        <v>0</v>
      </c>
      <c r="W883" s="13" t="s">
        <v>349</v>
      </c>
      <c r="X883" s="14" t="s">
        <v>2679</v>
      </c>
      <c r="Y883" s="13" t="s">
        <v>2127</v>
      </c>
      <c r="Z883" s="14" t="s">
        <v>2680</v>
      </c>
      <c r="AA883" s="17">
        <v>16</v>
      </c>
      <c r="AB883" s="14" t="s">
        <v>2407</v>
      </c>
      <c r="AC883" s="17">
        <v>53625000</v>
      </c>
      <c r="AD883" s="14" t="s">
        <v>2097</v>
      </c>
      <c r="AE883" s="17">
        <v>49652778</v>
      </c>
      <c r="AF883" s="14" t="s">
        <v>136</v>
      </c>
      <c r="AG883" s="20" t="s">
        <v>914</v>
      </c>
      <c r="AH883" s="26">
        <v>30400103</v>
      </c>
      <c r="AI883" s="24" t="str">
        <f>VLOOKUP(Sales[[#This Row],[Store]],'Store lay bao  cao'!A:B,2,0)</f>
        <v>Lấy BC</v>
      </c>
      <c r="AJ883" s="24" t="str">
        <f>VLOOKUP(Sales[[#This Row],[Associate]],'Associate Status'!B:C,2,0)</f>
        <v>Active</v>
      </c>
    </row>
    <row r="884" spans="1:36" x14ac:dyDescent="0.25">
      <c r="A884" s="89">
        <v>2026</v>
      </c>
      <c r="B884" s="90">
        <v>1</v>
      </c>
      <c r="C884" s="90">
        <v>2</v>
      </c>
      <c r="D884" s="90" t="s">
        <v>71</v>
      </c>
      <c r="E884" s="90" t="s">
        <v>53</v>
      </c>
      <c r="F884" s="90" t="s">
        <v>71</v>
      </c>
      <c r="G884" s="27">
        <v>6930963.5</v>
      </c>
      <c r="H884" s="28">
        <v>6581250</v>
      </c>
      <c r="I884" s="91">
        <v>46029</v>
      </c>
      <c r="J884" s="92">
        <v>223699</v>
      </c>
      <c r="K884" s="93" t="s">
        <v>592</v>
      </c>
      <c r="L884" s="94" t="s">
        <v>70</v>
      </c>
      <c r="M884" s="91" t="s">
        <v>15</v>
      </c>
      <c r="N884" s="95" t="s">
        <v>62</v>
      </c>
      <c r="O884" s="96">
        <v>3944</v>
      </c>
      <c r="P884" s="92">
        <v>1</v>
      </c>
      <c r="Q884" s="93" t="s">
        <v>2102</v>
      </c>
      <c r="R884" s="97">
        <v>19305000</v>
      </c>
      <c r="S884" s="29">
        <v>17875000</v>
      </c>
      <c r="T884" s="92">
        <v>0</v>
      </c>
      <c r="U884" s="30">
        <v>0</v>
      </c>
      <c r="V884" s="98">
        <v>0</v>
      </c>
      <c r="W884" s="93" t="s">
        <v>349</v>
      </c>
      <c r="X884" s="95" t="s">
        <v>2681</v>
      </c>
      <c r="Y884" s="93" t="s">
        <v>2127</v>
      </c>
      <c r="Z884" s="95" t="s">
        <v>2682</v>
      </c>
      <c r="AA884" s="29">
        <v>16</v>
      </c>
      <c r="AB884" s="95" t="s">
        <v>2407</v>
      </c>
      <c r="AC884" s="29">
        <v>19305000</v>
      </c>
      <c r="AD884" s="95" t="s">
        <v>2097</v>
      </c>
      <c r="AE884" s="29">
        <v>17875000</v>
      </c>
      <c r="AF884" s="95" t="s">
        <v>136</v>
      </c>
      <c r="AG884" s="31" t="s">
        <v>914</v>
      </c>
      <c r="AH884" s="32">
        <v>10944036.5</v>
      </c>
      <c r="AI884" s="99" t="str">
        <f>VLOOKUP(Sales[[#This Row],[Store]],'Store lay bao  cao'!A:B,2,0)</f>
        <v>Lấy BC</v>
      </c>
      <c r="AJ884" s="99" t="str">
        <f>VLOOKUP(Sales[[#This Row],[Associate]],'Associate Status'!B:C,2,0)</f>
        <v>Active</v>
      </c>
    </row>
    <row r="885" spans="1:36" x14ac:dyDescent="0.25">
      <c r="A885" s="7">
        <v>2026</v>
      </c>
      <c r="B885" s="8">
        <v>1</v>
      </c>
      <c r="C885" s="8">
        <v>2</v>
      </c>
      <c r="D885" s="8" t="s">
        <v>71</v>
      </c>
      <c r="E885" s="8" t="s">
        <v>37</v>
      </c>
      <c r="F885" s="8" t="s">
        <v>71</v>
      </c>
      <c r="G885" s="9">
        <v>20022781</v>
      </c>
      <c r="H885" s="10">
        <v>19012500</v>
      </c>
      <c r="I885" s="11">
        <v>46030</v>
      </c>
      <c r="J885" s="12">
        <v>223717</v>
      </c>
      <c r="K885" s="13" t="s">
        <v>1487</v>
      </c>
      <c r="L885" s="88" t="s">
        <v>70</v>
      </c>
      <c r="M885" s="11" t="s">
        <v>15</v>
      </c>
      <c r="N885" s="14" t="s">
        <v>62</v>
      </c>
      <c r="O885" s="15">
        <v>3951</v>
      </c>
      <c r="P885" s="12">
        <v>1</v>
      </c>
      <c r="Q885" s="13" t="s">
        <v>2098</v>
      </c>
      <c r="R885" s="25">
        <v>55770000</v>
      </c>
      <c r="S885" s="17">
        <v>51638889</v>
      </c>
      <c r="T885" s="12">
        <v>0</v>
      </c>
      <c r="U885" s="18">
        <v>0</v>
      </c>
      <c r="V885" s="19">
        <v>0</v>
      </c>
      <c r="W885" s="13" t="s">
        <v>1563</v>
      </c>
      <c r="X885" s="14" t="s">
        <v>2683</v>
      </c>
      <c r="Y885" s="13" t="s">
        <v>2127</v>
      </c>
      <c r="Z885" s="14" t="s">
        <v>2684</v>
      </c>
      <c r="AA885" s="17">
        <v>18</v>
      </c>
      <c r="AB885" s="14" t="s">
        <v>2407</v>
      </c>
      <c r="AC885" s="17">
        <v>55770000</v>
      </c>
      <c r="AD885" s="14" t="s">
        <v>2097</v>
      </c>
      <c r="AE885" s="17">
        <v>51638889</v>
      </c>
      <c r="AF885" s="14" t="s">
        <v>2082</v>
      </c>
      <c r="AG885" s="20" t="s">
        <v>914</v>
      </c>
      <c r="AH885" s="26">
        <v>31616108</v>
      </c>
      <c r="AI885" s="24" t="str">
        <f>VLOOKUP(Sales[[#This Row],[Store]],'Store lay bao  cao'!A:B,2,0)</f>
        <v>Lấy BC</v>
      </c>
      <c r="AJ885" s="24" t="str">
        <f>VLOOKUP(Sales[[#This Row],[Associate]],'Associate Status'!B:C,2,0)</f>
        <v>Active</v>
      </c>
    </row>
    <row r="886" spans="1:36" x14ac:dyDescent="0.25">
      <c r="A886" s="89">
        <v>2026</v>
      </c>
      <c r="B886" s="90">
        <v>1</v>
      </c>
      <c r="C886" s="90">
        <v>2</v>
      </c>
      <c r="D886" s="90" t="s">
        <v>71</v>
      </c>
      <c r="E886" s="90" t="s">
        <v>53</v>
      </c>
      <c r="F886" s="90" t="s">
        <v>71</v>
      </c>
      <c r="G886" s="27">
        <v>13553883</v>
      </c>
      <c r="H886" s="28">
        <v>12870000</v>
      </c>
      <c r="I886" s="91">
        <v>46030</v>
      </c>
      <c r="J886" s="92">
        <v>223711</v>
      </c>
      <c r="K886" s="93" t="s">
        <v>1487</v>
      </c>
      <c r="L886" s="94" t="s">
        <v>70</v>
      </c>
      <c r="M886" s="91" t="s">
        <v>15</v>
      </c>
      <c r="N886" s="95" t="s">
        <v>62</v>
      </c>
      <c r="O886" s="96">
        <v>3951</v>
      </c>
      <c r="P886" s="92">
        <v>1</v>
      </c>
      <c r="Q886" s="93" t="s">
        <v>2098</v>
      </c>
      <c r="R886" s="97">
        <v>37895000</v>
      </c>
      <c r="S886" s="29">
        <v>35087963</v>
      </c>
      <c r="T886" s="92">
        <v>0</v>
      </c>
      <c r="U886" s="30">
        <v>0</v>
      </c>
      <c r="V886" s="98">
        <v>0</v>
      </c>
      <c r="W886" s="93" t="s">
        <v>1563</v>
      </c>
      <c r="X886" s="95" t="s">
        <v>2685</v>
      </c>
      <c r="Y886" s="93" t="s">
        <v>2127</v>
      </c>
      <c r="Z886" s="95" t="s">
        <v>2686</v>
      </c>
      <c r="AA886" s="29">
        <v>18</v>
      </c>
      <c r="AB886" s="95" t="s">
        <v>2407</v>
      </c>
      <c r="AC886" s="29">
        <v>37895000</v>
      </c>
      <c r="AD886" s="95" t="s">
        <v>2097</v>
      </c>
      <c r="AE886" s="29">
        <v>35087963</v>
      </c>
      <c r="AF886" s="95" t="s">
        <v>136</v>
      </c>
      <c r="AG886" s="31" t="s">
        <v>914</v>
      </c>
      <c r="AH886" s="32">
        <v>21534080</v>
      </c>
      <c r="AI886" s="99" t="str">
        <f>VLOOKUP(Sales[[#This Row],[Store]],'Store lay bao  cao'!A:B,2,0)</f>
        <v>Lấy BC</v>
      </c>
      <c r="AJ886" s="99" t="str">
        <f>VLOOKUP(Sales[[#This Row],[Associate]],'Associate Status'!B:C,2,0)</f>
        <v>Active</v>
      </c>
    </row>
    <row r="887" spans="1:36" x14ac:dyDescent="0.25">
      <c r="A887" s="89">
        <v>2026</v>
      </c>
      <c r="B887" s="90">
        <v>1</v>
      </c>
      <c r="C887" s="90">
        <v>2</v>
      </c>
      <c r="D887" s="90" t="s">
        <v>52</v>
      </c>
      <c r="E887" s="90" t="s">
        <v>37</v>
      </c>
      <c r="F887" s="90" t="s">
        <v>52</v>
      </c>
      <c r="G887" s="27">
        <v>5845393</v>
      </c>
      <c r="H887" s="28">
        <v>5265000</v>
      </c>
      <c r="I887" s="91">
        <v>46030</v>
      </c>
      <c r="J887" s="92">
        <v>182215</v>
      </c>
      <c r="K887" s="93" t="s">
        <v>685</v>
      </c>
      <c r="L887" s="94" t="s">
        <v>50</v>
      </c>
      <c r="M887" s="91" t="s">
        <v>17</v>
      </c>
      <c r="N887" s="95" t="s">
        <v>11</v>
      </c>
      <c r="O887" s="96">
        <v>2580</v>
      </c>
      <c r="P887" s="92">
        <v>1</v>
      </c>
      <c r="Q887" s="93" t="s">
        <v>2098</v>
      </c>
      <c r="R887" s="97">
        <v>21903000</v>
      </c>
      <c r="S887" s="29">
        <v>20280556</v>
      </c>
      <c r="T887" s="92">
        <v>0</v>
      </c>
      <c r="U887" s="30">
        <v>0</v>
      </c>
      <c r="V887" s="98">
        <v>0</v>
      </c>
      <c r="W887" s="93" t="s">
        <v>2174</v>
      </c>
      <c r="X887" s="95" t="s">
        <v>2687</v>
      </c>
      <c r="Y887" s="93" t="s">
        <v>103</v>
      </c>
      <c r="Z887" s="95" t="s">
        <v>2688</v>
      </c>
      <c r="AA887" s="29">
        <v>19</v>
      </c>
      <c r="AB887" s="95" t="s">
        <v>2652</v>
      </c>
      <c r="AC887" s="29">
        <v>21903000</v>
      </c>
      <c r="AD887" s="95" t="s">
        <v>108</v>
      </c>
      <c r="AE887" s="29">
        <v>20280556</v>
      </c>
      <c r="AF887" s="95" t="s">
        <v>121</v>
      </c>
      <c r="AG887" s="31" t="s">
        <v>2324</v>
      </c>
      <c r="AH887" s="32">
        <v>14435163</v>
      </c>
      <c r="AI887" s="99" t="str">
        <f>VLOOKUP(Sales[[#This Row],[Store]],'Store lay bao  cao'!A:B,2,0)</f>
        <v>Lấy BC</v>
      </c>
      <c r="AJ887" s="99" t="str">
        <f>VLOOKUP(Sales[[#This Row],[Associate]],'Associate Status'!B:C,2,0)</f>
        <v>Active</v>
      </c>
    </row>
    <row r="888" spans="1:36" x14ac:dyDescent="0.25">
      <c r="A888" s="7">
        <v>2026</v>
      </c>
      <c r="B888" s="8">
        <v>1</v>
      </c>
      <c r="C888" s="8">
        <v>2</v>
      </c>
      <c r="D888" s="8" t="s">
        <v>66</v>
      </c>
      <c r="E888" s="8" t="s">
        <v>34</v>
      </c>
      <c r="F888" s="8" t="s">
        <v>66</v>
      </c>
      <c r="G888" s="9">
        <v>24704706</v>
      </c>
      <c r="H888" s="10">
        <v>23682600.000000004</v>
      </c>
      <c r="I888" s="11">
        <v>46032</v>
      </c>
      <c r="J888" s="12">
        <v>214608</v>
      </c>
      <c r="K888" s="13" t="s">
        <v>686</v>
      </c>
      <c r="L888" s="88" t="s">
        <v>58</v>
      </c>
      <c r="M888" s="11" t="s">
        <v>17</v>
      </c>
      <c r="N888" s="14" t="s">
        <v>62</v>
      </c>
      <c r="O888" s="15">
        <v>2585</v>
      </c>
      <c r="P888" s="12">
        <v>1</v>
      </c>
      <c r="Q888" s="13" t="s">
        <v>102</v>
      </c>
      <c r="R888" s="25">
        <v>95187200</v>
      </c>
      <c r="S888" s="17">
        <v>88136296</v>
      </c>
      <c r="T888" s="12">
        <v>0</v>
      </c>
      <c r="U888" s="18">
        <v>0</v>
      </c>
      <c r="V888" s="19">
        <v>0</v>
      </c>
      <c r="W888" s="13" t="s">
        <v>635</v>
      </c>
      <c r="X888" s="14" t="s">
        <v>2689</v>
      </c>
      <c r="Y888" s="13" t="s">
        <v>2211</v>
      </c>
      <c r="Z888" s="14" t="s">
        <v>2690</v>
      </c>
      <c r="AA888" s="17">
        <v>10</v>
      </c>
      <c r="AB888" s="14" t="s">
        <v>1337</v>
      </c>
      <c r="AC888" s="17">
        <v>95187200</v>
      </c>
      <c r="AD888" s="14"/>
      <c r="AE888" s="17">
        <v>88136296</v>
      </c>
      <c r="AF888" s="14" t="s">
        <v>129</v>
      </c>
      <c r="AG888" s="20" t="s">
        <v>281</v>
      </c>
      <c r="AH888" s="26">
        <v>63431590</v>
      </c>
      <c r="AI888" s="24" t="str">
        <f>VLOOKUP(Sales[[#This Row],[Store]],'Store lay bao  cao'!A:B,2,0)</f>
        <v>Lấy BC</v>
      </c>
      <c r="AJ888" s="24" t="str">
        <f>VLOOKUP(Sales[[#This Row],[Associate]],'Associate Status'!B:C,2,0)</f>
        <v>Active</v>
      </c>
    </row>
    <row r="889" spans="1:36" x14ac:dyDescent="0.25">
      <c r="A889" s="89">
        <v>2026</v>
      </c>
      <c r="B889" s="90">
        <v>1</v>
      </c>
      <c r="C889" s="90">
        <v>2</v>
      </c>
      <c r="D889" s="90" t="s">
        <v>71</v>
      </c>
      <c r="E889" s="90" t="s">
        <v>43</v>
      </c>
      <c r="F889" s="90" t="s">
        <v>71</v>
      </c>
      <c r="G889" s="27">
        <v>26604661</v>
      </c>
      <c r="H889" s="28">
        <v>25330500</v>
      </c>
      <c r="I889" s="91">
        <v>46032</v>
      </c>
      <c r="J889" s="92">
        <v>225138</v>
      </c>
      <c r="K889" s="93" t="s">
        <v>686</v>
      </c>
      <c r="L889" s="94" t="s">
        <v>58</v>
      </c>
      <c r="M889" s="91" t="s">
        <v>17</v>
      </c>
      <c r="N889" s="95" t="s">
        <v>62</v>
      </c>
      <c r="O889" s="96">
        <v>2585</v>
      </c>
      <c r="P889" s="92">
        <v>1</v>
      </c>
      <c r="Q889" s="93" t="s">
        <v>102</v>
      </c>
      <c r="R889" s="97">
        <v>82771000</v>
      </c>
      <c r="S889" s="29">
        <v>76639815</v>
      </c>
      <c r="T889" s="92">
        <v>0</v>
      </c>
      <c r="U889" s="30">
        <v>0</v>
      </c>
      <c r="V889" s="98">
        <v>0</v>
      </c>
      <c r="W889" s="93" t="s">
        <v>635</v>
      </c>
      <c r="X889" s="95" t="s">
        <v>2691</v>
      </c>
      <c r="Y889" s="93" t="s">
        <v>2211</v>
      </c>
      <c r="Z889" s="95" t="s">
        <v>2692</v>
      </c>
      <c r="AA889" s="29">
        <v>10</v>
      </c>
      <c r="AB889" s="95" t="s">
        <v>2306</v>
      </c>
      <c r="AC889" s="29">
        <v>82771000</v>
      </c>
      <c r="AD889" s="95" t="s">
        <v>2100</v>
      </c>
      <c r="AE889" s="29">
        <v>76639815</v>
      </c>
      <c r="AF889" s="95" t="s">
        <v>129</v>
      </c>
      <c r="AG889" s="31" t="s">
        <v>281</v>
      </c>
      <c r="AH889" s="32">
        <v>50035154</v>
      </c>
      <c r="AI889" s="99" t="str">
        <f>VLOOKUP(Sales[[#This Row],[Store]],'Store lay bao  cao'!A:B,2,0)</f>
        <v>Lấy BC</v>
      </c>
      <c r="AJ889" s="99" t="str">
        <f>VLOOKUP(Sales[[#This Row],[Associate]],'Associate Status'!B:C,2,0)</f>
        <v>Active</v>
      </c>
    </row>
    <row r="890" spans="1:36" x14ac:dyDescent="0.25">
      <c r="A890" s="89">
        <v>2026</v>
      </c>
      <c r="B890" s="90">
        <v>1</v>
      </c>
      <c r="C890" s="90">
        <v>2</v>
      </c>
      <c r="D890" s="90" t="s">
        <v>60</v>
      </c>
      <c r="E890" s="90" t="s">
        <v>37</v>
      </c>
      <c r="F890" s="90" t="s">
        <v>60</v>
      </c>
      <c r="G890" s="27">
        <v>3177198</v>
      </c>
      <c r="H890" s="28">
        <v>2374050</v>
      </c>
      <c r="I890" s="91">
        <v>46032</v>
      </c>
      <c r="J890" s="92">
        <v>202758</v>
      </c>
      <c r="K890" s="93" t="s">
        <v>595</v>
      </c>
      <c r="L890" s="94" t="s">
        <v>19</v>
      </c>
      <c r="M890" s="91" t="s">
        <v>15</v>
      </c>
      <c r="N890" s="95" t="s">
        <v>62</v>
      </c>
      <c r="O890" s="96">
        <v>3956</v>
      </c>
      <c r="P890" s="92">
        <v>1</v>
      </c>
      <c r="Q890" s="93" t="s">
        <v>2098</v>
      </c>
      <c r="R890" s="97">
        <v>10004000</v>
      </c>
      <c r="S890" s="29">
        <v>9262963</v>
      </c>
      <c r="T890" s="92">
        <v>0</v>
      </c>
      <c r="U890" s="30">
        <v>0</v>
      </c>
      <c r="V890" s="98">
        <v>0</v>
      </c>
      <c r="W890" s="93" t="s">
        <v>349</v>
      </c>
      <c r="X890" s="95" t="s">
        <v>1469</v>
      </c>
      <c r="Y890" s="93" t="s">
        <v>2693</v>
      </c>
      <c r="Z890" s="95" t="s">
        <v>2694</v>
      </c>
      <c r="AA890" s="29">
        <v>17</v>
      </c>
      <c r="AB890" s="95" t="s">
        <v>2695</v>
      </c>
      <c r="AC890" s="29">
        <v>10004000</v>
      </c>
      <c r="AD890" s="95" t="s">
        <v>108</v>
      </c>
      <c r="AE890" s="29">
        <v>9262963</v>
      </c>
      <c r="AF890" s="95" t="s">
        <v>2340</v>
      </c>
      <c r="AG890" s="31" t="s">
        <v>351</v>
      </c>
      <c r="AH890" s="32">
        <v>6085765</v>
      </c>
      <c r="AI890" s="99" t="str">
        <f>VLOOKUP(Sales[[#This Row],[Store]],'Store lay bao  cao'!A:B,2,0)</f>
        <v>Lấy BC</v>
      </c>
      <c r="AJ890" s="99" t="str">
        <f>VLOOKUP(Sales[[#This Row],[Associate]],'Associate Status'!B:C,2,0)</f>
        <v>Active</v>
      </c>
    </row>
    <row r="891" spans="1:36" x14ac:dyDescent="0.25">
      <c r="A891" s="89">
        <v>2026</v>
      </c>
      <c r="B891" s="90">
        <v>1</v>
      </c>
      <c r="C891" s="90">
        <v>2</v>
      </c>
      <c r="D891" s="90" t="s">
        <v>71</v>
      </c>
      <c r="E891" s="90" t="s">
        <v>34</v>
      </c>
      <c r="F891" s="90" t="s">
        <v>71</v>
      </c>
      <c r="G891" s="27">
        <v>24027338</v>
      </c>
      <c r="H891" s="28">
        <v>22815000</v>
      </c>
      <c r="I891" s="91">
        <v>46032</v>
      </c>
      <c r="J891" s="92">
        <v>223720</v>
      </c>
      <c r="K891" s="93" t="s">
        <v>596</v>
      </c>
      <c r="L891" s="94" t="s">
        <v>70</v>
      </c>
      <c r="M891" s="91" t="s">
        <v>15</v>
      </c>
      <c r="N891" s="95" t="s">
        <v>62</v>
      </c>
      <c r="O891" s="96">
        <v>3957</v>
      </c>
      <c r="P891" s="92">
        <v>1</v>
      </c>
      <c r="Q891" s="93" t="s">
        <v>102</v>
      </c>
      <c r="R891" s="97">
        <v>66853000</v>
      </c>
      <c r="S891" s="29">
        <v>61900926</v>
      </c>
      <c r="T891" s="92">
        <v>0</v>
      </c>
      <c r="U891" s="30">
        <v>0</v>
      </c>
      <c r="V891" s="98">
        <v>0</v>
      </c>
      <c r="W891" s="93" t="s">
        <v>2168</v>
      </c>
      <c r="X891" s="95" t="s">
        <v>2696</v>
      </c>
      <c r="Y891" s="93" t="s">
        <v>2245</v>
      </c>
      <c r="Z891" s="95" t="s">
        <v>2697</v>
      </c>
      <c r="AA891" s="29">
        <v>18</v>
      </c>
      <c r="AB891" s="95" t="s">
        <v>2371</v>
      </c>
      <c r="AC891" s="29">
        <v>66853000</v>
      </c>
      <c r="AD891" s="95" t="s">
        <v>2097</v>
      </c>
      <c r="AE891" s="29">
        <v>61900926</v>
      </c>
      <c r="AF891" s="95" t="s">
        <v>1971</v>
      </c>
      <c r="AG891" s="31" t="s">
        <v>337</v>
      </c>
      <c r="AH891" s="32">
        <v>37873588</v>
      </c>
      <c r="AI891" s="99" t="str">
        <f>VLOOKUP(Sales[[#This Row],[Store]],'Store lay bao  cao'!A:B,2,0)</f>
        <v>Lấy BC</v>
      </c>
      <c r="AJ891" s="99" t="str">
        <f>VLOOKUP(Sales[[#This Row],[Associate]],'Associate Status'!B:C,2,0)</f>
        <v>Active</v>
      </c>
    </row>
    <row r="892" spans="1:36" x14ac:dyDescent="0.25">
      <c r="A892" s="89">
        <v>2026</v>
      </c>
      <c r="B892" s="90">
        <v>1</v>
      </c>
      <c r="C892" s="90">
        <v>2</v>
      </c>
      <c r="D892" s="90" t="s">
        <v>71</v>
      </c>
      <c r="E892" s="90" t="s">
        <v>34</v>
      </c>
      <c r="F892" s="90" t="s">
        <v>71</v>
      </c>
      <c r="G892" s="27">
        <v>8625198.333333334</v>
      </c>
      <c r="H892" s="28">
        <v>8190000</v>
      </c>
      <c r="I892" s="91">
        <v>46033</v>
      </c>
      <c r="J892" s="92">
        <v>223700</v>
      </c>
      <c r="K892" s="93" t="s">
        <v>598</v>
      </c>
      <c r="L892" s="94" t="s">
        <v>70</v>
      </c>
      <c r="M892" s="91" t="s">
        <v>15</v>
      </c>
      <c r="N892" s="95" t="s">
        <v>62</v>
      </c>
      <c r="O892" s="96">
        <v>3961</v>
      </c>
      <c r="P892" s="92">
        <v>1</v>
      </c>
      <c r="Q892" s="93" t="s">
        <v>102</v>
      </c>
      <c r="R892" s="97">
        <v>23953000</v>
      </c>
      <c r="S892" s="29">
        <v>22178704</v>
      </c>
      <c r="T892" s="92">
        <v>0</v>
      </c>
      <c r="U892" s="30">
        <v>0</v>
      </c>
      <c r="V892" s="98">
        <v>0</v>
      </c>
      <c r="W892" s="93" t="s">
        <v>1563</v>
      </c>
      <c r="X892" s="95" t="s">
        <v>2698</v>
      </c>
      <c r="Y892" s="93" t="s">
        <v>536</v>
      </c>
      <c r="Z892" s="95" t="s">
        <v>2699</v>
      </c>
      <c r="AA892" s="29">
        <v>15</v>
      </c>
      <c r="AB892" s="95" t="s">
        <v>2660</v>
      </c>
      <c r="AC892" s="29">
        <v>23953000</v>
      </c>
      <c r="AD892" s="95" t="s">
        <v>2097</v>
      </c>
      <c r="AE892" s="29">
        <v>22178704</v>
      </c>
      <c r="AF892" s="95" t="s">
        <v>136</v>
      </c>
      <c r="AG892" s="31" t="s">
        <v>537</v>
      </c>
      <c r="AH892" s="32">
        <v>13553505.666666666</v>
      </c>
      <c r="AI892" s="99" t="str">
        <f>VLOOKUP(Sales[[#This Row],[Store]],'Store lay bao  cao'!A:B,2,0)</f>
        <v>Lấy BC</v>
      </c>
      <c r="AJ892" s="99" t="str">
        <f>VLOOKUP(Sales[[#This Row],[Associate]],'Associate Status'!B:C,2,0)</f>
        <v>Active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6360-602F-4B6D-BB24-AF3451715C2A}">
  <sheetPr>
    <tabColor rgb="FFFF0000"/>
  </sheetPr>
  <dimension ref="A1:L565"/>
  <sheetViews>
    <sheetView workbookViewId="0">
      <selection activeCell="G1" sqref="G1:G1048576"/>
    </sheetView>
  </sheetViews>
  <sheetFormatPr defaultRowHeight="15" x14ac:dyDescent="0.25"/>
  <cols>
    <col min="1" max="1" width="6.5703125" bestFit="1" customWidth="1"/>
    <col min="2" max="2" width="8" bestFit="1" customWidth="1"/>
    <col min="3" max="3" width="10.140625" bestFit="1" customWidth="1"/>
    <col min="4" max="4" width="7.85546875" bestFit="1" customWidth="1"/>
    <col min="5" max="5" width="44.28515625" bestFit="1" customWidth="1"/>
    <col min="6" max="6" width="12" bestFit="1" customWidth="1"/>
    <col min="7" max="7" width="8.85546875" bestFit="1" customWidth="1"/>
    <col min="8" max="8" width="20" bestFit="1" customWidth="1"/>
    <col min="9" max="9" width="14" bestFit="1" customWidth="1"/>
    <col min="10" max="10" width="8" bestFit="1" customWidth="1"/>
    <col min="11" max="11" width="13.5703125" bestFit="1" customWidth="1"/>
    <col min="12" max="12" width="14.85546875" bestFit="1" customWidth="1"/>
  </cols>
  <sheetData>
    <row r="1" spans="1:12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2543</v>
      </c>
    </row>
    <row r="2" spans="1:12" x14ac:dyDescent="0.25">
      <c r="A2" s="1">
        <v>2026</v>
      </c>
      <c r="B2" s="1">
        <v>1</v>
      </c>
      <c r="C2" s="2">
        <v>46034</v>
      </c>
      <c r="D2" s="1">
        <v>30044</v>
      </c>
      <c r="E2" s="1" t="s">
        <v>19</v>
      </c>
      <c r="F2" s="1" t="s">
        <v>11</v>
      </c>
      <c r="G2" s="1" t="s">
        <v>18</v>
      </c>
      <c r="H2" s="1" t="s">
        <v>12</v>
      </c>
      <c r="I2" s="3">
        <v>3698446</v>
      </c>
      <c r="J2" s="1" t="s">
        <v>17</v>
      </c>
      <c r="K2" s="1">
        <v>1</v>
      </c>
      <c r="L2" s="35">
        <f>InventoryTY[[#This Row],[Landed Cost]]*InventoryTY[[#This Row],[Inventory Qty]]</f>
        <v>3698446</v>
      </c>
    </row>
    <row r="3" spans="1:12" x14ac:dyDescent="0.25">
      <c r="A3" s="1">
        <v>2026</v>
      </c>
      <c r="B3" s="1">
        <v>1</v>
      </c>
      <c r="C3" s="2">
        <v>46034</v>
      </c>
      <c r="D3" s="1">
        <v>90573</v>
      </c>
      <c r="E3" s="1" t="s">
        <v>19</v>
      </c>
      <c r="F3" s="1" t="s">
        <v>11</v>
      </c>
      <c r="G3" s="1" t="s">
        <v>29</v>
      </c>
      <c r="H3" s="1" t="s">
        <v>12</v>
      </c>
      <c r="I3" s="3">
        <v>9475200</v>
      </c>
      <c r="J3" s="1" t="s">
        <v>15</v>
      </c>
      <c r="K3" s="1">
        <v>1</v>
      </c>
      <c r="L3" s="35">
        <f>InventoryTY[[#This Row],[Landed Cost]]*InventoryTY[[#This Row],[Inventory Qty]]</f>
        <v>9475200</v>
      </c>
    </row>
    <row r="4" spans="1:12" x14ac:dyDescent="0.25">
      <c r="A4" s="1">
        <v>2026</v>
      </c>
      <c r="B4" s="1">
        <v>1</v>
      </c>
      <c r="C4" s="2">
        <v>46034</v>
      </c>
      <c r="D4" s="1">
        <v>90583</v>
      </c>
      <c r="E4" s="1" t="s">
        <v>19</v>
      </c>
      <c r="F4" s="1" t="s">
        <v>11</v>
      </c>
      <c r="G4" s="1" t="s">
        <v>29</v>
      </c>
      <c r="H4" s="1" t="s">
        <v>12</v>
      </c>
      <c r="I4" s="3">
        <v>1945800</v>
      </c>
      <c r="J4" s="1" t="s">
        <v>17</v>
      </c>
      <c r="K4" s="1">
        <v>1</v>
      </c>
      <c r="L4" s="35">
        <f>InventoryTY[[#This Row],[Landed Cost]]*InventoryTY[[#This Row],[Inventory Qty]]</f>
        <v>1945800</v>
      </c>
    </row>
    <row r="5" spans="1:12" x14ac:dyDescent="0.25">
      <c r="A5" s="1">
        <v>2026</v>
      </c>
      <c r="B5" s="1">
        <v>1</v>
      </c>
      <c r="C5" s="2">
        <v>46034</v>
      </c>
      <c r="D5" s="1">
        <v>117902</v>
      </c>
      <c r="E5" s="1" t="s">
        <v>19</v>
      </c>
      <c r="F5" s="1" t="s">
        <v>11</v>
      </c>
      <c r="G5" s="1" t="s">
        <v>31</v>
      </c>
      <c r="H5" s="1" t="s">
        <v>12</v>
      </c>
      <c r="I5" s="3">
        <v>34545000</v>
      </c>
      <c r="J5" s="1" t="s">
        <v>17</v>
      </c>
      <c r="K5" s="1">
        <v>1</v>
      </c>
      <c r="L5" s="35">
        <f>InventoryTY[[#This Row],[Landed Cost]]*InventoryTY[[#This Row],[Inventory Qty]]</f>
        <v>34545000</v>
      </c>
    </row>
    <row r="6" spans="1:12" x14ac:dyDescent="0.25">
      <c r="A6" s="1">
        <v>2026</v>
      </c>
      <c r="B6" s="1">
        <v>1</v>
      </c>
      <c r="C6" s="2">
        <v>46034</v>
      </c>
      <c r="D6" s="1">
        <v>132032</v>
      </c>
      <c r="E6" s="1" t="s">
        <v>35</v>
      </c>
      <c r="F6" s="1" t="s">
        <v>11</v>
      </c>
      <c r="G6" s="1" t="s">
        <v>36</v>
      </c>
      <c r="H6" s="1" t="s">
        <v>37</v>
      </c>
      <c r="I6" s="3">
        <v>5306700</v>
      </c>
      <c r="J6" s="1" t="s">
        <v>15</v>
      </c>
      <c r="K6" s="1">
        <v>1</v>
      </c>
      <c r="L6" s="35">
        <f>InventoryTY[[#This Row],[Landed Cost]]*InventoryTY[[#This Row],[Inventory Qty]]</f>
        <v>5306700</v>
      </c>
    </row>
    <row r="7" spans="1:12" x14ac:dyDescent="0.25">
      <c r="A7" s="1">
        <v>2026</v>
      </c>
      <c r="B7" s="1">
        <v>1</v>
      </c>
      <c r="C7" s="2">
        <v>46034</v>
      </c>
      <c r="D7" s="1">
        <v>133939</v>
      </c>
      <c r="E7" s="1" t="s">
        <v>32</v>
      </c>
      <c r="F7" s="1" t="s">
        <v>11</v>
      </c>
      <c r="G7" s="1" t="s">
        <v>36</v>
      </c>
      <c r="H7" s="1" t="s">
        <v>38</v>
      </c>
      <c r="I7" s="3">
        <v>17358250</v>
      </c>
      <c r="J7" s="1" t="s">
        <v>15</v>
      </c>
      <c r="K7" s="1">
        <v>1</v>
      </c>
      <c r="L7" s="35">
        <f>InventoryTY[[#This Row],[Landed Cost]]*InventoryTY[[#This Row],[Inventory Qty]]</f>
        <v>17358250</v>
      </c>
    </row>
    <row r="8" spans="1:12" x14ac:dyDescent="0.25">
      <c r="A8" s="1">
        <v>2026</v>
      </c>
      <c r="B8" s="1">
        <v>1</v>
      </c>
      <c r="C8" s="2">
        <v>46034</v>
      </c>
      <c r="D8" s="1">
        <v>139754</v>
      </c>
      <c r="E8" s="1" t="s">
        <v>32</v>
      </c>
      <c r="F8" s="1" t="s">
        <v>11</v>
      </c>
      <c r="G8" s="1" t="s">
        <v>36</v>
      </c>
      <c r="H8" s="1" t="s">
        <v>39</v>
      </c>
      <c r="I8" s="3">
        <v>10682000</v>
      </c>
      <c r="J8" s="1" t="s">
        <v>15</v>
      </c>
      <c r="K8" s="1">
        <v>1</v>
      </c>
      <c r="L8" s="35">
        <f>InventoryTY[[#This Row],[Landed Cost]]*InventoryTY[[#This Row],[Inventory Qty]]</f>
        <v>10682000</v>
      </c>
    </row>
    <row r="9" spans="1:12" x14ac:dyDescent="0.25">
      <c r="A9" s="1">
        <v>2026</v>
      </c>
      <c r="B9" s="1">
        <v>1</v>
      </c>
      <c r="C9" s="2">
        <v>46034</v>
      </c>
      <c r="D9" s="1">
        <v>151866</v>
      </c>
      <c r="E9" s="1" t="s">
        <v>19</v>
      </c>
      <c r="F9" s="1" t="s">
        <v>11</v>
      </c>
      <c r="G9" s="1" t="s">
        <v>42</v>
      </c>
      <c r="H9" s="1" t="s">
        <v>43</v>
      </c>
      <c r="I9" s="3">
        <v>3281775</v>
      </c>
      <c r="J9" s="1" t="s">
        <v>15</v>
      </c>
      <c r="K9" s="1">
        <v>1</v>
      </c>
      <c r="L9" s="35">
        <f>InventoryTY[[#This Row],[Landed Cost]]*InventoryTY[[#This Row],[Inventory Qty]]</f>
        <v>3281775</v>
      </c>
    </row>
    <row r="10" spans="1:12" x14ac:dyDescent="0.25">
      <c r="A10" s="1">
        <v>2026</v>
      </c>
      <c r="B10" s="1">
        <v>1</v>
      </c>
      <c r="C10" s="2">
        <v>46034</v>
      </c>
      <c r="D10" s="1">
        <v>151877</v>
      </c>
      <c r="E10" s="1" t="s">
        <v>19</v>
      </c>
      <c r="F10" s="1" t="s">
        <v>11</v>
      </c>
      <c r="G10" s="1" t="s">
        <v>42</v>
      </c>
      <c r="H10" s="1" t="s">
        <v>43</v>
      </c>
      <c r="I10" s="3">
        <v>14802900</v>
      </c>
      <c r="J10" s="1" t="s">
        <v>15</v>
      </c>
      <c r="K10" s="1">
        <v>1</v>
      </c>
      <c r="L10" s="35">
        <f>InventoryTY[[#This Row],[Landed Cost]]*InventoryTY[[#This Row],[Inventory Qty]]</f>
        <v>14802900</v>
      </c>
    </row>
    <row r="11" spans="1:12" x14ac:dyDescent="0.25">
      <c r="A11" s="1">
        <v>2026</v>
      </c>
      <c r="B11" s="1">
        <v>1</v>
      </c>
      <c r="C11" s="2">
        <v>46034</v>
      </c>
      <c r="D11" s="1">
        <v>170999</v>
      </c>
      <c r="E11" s="1" t="s">
        <v>46</v>
      </c>
      <c r="F11" s="1" t="s">
        <v>11</v>
      </c>
      <c r="G11" s="1" t="s">
        <v>45</v>
      </c>
      <c r="H11" s="1" t="s">
        <v>34</v>
      </c>
      <c r="I11" s="3">
        <v>1622500</v>
      </c>
      <c r="J11" s="1" t="s">
        <v>21</v>
      </c>
      <c r="K11" s="1">
        <v>3</v>
      </c>
      <c r="L11" s="35">
        <f>InventoryTY[[#This Row],[Landed Cost]]*InventoryTY[[#This Row],[Inventory Qty]]</f>
        <v>4867500</v>
      </c>
    </row>
    <row r="12" spans="1:12" x14ac:dyDescent="0.25">
      <c r="A12" s="1">
        <v>2026</v>
      </c>
      <c r="B12" s="1">
        <v>1</v>
      </c>
      <c r="C12" s="2">
        <v>46034</v>
      </c>
      <c r="D12" s="1">
        <v>171001</v>
      </c>
      <c r="E12" s="1" t="s">
        <v>46</v>
      </c>
      <c r="F12" s="1" t="s">
        <v>11</v>
      </c>
      <c r="G12" s="1" t="s">
        <v>45</v>
      </c>
      <c r="H12" s="1" t="s">
        <v>34</v>
      </c>
      <c r="I12" s="3">
        <v>1062000</v>
      </c>
      <c r="J12" s="1" t="s">
        <v>28</v>
      </c>
      <c r="K12" s="1">
        <v>1</v>
      </c>
      <c r="L12" s="35">
        <f>InventoryTY[[#This Row],[Landed Cost]]*InventoryTY[[#This Row],[Inventory Qty]]</f>
        <v>1062000</v>
      </c>
    </row>
    <row r="13" spans="1:12" x14ac:dyDescent="0.25">
      <c r="A13" s="1">
        <v>2026</v>
      </c>
      <c r="B13" s="1">
        <v>1</v>
      </c>
      <c r="C13" s="2">
        <v>46034</v>
      </c>
      <c r="D13" s="1">
        <v>171015</v>
      </c>
      <c r="E13" s="1" t="s">
        <v>47</v>
      </c>
      <c r="F13" s="1" t="s">
        <v>11</v>
      </c>
      <c r="G13" s="1" t="s">
        <v>45</v>
      </c>
      <c r="H13" s="1" t="s">
        <v>37</v>
      </c>
      <c r="I13" s="3">
        <v>2537000</v>
      </c>
      <c r="J13" s="1" t="s">
        <v>17</v>
      </c>
      <c r="K13" s="1">
        <v>1</v>
      </c>
      <c r="L13" s="35">
        <f>InventoryTY[[#This Row],[Landed Cost]]*InventoryTY[[#This Row],[Inventory Qty]]</f>
        <v>2537000</v>
      </c>
    </row>
    <row r="14" spans="1:12" x14ac:dyDescent="0.25">
      <c r="A14" s="1">
        <v>2026</v>
      </c>
      <c r="B14" s="1">
        <v>1</v>
      </c>
      <c r="C14" s="2">
        <v>46034</v>
      </c>
      <c r="D14" s="1">
        <v>171016</v>
      </c>
      <c r="E14" s="1" t="s">
        <v>47</v>
      </c>
      <c r="F14" s="1" t="s">
        <v>11</v>
      </c>
      <c r="G14" s="1" t="s">
        <v>45</v>
      </c>
      <c r="H14" s="1" t="s">
        <v>37</v>
      </c>
      <c r="I14" s="3">
        <v>6136000</v>
      </c>
      <c r="J14" s="1" t="s">
        <v>13</v>
      </c>
      <c r="K14" s="1">
        <v>1</v>
      </c>
      <c r="L14" s="35">
        <f>InventoryTY[[#This Row],[Landed Cost]]*InventoryTY[[#This Row],[Inventory Qty]]</f>
        <v>6136000</v>
      </c>
    </row>
    <row r="15" spans="1:12" x14ac:dyDescent="0.25">
      <c r="A15" s="1">
        <v>2026</v>
      </c>
      <c r="B15" s="1">
        <v>1</v>
      </c>
      <c r="C15" s="2">
        <v>46034</v>
      </c>
      <c r="D15" s="1">
        <v>171018</v>
      </c>
      <c r="E15" s="1" t="s">
        <v>47</v>
      </c>
      <c r="F15" s="1" t="s">
        <v>11</v>
      </c>
      <c r="G15" s="1" t="s">
        <v>45</v>
      </c>
      <c r="H15" s="1" t="s">
        <v>37</v>
      </c>
      <c r="I15" s="3">
        <v>13275000</v>
      </c>
      <c r="J15" s="1" t="s">
        <v>17</v>
      </c>
      <c r="K15" s="1">
        <v>1</v>
      </c>
      <c r="L15" s="35">
        <f>InventoryTY[[#This Row],[Landed Cost]]*InventoryTY[[#This Row],[Inventory Qty]]</f>
        <v>13275000</v>
      </c>
    </row>
    <row r="16" spans="1:12" x14ac:dyDescent="0.25">
      <c r="A16" s="1">
        <v>2026</v>
      </c>
      <c r="B16" s="1">
        <v>1</v>
      </c>
      <c r="C16" s="2">
        <v>46034</v>
      </c>
      <c r="D16" s="1">
        <v>171022</v>
      </c>
      <c r="E16" s="1" t="s">
        <v>48</v>
      </c>
      <c r="F16" s="1" t="s">
        <v>11</v>
      </c>
      <c r="G16" s="1" t="s">
        <v>45</v>
      </c>
      <c r="H16" s="1" t="s">
        <v>49</v>
      </c>
      <c r="I16" s="3">
        <v>737500</v>
      </c>
      <c r="J16" s="1" t="s">
        <v>17</v>
      </c>
      <c r="K16" s="1">
        <v>1</v>
      </c>
      <c r="L16" s="35">
        <f>InventoryTY[[#This Row],[Landed Cost]]*InventoryTY[[#This Row],[Inventory Qty]]</f>
        <v>737500</v>
      </c>
    </row>
    <row r="17" spans="1:12" x14ac:dyDescent="0.25">
      <c r="A17" s="1">
        <v>2026</v>
      </c>
      <c r="B17" s="1">
        <v>1</v>
      </c>
      <c r="C17" s="2">
        <v>46034</v>
      </c>
      <c r="D17" s="1">
        <v>171038</v>
      </c>
      <c r="E17" s="1" t="s">
        <v>48</v>
      </c>
      <c r="F17" s="1" t="s">
        <v>11</v>
      </c>
      <c r="G17" s="1" t="s">
        <v>45</v>
      </c>
      <c r="H17" s="1" t="s">
        <v>49</v>
      </c>
      <c r="I17" s="3">
        <v>3953000</v>
      </c>
      <c r="J17" s="1" t="s">
        <v>17</v>
      </c>
      <c r="K17" s="1">
        <v>1</v>
      </c>
      <c r="L17" s="35">
        <f>InventoryTY[[#This Row],[Landed Cost]]*InventoryTY[[#This Row],[Inventory Qty]]</f>
        <v>3953000</v>
      </c>
    </row>
    <row r="18" spans="1:12" x14ac:dyDescent="0.25">
      <c r="A18" s="1">
        <v>2026</v>
      </c>
      <c r="B18" s="1">
        <v>1</v>
      </c>
      <c r="C18" s="2">
        <v>46034</v>
      </c>
      <c r="D18" s="1">
        <v>171039</v>
      </c>
      <c r="E18" s="1" t="s">
        <v>48</v>
      </c>
      <c r="F18" s="1" t="s">
        <v>11</v>
      </c>
      <c r="G18" s="1" t="s">
        <v>45</v>
      </c>
      <c r="H18" s="1" t="s">
        <v>43</v>
      </c>
      <c r="I18" s="3">
        <v>3953000</v>
      </c>
      <c r="J18" s="1" t="s">
        <v>17</v>
      </c>
      <c r="K18" s="1">
        <v>1</v>
      </c>
      <c r="L18" s="35">
        <f>InventoryTY[[#This Row],[Landed Cost]]*InventoryTY[[#This Row],[Inventory Qty]]</f>
        <v>3953000</v>
      </c>
    </row>
    <row r="19" spans="1:12" x14ac:dyDescent="0.25">
      <c r="A19" s="1">
        <v>2026</v>
      </c>
      <c r="B19" s="1">
        <v>1</v>
      </c>
      <c r="C19" s="2">
        <v>46034</v>
      </c>
      <c r="D19" s="1">
        <v>171041</v>
      </c>
      <c r="E19" s="1" t="s">
        <v>48</v>
      </c>
      <c r="F19" s="1" t="s">
        <v>11</v>
      </c>
      <c r="G19" s="1" t="s">
        <v>45</v>
      </c>
      <c r="H19" s="1" t="s">
        <v>43</v>
      </c>
      <c r="I19" s="3">
        <v>7906000</v>
      </c>
      <c r="J19" s="1" t="s">
        <v>17</v>
      </c>
      <c r="K19" s="1">
        <v>1</v>
      </c>
      <c r="L19" s="35">
        <f>InventoryTY[[#This Row],[Landed Cost]]*InventoryTY[[#This Row],[Inventory Qty]]</f>
        <v>7906000</v>
      </c>
    </row>
    <row r="20" spans="1:12" x14ac:dyDescent="0.25">
      <c r="A20" s="1">
        <v>2026</v>
      </c>
      <c r="B20" s="1">
        <v>1</v>
      </c>
      <c r="C20" s="2">
        <v>46034</v>
      </c>
      <c r="D20" s="1">
        <v>171044</v>
      </c>
      <c r="E20" s="1" t="s">
        <v>48</v>
      </c>
      <c r="F20" s="1" t="s">
        <v>11</v>
      </c>
      <c r="G20" s="1" t="s">
        <v>45</v>
      </c>
      <c r="H20" s="1" t="s">
        <v>34</v>
      </c>
      <c r="I20" s="3">
        <v>7906000</v>
      </c>
      <c r="J20" s="1" t="s">
        <v>17</v>
      </c>
      <c r="K20" s="1">
        <v>1</v>
      </c>
      <c r="L20" s="35">
        <f>InventoryTY[[#This Row],[Landed Cost]]*InventoryTY[[#This Row],[Inventory Qty]]</f>
        <v>7906000</v>
      </c>
    </row>
    <row r="21" spans="1:12" x14ac:dyDescent="0.25">
      <c r="A21" s="1">
        <v>2026</v>
      </c>
      <c r="B21" s="1">
        <v>1</v>
      </c>
      <c r="C21" s="2">
        <v>46034</v>
      </c>
      <c r="D21" s="1">
        <v>171046</v>
      </c>
      <c r="E21" s="1" t="s">
        <v>48</v>
      </c>
      <c r="F21" s="1" t="s">
        <v>11</v>
      </c>
      <c r="G21" s="1" t="s">
        <v>45</v>
      </c>
      <c r="H21" s="1" t="s">
        <v>49</v>
      </c>
      <c r="I21" s="3">
        <v>3540000</v>
      </c>
      <c r="J21" s="1" t="s">
        <v>17</v>
      </c>
      <c r="K21" s="1">
        <v>1</v>
      </c>
      <c r="L21" s="35">
        <f>InventoryTY[[#This Row],[Landed Cost]]*InventoryTY[[#This Row],[Inventory Qty]]</f>
        <v>3540000</v>
      </c>
    </row>
    <row r="22" spans="1:12" x14ac:dyDescent="0.25">
      <c r="A22" s="1">
        <v>2026</v>
      </c>
      <c r="B22" s="1">
        <v>1</v>
      </c>
      <c r="C22" s="2">
        <v>46034</v>
      </c>
      <c r="D22" s="1">
        <v>171047</v>
      </c>
      <c r="E22" s="1" t="s">
        <v>48</v>
      </c>
      <c r="F22" s="1" t="s">
        <v>11</v>
      </c>
      <c r="G22" s="1" t="s">
        <v>45</v>
      </c>
      <c r="H22" s="1" t="s">
        <v>49</v>
      </c>
      <c r="I22" s="3">
        <v>7375000</v>
      </c>
      <c r="J22" s="1" t="s">
        <v>17</v>
      </c>
      <c r="K22" s="1">
        <v>1</v>
      </c>
      <c r="L22" s="35">
        <f>InventoryTY[[#This Row],[Landed Cost]]*InventoryTY[[#This Row],[Inventory Qty]]</f>
        <v>7375000</v>
      </c>
    </row>
    <row r="23" spans="1:12" x14ac:dyDescent="0.25">
      <c r="A23" s="1">
        <v>2026</v>
      </c>
      <c r="B23" s="1">
        <v>1</v>
      </c>
      <c r="C23" s="2">
        <v>46034</v>
      </c>
      <c r="D23" s="1">
        <v>171048</v>
      </c>
      <c r="E23" s="1" t="s">
        <v>48</v>
      </c>
      <c r="F23" s="1" t="s">
        <v>11</v>
      </c>
      <c r="G23" s="1" t="s">
        <v>45</v>
      </c>
      <c r="H23" s="1" t="s">
        <v>34</v>
      </c>
      <c r="I23" s="3">
        <v>8850000</v>
      </c>
      <c r="J23" s="1" t="s">
        <v>17</v>
      </c>
      <c r="K23" s="1">
        <v>1</v>
      </c>
      <c r="L23" s="35">
        <f>InventoryTY[[#This Row],[Landed Cost]]*InventoryTY[[#This Row],[Inventory Qty]]</f>
        <v>8850000</v>
      </c>
    </row>
    <row r="24" spans="1:12" x14ac:dyDescent="0.25">
      <c r="A24" s="1">
        <v>2026</v>
      </c>
      <c r="B24" s="1">
        <v>1</v>
      </c>
      <c r="C24" s="2">
        <v>46034</v>
      </c>
      <c r="D24" s="1">
        <v>171051</v>
      </c>
      <c r="E24" s="1" t="s">
        <v>48</v>
      </c>
      <c r="F24" s="1" t="s">
        <v>11</v>
      </c>
      <c r="G24" s="1" t="s">
        <v>45</v>
      </c>
      <c r="H24" s="1" t="s">
        <v>43</v>
      </c>
      <c r="I24" s="3">
        <v>8850000</v>
      </c>
      <c r="J24" s="1" t="s">
        <v>17</v>
      </c>
      <c r="K24" s="1">
        <v>1</v>
      </c>
      <c r="L24" s="35">
        <f>InventoryTY[[#This Row],[Landed Cost]]*InventoryTY[[#This Row],[Inventory Qty]]</f>
        <v>8850000</v>
      </c>
    </row>
    <row r="25" spans="1:12" x14ac:dyDescent="0.25">
      <c r="A25" s="1">
        <v>2026</v>
      </c>
      <c r="B25" s="1">
        <v>1</v>
      </c>
      <c r="C25" s="2">
        <v>46034</v>
      </c>
      <c r="D25" s="1">
        <v>171052</v>
      </c>
      <c r="E25" s="1" t="s">
        <v>48</v>
      </c>
      <c r="F25" s="1" t="s">
        <v>11</v>
      </c>
      <c r="G25" s="1" t="s">
        <v>45</v>
      </c>
      <c r="H25" s="1" t="s">
        <v>34</v>
      </c>
      <c r="I25" s="3">
        <v>10325000</v>
      </c>
      <c r="J25" s="1" t="s">
        <v>17</v>
      </c>
      <c r="K25" s="1">
        <v>1</v>
      </c>
      <c r="L25" s="35">
        <f>InventoryTY[[#This Row],[Landed Cost]]*InventoryTY[[#This Row],[Inventory Qty]]</f>
        <v>10325000</v>
      </c>
    </row>
    <row r="26" spans="1:12" x14ac:dyDescent="0.25">
      <c r="A26" s="1">
        <v>2026</v>
      </c>
      <c r="B26" s="1">
        <v>1</v>
      </c>
      <c r="C26" s="2">
        <v>46034</v>
      </c>
      <c r="D26" s="1">
        <v>171053</v>
      </c>
      <c r="E26" s="1" t="s">
        <v>48</v>
      </c>
      <c r="F26" s="1" t="s">
        <v>11</v>
      </c>
      <c r="G26" s="1" t="s">
        <v>45</v>
      </c>
      <c r="H26" s="1" t="s">
        <v>43</v>
      </c>
      <c r="I26" s="3">
        <v>9145000</v>
      </c>
      <c r="J26" s="1" t="s">
        <v>17</v>
      </c>
      <c r="K26" s="1">
        <v>1</v>
      </c>
      <c r="L26" s="35">
        <f>InventoryTY[[#This Row],[Landed Cost]]*InventoryTY[[#This Row],[Inventory Qty]]</f>
        <v>9145000</v>
      </c>
    </row>
    <row r="27" spans="1:12" x14ac:dyDescent="0.25">
      <c r="A27" s="1">
        <v>2026</v>
      </c>
      <c r="B27" s="1">
        <v>1</v>
      </c>
      <c r="C27" s="2">
        <v>46034</v>
      </c>
      <c r="D27" s="1">
        <v>171054</v>
      </c>
      <c r="E27" s="1" t="s">
        <v>48</v>
      </c>
      <c r="F27" s="1" t="s">
        <v>11</v>
      </c>
      <c r="G27" s="1" t="s">
        <v>45</v>
      </c>
      <c r="H27" s="1" t="s">
        <v>24</v>
      </c>
      <c r="I27" s="3">
        <v>10620000</v>
      </c>
      <c r="J27" s="1" t="s">
        <v>17</v>
      </c>
      <c r="K27" s="1">
        <v>1</v>
      </c>
      <c r="L27" s="35">
        <f>InventoryTY[[#This Row],[Landed Cost]]*InventoryTY[[#This Row],[Inventory Qty]]</f>
        <v>10620000</v>
      </c>
    </row>
    <row r="28" spans="1:12" x14ac:dyDescent="0.25">
      <c r="A28" s="1">
        <v>2026</v>
      </c>
      <c r="B28" s="1">
        <v>1</v>
      </c>
      <c r="C28" s="2">
        <v>46034</v>
      </c>
      <c r="D28" s="1">
        <v>171055</v>
      </c>
      <c r="E28" s="1" t="s">
        <v>48</v>
      </c>
      <c r="F28" s="1" t="s">
        <v>11</v>
      </c>
      <c r="G28" s="1" t="s">
        <v>45</v>
      </c>
      <c r="H28" s="1" t="s">
        <v>43</v>
      </c>
      <c r="I28" s="3">
        <v>10325000</v>
      </c>
      <c r="J28" s="1" t="s">
        <v>17</v>
      </c>
      <c r="K28" s="1">
        <v>1</v>
      </c>
      <c r="L28" s="35">
        <f>InventoryTY[[#This Row],[Landed Cost]]*InventoryTY[[#This Row],[Inventory Qty]]</f>
        <v>10325000</v>
      </c>
    </row>
    <row r="29" spans="1:12" x14ac:dyDescent="0.25">
      <c r="A29" s="1">
        <v>2026</v>
      </c>
      <c r="B29" s="1">
        <v>1</v>
      </c>
      <c r="C29" s="2">
        <v>46034</v>
      </c>
      <c r="D29" s="1">
        <v>171097</v>
      </c>
      <c r="E29" s="1" t="s">
        <v>50</v>
      </c>
      <c r="F29" s="1" t="s">
        <v>11</v>
      </c>
      <c r="G29" s="1" t="s">
        <v>45</v>
      </c>
      <c r="H29" s="1" t="s">
        <v>34</v>
      </c>
      <c r="I29" s="3">
        <v>7227500</v>
      </c>
      <c r="J29" s="1" t="s">
        <v>17</v>
      </c>
      <c r="K29" s="1">
        <v>1</v>
      </c>
      <c r="L29" s="35">
        <f>InventoryTY[[#This Row],[Landed Cost]]*InventoryTY[[#This Row],[Inventory Qty]]</f>
        <v>7227500</v>
      </c>
    </row>
    <row r="30" spans="1:12" x14ac:dyDescent="0.25">
      <c r="A30" s="1">
        <v>2026</v>
      </c>
      <c r="B30" s="1">
        <v>1</v>
      </c>
      <c r="C30" s="2">
        <v>46034</v>
      </c>
      <c r="D30" s="1">
        <v>174865</v>
      </c>
      <c r="E30" s="1" t="s">
        <v>47</v>
      </c>
      <c r="F30" s="1" t="s">
        <v>11</v>
      </c>
      <c r="G30" s="1" t="s">
        <v>51</v>
      </c>
      <c r="H30" s="1" t="s">
        <v>37</v>
      </c>
      <c r="I30" s="3">
        <v>1461877</v>
      </c>
      <c r="J30" s="1" t="s">
        <v>13</v>
      </c>
      <c r="K30" s="1">
        <v>1</v>
      </c>
      <c r="L30" s="35">
        <f>InventoryTY[[#This Row],[Landed Cost]]*InventoryTY[[#This Row],[Inventory Qty]]</f>
        <v>1461877</v>
      </c>
    </row>
    <row r="31" spans="1:12" x14ac:dyDescent="0.25">
      <c r="A31" s="1">
        <v>2026</v>
      </c>
      <c r="B31" s="1">
        <v>1</v>
      </c>
      <c r="C31" s="2">
        <v>46034</v>
      </c>
      <c r="D31" s="1">
        <v>174868</v>
      </c>
      <c r="E31" s="1" t="s">
        <v>47</v>
      </c>
      <c r="F31" s="1" t="s">
        <v>11</v>
      </c>
      <c r="G31" s="1" t="s">
        <v>51</v>
      </c>
      <c r="H31" s="1" t="s">
        <v>37</v>
      </c>
      <c r="I31" s="3">
        <v>1461877</v>
      </c>
      <c r="J31" s="1" t="s">
        <v>15</v>
      </c>
      <c r="K31" s="1">
        <v>1</v>
      </c>
      <c r="L31" s="35">
        <f>InventoryTY[[#This Row],[Landed Cost]]*InventoryTY[[#This Row],[Inventory Qty]]</f>
        <v>1461877</v>
      </c>
    </row>
    <row r="32" spans="1:12" x14ac:dyDescent="0.25">
      <c r="A32" s="1">
        <v>2026</v>
      </c>
      <c r="B32" s="1">
        <v>1</v>
      </c>
      <c r="C32" s="2">
        <v>46034</v>
      </c>
      <c r="D32" s="1">
        <v>174877</v>
      </c>
      <c r="E32" s="1" t="s">
        <v>47</v>
      </c>
      <c r="F32" s="1" t="s">
        <v>11</v>
      </c>
      <c r="G32" s="1" t="s">
        <v>51</v>
      </c>
      <c r="H32" s="1" t="s">
        <v>37</v>
      </c>
      <c r="I32" s="3">
        <v>1759667</v>
      </c>
      <c r="J32" s="1" t="s">
        <v>15</v>
      </c>
      <c r="K32" s="1">
        <v>1</v>
      </c>
      <c r="L32" s="35">
        <f>InventoryTY[[#This Row],[Landed Cost]]*InventoryTY[[#This Row],[Inventory Qty]]</f>
        <v>1759667</v>
      </c>
    </row>
    <row r="33" spans="1:12" x14ac:dyDescent="0.25">
      <c r="A33" s="1">
        <v>2026</v>
      </c>
      <c r="B33" s="1">
        <v>1</v>
      </c>
      <c r="C33" s="2">
        <v>46034</v>
      </c>
      <c r="D33" s="1">
        <v>174883</v>
      </c>
      <c r="E33" s="1" t="s">
        <v>47</v>
      </c>
      <c r="F33" s="1" t="s">
        <v>11</v>
      </c>
      <c r="G33" s="1" t="s">
        <v>51</v>
      </c>
      <c r="H33" s="1" t="s">
        <v>37</v>
      </c>
      <c r="I33" s="3">
        <v>1759667</v>
      </c>
      <c r="J33" s="1" t="s">
        <v>17</v>
      </c>
      <c r="K33" s="1">
        <v>1</v>
      </c>
      <c r="L33" s="35">
        <f>InventoryTY[[#This Row],[Landed Cost]]*InventoryTY[[#This Row],[Inventory Qty]]</f>
        <v>1759667</v>
      </c>
    </row>
    <row r="34" spans="1:12" x14ac:dyDescent="0.25">
      <c r="A34" s="1">
        <v>2026</v>
      </c>
      <c r="B34" s="1">
        <v>1</v>
      </c>
      <c r="C34" s="2">
        <v>46034</v>
      </c>
      <c r="D34" s="1">
        <v>174889</v>
      </c>
      <c r="E34" s="1" t="s">
        <v>47</v>
      </c>
      <c r="F34" s="1" t="s">
        <v>11</v>
      </c>
      <c r="G34" s="1" t="s">
        <v>51</v>
      </c>
      <c r="H34" s="1" t="s">
        <v>37</v>
      </c>
      <c r="I34" s="3">
        <v>1641228</v>
      </c>
      <c r="J34" s="1" t="s">
        <v>17</v>
      </c>
      <c r="K34" s="1">
        <v>1</v>
      </c>
      <c r="L34" s="35">
        <f>InventoryTY[[#This Row],[Landed Cost]]*InventoryTY[[#This Row],[Inventory Qty]]</f>
        <v>1641228</v>
      </c>
    </row>
    <row r="35" spans="1:12" x14ac:dyDescent="0.25">
      <c r="A35" s="1">
        <v>2026</v>
      </c>
      <c r="B35" s="1">
        <v>1</v>
      </c>
      <c r="C35" s="2">
        <v>46034</v>
      </c>
      <c r="D35" s="1">
        <v>174890</v>
      </c>
      <c r="E35" s="1" t="s">
        <v>47</v>
      </c>
      <c r="F35" s="1" t="s">
        <v>11</v>
      </c>
      <c r="G35" s="1" t="s">
        <v>51</v>
      </c>
      <c r="H35" s="1" t="s">
        <v>37</v>
      </c>
      <c r="I35" s="3">
        <v>1760999</v>
      </c>
      <c r="J35" s="1" t="s">
        <v>13</v>
      </c>
      <c r="K35" s="1">
        <v>1</v>
      </c>
      <c r="L35" s="35">
        <f>InventoryTY[[#This Row],[Landed Cost]]*InventoryTY[[#This Row],[Inventory Qty]]</f>
        <v>1760999</v>
      </c>
    </row>
    <row r="36" spans="1:12" x14ac:dyDescent="0.25">
      <c r="A36" s="1">
        <v>2026</v>
      </c>
      <c r="B36" s="1">
        <v>1</v>
      </c>
      <c r="C36" s="2">
        <v>46034</v>
      </c>
      <c r="D36" s="1">
        <v>174897</v>
      </c>
      <c r="E36" s="1" t="s">
        <v>47</v>
      </c>
      <c r="F36" s="1" t="s">
        <v>11</v>
      </c>
      <c r="G36" s="1" t="s">
        <v>51</v>
      </c>
      <c r="H36" s="1" t="s">
        <v>37</v>
      </c>
      <c r="I36" s="3">
        <v>2673340</v>
      </c>
      <c r="J36" s="1" t="s">
        <v>17</v>
      </c>
      <c r="K36" s="1">
        <v>1</v>
      </c>
      <c r="L36" s="35">
        <f>InventoryTY[[#This Row],[Landed Cost]]*InventoryTY[[#This Row],[Inventory Qty]]</f>
        <v>2673340</v>
      </c>
    </row>
    <row r="37" spans="1:12" x14ac:dyDescent="0.25">
      <c r="A37" s="1">
        <v>2026</v>
      </c>
      <c r="B37" s="1">
        <v>1</v>
      </c>
      <c r="C37" s="2">
        <v>46034</v>
      </c>
      <c r="D37" s="1">
        <v>174899</v>
      </c>
      <c r="E37" s="1" t="s">
        <v>47</v>
      </c>
      <c r="F37" s="1" t="s">
        <v>11</v>
      </c>
      <c r="G37" s="1" t="s">
        <v>51</v>
      </c>
      <c r="H37" s="1" t="s">
        <v>37</v>
      </c>
      <c r="I37" s="3">
        <v>2064225</v>
      </c>
      <c r="J37" s="1" t="s">
        <v>13</v>
      </c>
      <c r="K37" s="1">
        <v>1</v>
      </c>
      <c r="L37" s="35">
        <f>InventoryTY[[#This Row],[Landed Cost]]*InventoryTY[[#This Row],[Inventory Qty]]</f>
        <v>2064225</v>
      </c>
    </row>
    <row r="38" spans="1:12" x14ac:dyDescent="0.25">
      <c r="A38" s="1">
        <v>2026</v>
      </c>
      <c r="B38" s="1">
        <v>1</v>
      </c>
      <c r="C38" s="2">
        <v>46034</v>
      </c>
      <c r="D38" s="1">
        <v>174904</v>
      </c>
      <c r="E38" s="1" t="s">
        <v>47</v>
      </c>
      <c r="F38" s="1" t="s">
        <v>11</v>
      </c>
      <c r="G38" s="1" t="s">
        <v>51</v>
      </c>
      <c r="H38" s="1" t="s">
        <v>34</v>
      </c>
      <c r="I38" s="3">
        <v>1032112</v>
      </c>
      <c r="J38" s="1" t="s">
        <v>17</v>
      </c>
      <c r="K38" s="1">
        <v>1</v>
      </c>
      <c r="L38" s="35">
        <f>InventoryTY[[#This Row],[Landed Cost]]*InventoryTY[[#This Row],[Inventory Qty]]</f>
        <v>1032112</v>
      </c>
    </row>
    <row r="39" spans="1:12" x14ac:dyDescent="0.25">
      <c r="A39" s="1">
        <v>2026</v>
      </c>
      <c r="B39" s="1">
        <v>1</v>
      </c>
      <c r="C39" s="2">
        <v>46034</v>
      </c>
      <c r="D39" s="1">
        <v>174906</v>
      </c>
      <c r="E39" s="1" t="s">
        <v>47</v>
      </c>
      <c r="F39" s="1" t="s">
        <v>11</v>
      </c>
      <c r="G39" s="1" t="s">
        <v>51</v>
      </c>
      <c r="H39" s="1" t="s">
        <v>34</v>
      </c>
      <c r="I39" s="3">
        <v>913673</v>
      </c>
      <c r="J39" s="1" t="s">
        <v>17</v>
      </c>
      <c r="K39" s="1">
        <v>1</v>
      </c>
      <c r="L39" s="35">
        <f>InventoryTY[[#This Row],[Landed Cost]]*InventoryTY[[#This Row],[Inventory Qty]]</f>
        <v>913673</v>
      </c>
    </row>
    <row r="40" spans="1:12" x14ac:dyDescent="0.25">
      <c r="A40" s="1">
        <v>2026</v>
      </c>
      <c r="B40" s="1">
        <v>1</v>
      </c>
      <c r="C40" s="2">
        <v>46034</v>
      </c>
      <c r="D40" s="1">
        <v>174909</v>
      </c>
      <c r="E40" s="1" t="s">
        <v>47</v>
      </c>
      <c r="F40" s="1" t="s">
        <v>11</v>
      </c>
      <c r="G40" s="1" t="s">
        <v>51</v>
      </c>
      <c r="H40" s="1" t="s">
        <v>34</v>
      </c>
      <c r="I40" s="3">
        <v>1032112</v>
      </c>
      <c r="J40" s="1" t="s">
        <v>17</v>
      </c>
      <c r="K40" s="1">
        <v>1</v>
      </c>
      <c r="L40" s="35">
        <f>InventoryTY[[#This Row],[Landed Cost]]*InventoryTY[[#This Row],[Inventory Qty]]</f>
        <v>1032112</v>
      </c>
    </row>
    <row r="41" spans="1:12" x14ac:dyDescent="0.25">
      <c r="A41" s="1">
        <v>2026</v>
      </c>
      <c r="B41" s="1">
        <v>1</v>
      </c>
      <c r="C41" s="2">
        <v>46034</v>
      </c>
      <c r="D41" s="1">
        <v>174911</v>
      </c>
      <c r="E41" s="1" t="s">
        <v>47</v>
      </c>
      <c r="F41" s="1" t="s">
        <v>11</v>
      </c>
      <c r="G41" s="1" t="s">
        <v>51</v>
      </c>
      <c r="H41" s="1" t="s">
        <v>43</v>
      </c>
      <c r="I41" s="3">
        <v>913673</v>
      </c>
      <c r="J41" s="1" t="s">
        <v>15</v>
      </c>
      <c r="K41" s="1">
        <v>1</v>
      </c>
      <c r="L41" s="35">
        <f>InventoryTY[[#This Row],[Landed Cost]]*InventoryTY[[#This Row],[Inventory Qty]]</f>
        <v>913673</v>
      </c>
    </row>
    <row r="42" spans="1:12" x14ac:dyDescent="0.25">
      <c r="A42" s="1">
        <v>2026</v>
      </c>
      <c r="B42" s="1">
        <v>1</v>
      </c>
      <c r="C42" s="2">
        <v>46034</v>
      </c>
      <c r="D42" s="1">
        <v>174912</v>
      </c>
      <c r="E42" s="1" t="s">
        <v>47</v>
      </c>
      <c r="F42" s="1" t="s">
        <v>11</v>
      </c>
      <c r="G42" s="1" t="s">
        <v>51</v>
      </c>
      <c r="H42" s="1" t="s">
        <v>43</v>
      </c>
      <c r="I42" s="3">
        <v>1766435</v>
      </c>
      <c r="J42" s="1" t="s">
        <v>17</v>
      </c>
      <c r="K42" s="1">
        <v>1</v>
      </c>
      <c r="L42" s="35">
        <f>InventoryTY[[#This Row],[Landed Cost]]*InventoryTY[[#This Row],[Inventory Qty]]</f>
        <v>1766435</v>
      </c>
    </row>
    <row r="43" spans="1:12" x14ac:dyDescent="0.25">
      <c r="A43" s="1">
        <v>2026</v>
      </c>
      <c r="B43" s="1">
        <v>1</v>
      </c>
      <c r="C43" s="2">
        <v>46034</v>
      </c>
      <c r="D43" s="1">
        <v>174913</v>
      </c>
      <c r="E43" s="1" t="s">
        <v>47</v>
      </c>
      <c r="F43" s="1" t="s">
        <v>11</v>
      </c>
      <c r="G43" s="1" t="s">
        <v>51</v>
      </c>
      <c r="H43" s="1" t="s">
        <v>43</v>
      </c>
      <c r="I43" s="3">
        <v>852761</v>
      </c>
      <c r="J43" s="1" t="s">
        <v>15</v>
      </c>
      <c r="K43" s="1">
        <v>1</v>
      </c>
      <c r="L43" s="35">
        <f>InventoryTY[[#This Row],[Landed Cost]]*InventoryTY[[#This Row],[Inventory Qty]]</f>
        <v>852761</v>
      </c>
    </row>
    <row r="44" spans="1:12" x14ac:dyDescent="0.25">
      <c r="A44" s="1">
        <v>2026</v>
      </c>
      <c r="B44" s="1">
        <v>1</v>
      </c>
      <c r="C44" s="2">
        <v>46034</v>
      </c>
      <c r="D44" s="1">
        <v>175379</v>
      </c>
      <c r="E44" s="1" t="s">
        <v>50</v>
      </c>
      <c r="F44" s="1" t="s">
        <v>11</v>
      </c>
      <c r="G44" s="1" t="s">
        <v>51</v>
      </c>
      <c r="H44" s="1" t="s">
        <v>34</v>
      </c>
      <c r="I44" s="3">
        <v>5192000</v>
      </c>
      <c r="J44" s="1" t="s">
        <v>17</v>
      </c>
      <c r="K44" s="1">
        <v>1</v>
      </c>
      <c r="L44" s="35">
        <f>InventoryTY[[#This Row],[Landed Cost]]*InventoryTY[[#This Row],[Inventory Qty]]</f>
        <v>5192000</v>
      </c>
    </row>
    <row r="45" spans="1:12" x14ac:dyDescent="0.25">
      <c r="A45" s="1">
        <v>2026</v>
      </c>
      <c r="B45" s="1">
        <v>1</v>
      </c>
      <c r="C45" s="2">
        <v>46034</v>
      </c>
      <c r="D45" s="1">
        <v>175381</v>
      </c>
      <c r="E45" s="1" t="s">
        <v>50</v>
      </c>
      <c r="F45" s="1" t="s">
        <v>11</v>
      </c>
      <c r="G45" s="1" t="s">
        <v>51</v>
      </c>
      <c r="H45" s="1" t="s">
        <v>34</v>
      </c>
      <c r="I45" s="3">
        <v>1298000</v>
      </c>
      <c r="J45" s="1" t="s">
        <v>15</v>
      </c>
      <c r="K45" s="1">
        <v>1</v>
      </c>
      <c r="L45" s="35">
        <f>InventoryTY[[#This Row],[Landed Cost]]*InventoryTY[[#This Row],[Inventory Qty]]</f>
        <v>1298000</v>
      </c>
    </row>
    <row r="46" spans="1:12" x14ac:dyDescent="0.25">
      <c r="A46" s="1">
        <v>2026</v>
      </c>
      <c r="B46" s="1">
        <v>1</v>
      </c>
      <c r="C46" s="2">
        <v>46034</v>
      </c>
      <c r="D46" s="1">
        <v>175389</v>
      </c>
      <c r="E46" s="1" t="s">
        <v>50</v>
      </c>
      <c r="F46" s="1" t="s">
        <v>11</v>
      </c>
      <c r="G46" s="1" t="s">
        <v>51</v>
      </c>
      <c r="H46" s="1" t="s">
        <v>34</v>
      </c>
      <c r="I46" s="3">
        <v>2124000</v>
      </c>
      <c r="J46" s="1" t="s">
        <v>15</v>
      </c>
      <c r="K46" s="1">
        <v>1</v>
      </c>
      <c r="L46" s="35">
        <f>InventoryTY[[#This Row],[Landed Cost]]*InventoryTY[[#This Row],[Inventory Qty]]</f>
        <v>2124000</v>
      </c>
    </row>
    <row r="47" spans="1:12" x14ac:dyDescent="0.25">
      <c r="A47" s="1">
        <v>2026</v>
      </c>
      <c r="B47" s="1">
        <v>1</v>
      </c>
      <c r="C47" s="2">
        <v>46034</v>
      </c>
      <c r="D47" s="1">
        <v>175413</v>
      </c>
      <c r="E47" s="1" t="s">
        <v>48</v>
      </c>
      <c r="F47" s="1" t="s">
        <v>11</v>
      </c>
      <c r="G47" s="1" t="s">
        <v>51</v>
      </c>
      <c r="H47" s="1" t="s">
        <v>34</v>
      </c>
      <c r="I47" s="3">
        <v>5900000</v>
      </c>
      <c r="J47" s="1" t="s">
        <v>15</v>
      </c>
      <c r="K47" s="1">
        <v>1</v>
      </c>
      <c r="L47" s="35">
        <f>InventoryTY[[#This Row],[Landed Cost]]*InventoryTY[[#This Row],[Inventory Qty]]</f>
        <v>5900000</v>
      </c>
    </row>
    <row r="48" spans="1:12" x14ac:dyDescent="0.25">
      <c r="A48" s="1">
        <v>2026</v>
      </c>
      <c r="B48" s="1">
        <v>1</v>
      </c>
      <c r="C48" s="2">
        <v>46034</v>
      </c>
      <c r="D48" s="1">
        <v>175414</v>
      </c>
      <c r="E48" s="1" t="s">
        <v>48</v>
      </c>
      <c r="F48" s="1" t="s">
        <v>11</v>
      </c>
      <c r="G48" s="1" t="s">
        <v>51</v>
      </c>
      <c r="H48" s="1" t="s">
        <v>34</v>
      </c>
      <c r="I48" s="3">
        <v>8850000</v>
      </c>
      <c r="J48" s="1" t="s">
        <v>15</v>
      </c>
      <c r="K48" s="1">
        <v>1</v>
      </c>
      <c r="L48" s="35">
        <f>InventoryTY[[#This Row],[Landed Cost]]*InventoryTY[[#This Row],[Inventory Qty]]</f>
        <v>8850000</v>
      </c>
    </row>
    <row r="49" spans="1:12" x14ac:dyDescent="0.25">
      <c r="A49" s="1">
        <v>2026</v>
      </c>
      <c r="B49" s="1">
        <v>1</v>
      </c>
      <c r="C49" s="2">
        <v>46034</v>
      </c>
      <c r="D49" s="1">
        <v>175415</v>
      </c>
      <c r="E49" s="1" t="s">
        <v>48</v>
      </c>
      <c r="F49" s="1" t="s">
        <v>11</v>
      </c>
      <c r="G49" s="1" t="s">
        <v>51</v>
      </c>
      <c r="H49" s="1" t="s">
        <v>34</v>
      </c>
      <c r="I49" s="3">
        <v>8850000</v>
      </c>
      <c r="J49" s="1" t="s">
        <v>15</v>
      </c>
      <c r="K49" s="1">
        <v>1</v>
      </c>
      <c r="L49" s="35">
        <f>InventoryTY[[#This Row],[Landed Cost]]*InventoryTY[[#This Row],[Inventory Qty]]</f>
        <v>8850000</v>
      </c>
    </row>
    <row r="50" spans="1:12" x14ac:dyDescent="0.25">
      <c r="A50" s="1">
        <v>2026</v>
      </c>
      <c r="B50" s="1">
        <v>1</v>
      </c>
      <c r="C50" s="2">
        <v>46034</v>
      </c>
      <c r="D50" s="1">
        <v>175417</v>
      </c>
      <c r="E50" s="1" t="s">
        <v>48</v>
      </c>
      <c r="F50" s="1" t="s">
        <v>11</v>
      </c>
      <c r="G50" s="1" t="s">
        <v>51</v>
      </c>
      <c r="H50" s="1" t="s">
        <v>34</v>
      </c>
      <c r="I50" s="3">
        <v>5310000</v>
      </c>
      <c r="J50" s="1" t="s">
        <v>17</v>
      </c>
      <c r="K50" s="1">
        <v>1</v>
      </c>
      <c r="L50" s="35">
        <f>InventoryTY[[#This Row],[Landed Cost]]*InventoryTY[[#This Row],[Inventory Qty]]</f>
        <v>5310000</v>
      </c>
    </row>
    <row r="51" spans="1:12" x14ac:dyDescent="0.25">
      <c r="A51" s="1">
        <v>2026</v>
      </c>
      <c r="B51" s="1">
        <v>1</v>
      </c>
      <c r="C51" s="2">
        <v>46034</v>
      </c>
      <c r="D51" s="1">
        <v>175418</v>
      </c>
      <c r="E51" s="1" t="s">
        <v>48</v>
      </c>
      <c r="F51" s="1" t="s">
        <v>11</v>
      </c>
      <c r="G51" s="1" t="s">
        <v>51</v>
      </c>
      <c r="H51" s="1" t="s">
        <v>43</v>
      </c>
      <c r="I51" s="3">
        <v>5310000</v>
      </c>
      <c r="J51" s="1" t="s">
        <v>15</v>
      </c>
      <c r="K51" s="1">
        <v>1</v>
      </c>
      <c r="L51" s="35">
        <f>InventoryTY[[#This Row],[Landed Cost]]*InventoryTY[[#This Row],[Inventory Qty]]</f>
        <v>5310000</v>
      </c>
    </row>
    <row r="52" spans="1:12" x14ac:dyDescent="0.25">
      <c r="A52" s="1">
        <v>2026</v>
      </c>
      <c r="B52" s="1">
        <v>1</v>
      </c>
      <c r="C52" s="2">
        <v>46034</v>
      </c>
      <c r="D52" s="1">
        <v>175421</v>
      </c>
      <c r="E52" s="1" t="s">
        <v>48</v>
      </c>
      <c r="F52" s="1" t="s">
        <v>11</v>
      </c>
      <c r="G52" s="1" t="s">
        <v>51</v>
      </c>
      <c r="H52" s="1" t="s">
        <v>34</v>
      </c>
      <c r="I52" s="3">
        <v>8260000</v>
      </c>
      <c r="J52" s="1" t="s">
        <v>17</v>
      </c>
      <c r="K52" s="1">
        <v>1</v>
      </c>
      <c r="L52" s="35">
        <f>InventoryTY[[#This Row],[Landed Cost]]*InventoryTY[[#This Row],[Inventory Qty]]</f>
        <v>8260000</v>
      </c>
    </row>
    <row r="53" spans="1:12" x14ac:dyDescent="0.25">
      <c r="A53" s="1">
        <v>2026</v>
      </c>
      <c r="B53" s="1">
        <v>1</v>
      </c>
      <c r="C53" s="2">
        <v>46034</v>
      </c>
      <c r="D53" s="1">
        <v>175428</v>
      </c>
      <c r="E53" s="1" t="s">
        <v>48</v>
      </c>
      <c r="F53" s="1" t="s">
        <v>11</v>
      </c>
      <c r="G53" s="1" t="s">
        <v>51</v>
      </c>
      <c r="H53" s="1" t="s">
        <v>49</v>
      </c>
      <c r="I53" s="3">
        <v>1475000</v>
      </c>
      <c r="J53" s="1" t="s">
        <v>15</v>
      </c>
      <c r="K53" s="1">
        <v>1</v>
      </c>
      <c r="L53" s="35">
        <f>InventoryTY[[#This Row],[Landed Cost]]*InventoryTY[[#This Row],[Inventory Qty]]</f>
        <v>1475000</v>
      </c>
    </row>
    <row r="54" spans="1:12" x14ac:dyDescent="0.25">
      <c r="A54" s="1">
        <v>2026</v>
      </c>
      <c r="B54" s="1">
        <v>1</v>
      </c>
      <c r="C54" s="2">
        <v>46034</v>
      </c>
      <c r="D54" s="1">
        <v>175468</v>
      </c>
      <c r="E54" s="1" t="s">
        <v>44</v>
      </c>
      <c r="F54" s="1" t="s">
        <v>11</v>
      </c>
      <c r="G54" s="1" t="s">
        <v>52</v>
      </c>
      <c r="H54" s="1" t="s">
        <v>34</v>
      </c>
      <c r="I54" s="3">
        <v>48192587</v>
      </c>
      <c r="J54" s="1" t="s">
        <v>22</v>
      </c>
      <c r="K54" s="1">
        <v>1</v>
      </c>
      <c r="L54" s="35">
        <f>InventoryTY[[#This Row],[Landed Cost]]*InventoryTY[[#This Row],[Inventory Qty]]</f>
        <v>48192587</v>
      </c>
    </row>
    <row r="55" spans="1:12" x14ac:dyDescent="0.25">
      <c r="A55" s="1">
        <v>2026</v>
      </c>
      <c r="B55" s="1">
        <v>1</v>
      </c>
      <c r="C55" s="2">
        <v>46034</v>
      </c>
      <c r="D55" s="1">
        <v>175866</v>
      </c>
      <c r="E55" s="1" t="s">
        <v>44</v>
      </c>
      <c r="F55" s="1" t="s">
        <v>11</v>
      </c>
      <c r="G55" s="1" t="s">
        <v>51</v>
      </c>
      <c r="H55" s="1" t="s">
        <v>34</v>
      </c>
      <c r="I55" s="3">
        <v>135242436</v>
      </c>
      <c r="J55" s="1" t="s">
        <v>17</v>
      </c>
      <c r="K55" s="1">
        <v>1</v>
      </c>
      <c r="L55" s="35">
        <f>InventoryTY[[#This Row],[Landed Cost]]*InventoryTY[[#This Row],[Inventory Qty]]</f>
        <v>135242436</v>
      </c>
    </row>
    <row r="56" spans="1:12" x14ac:dyDescent="0.25">
      <c r="A56" s="1">
        <v>2026</v>
      </c>
      <c r="B56" s="1">
        <v>1</v>
      </c>
      <c r="C56" s="2">
        <v>46034</v>
      </c>
      <c r="D56" s="1">
        <v>175874</v>
      </c>
      <c r="E56" s="1" t="s">
        <v>44</v>
      </c>
      <c r="F56" s="1" t="s">
        <v>11</v>
      </c>
      <c r="G56" s="1" t="s">
        <v>51</v>
      </c>
      <c r="H56" s="1" t="s">
        <v>43</v>
      </c>
      <c r="I56" s="3">
        <v>217563919</v>
      </c>
      <c r="J56" s="1" t="s">
        <v>17</v>
      </c>
      <c r="K56" s="1">
        <v>1</v>
      </c>
      <c r="L56" s="35">
        <f>InventoryTY[[#This Row],[Landed Cost]]*InventoryTY[[#This Row],[Inventory Qty]]</f>
        <v>217563919</v>
      </c>
    </row>
    <row r="57" spans="1:12" x14ac:dyDescent="0.25">
      <c r="A57" s="1">
        <v>2026</v>
      </c>
      <c r="B57" s="1">
        <v>1</v>
      </c>
      <c r="C57" s="2">
        <v>46034</v>
      </c>
      <c r="D57" s="1">
        <v>176231</v>
      </c>
      <c r="E57" s="1" t="s">
        <v>44</v>
      </c>
      <c r="F57" s="1" t="s">
        <v>11</v>
      </c>
      <c r="G57" s="1" t="s">
        <v>51</v>
      </c>
      <c r="H57" s="1" t="s">
        <v>37</v>
      </c>
      <c r="I57" s="3">
        <v>32960839</v>
      </c>
      <c r="J57" s="1" t="s">
        <v>17</v>
      </c>
      <c r="K57" s="1">
        <v>1</v>
      </c>
      <c r="L57" s="35">
        <f>InventoryTY[[#This Row],[Landed Cost]]*InventoryTY[[#This Row],[Inventory Qty]]</f>
        <v>32960839</v>
      </c>
    </row>
    <row r="58" spans="1:12" x14ac:dyDescent="0.25">
      <c r="A58" s="1">
        <v>2026</v>
      </c>
      <c r="B58" s="1">
        <v>1</v>
      </c>
      <c r="C58" s="2">
        <v>46034</v>
      </c>
      <c r="D58" s="1">
        <v>176593</v>
      </c>
      <c r="E58" s="1" t="s">
        <v>48</v>
      </c>
      <c r="F58" s="1" t="s">
        <v>11</v>
      </c>
      <c r="G58" s="1" t="s">
        <v>51</v>
      </c>
      <c r="H58" s="1" t="s">
        <v>34</v>
      </c>
      <c r="I58" s="3">
        <v>236000</v>
      </c>
      <c r="J58" s="1" t="s">
        <v>21</v>
      </c>
      <c r="K58" s="1">
        <v>1</v>
      </c>
      <c r="L58" s="35">
        <f>InventoryTY[[#This Row],[Landed Cost]]*InventoryTY[[#This Row],[Inventory Qty]]</f>
        <v>236000</v>
      </c>
    </row>
    <row r="59" spans="1:12" x14ac:dyDescent="0.25">
      <c r="A59" s="1">
        <v>2026</v>
      </c>
      <c r="B59" s="1">
        <v>1</v>
      </c>
      <c r="C59" s="2">
        <v>46034</v>
      </c>
      <c r="D59" s="1">
        <v>176595</v>
      </c>
      <c r="E59" s="1" t="s">
        <v>48</v>
      </c>
      <c r="F59" s="1" t="s">
        <v>11</v>
      </c>
      <c r="G59" s="1" t="s">
        <v>51</v>
      </c>
      <c r="H59" s="1" t="s">
        <v>34</v>
      </c>
      <c r="I59" s="3">
        <v>885000</v>
      </c>
      <c r="J59" s="1" t="s">
        <v>21</v>
      </c>
      <c r="K59" s="1">
        <v>1</v>
      </c>
      <c r="L59" s="35">
        <f>InventoryTY[[#This Row],[Landed Cost]]*InventoryTY[[#This Row],[Inventory Qty]]</f>
        <v>885000</v>
      </c>
    </row>
    <row r="60" spans="1:12" x14ac:dyDescent="0.25">
      <c r="A60" s="1">
        <v>2026</v>
      </c>
      <c r="B60" s="1">
        <v>1</v>
      </c>
      <c r="C60" s="2">
        <v>46034</v>
      </c>
      <c r="D60" s="1">
        <v>176596</v>
      </c>
      <c r="E60" s="1" t="s">
        <v>48</v>
      </c>
      <c r="F60" s="1" t="s">
        <v>11</v>
      </c>
      <c r="G60" s="1" t="s">
        <v>51</v>
      </c>
      <c r="H60" s="1" t="s">
        <v>37</v>
      </c>
      <c r="I60" s="3">
        <v>177000</v>
      </c>
      <c r="J60" s="1" t="s">
        <v>15</v>
      </c>
      <c r="K60" s="1">
        <v>1</v>
      </c>
      <c r="L60" s="35">
        <f>InventoryTY[[#This Row],[Landed Cost]]*InventoryTY[[#This Row],[Inventory Qty]]</f>
        <v>177000</v>
      </c>
    </row>
    <row r="61" spans="1:12" x14ac:dyDescent="0.25">
      <c r="A61" s="1">
        <v>2026</v>
      </c>
      <c r="B61" s="1">
        <v>1</v>
      </c>
      <c r="C61" s="2">
        <v>46034</v>
      </c>
      <c r="D61" s="1">
        <v>176597</v>
      </c>
      <c r="E61" s="1" t="s">
        <v>48</v>
      </c>
      <c r="F61" s="1" t="s">
        <v>11</v>
      </c>
      <c r="G61" s="1" t="s">
        <v>51</v>
      </c>
      <c r="H61" s="1" t="s">
        <v>43</v>
      </c>
      <c r="I61" s="3">
        <v>13717500</v>
      </c>
      <c r="J61" s="1" t="s">
        <v>15</v>
      </c>
      <c r="K61" s="1">
        <v>1</v>
      </c>
      <c r="L61" s="35">
        <f>InventoryTY[[#This Row],[Landed Cost]]*InventoryTY[[#This Row],[Inventory Qty]]</f>
        <v>13717500</v>
      </c>
    </row>
    <row r="62" spans="1:12" x14ac:dyDescent="0.25">
      <c r="A62" s="1">
        <v>2026</v>
      </c>
      <c r="B62" s="1">
        <v>1</v>
      </c>
      <c r="C62" s="2">
        <v>46034</v>
      </c>
      <c r="D62" s="1">
        <v>176599</v>
      </c>
      <c r="E62" s="1" t="s">
        <v>48</v>
      </c>
      <c r="F62" s="1" t="s">
        <v>11</v>
      </c>
      <c r="G62" s="1" t="s">
        <v>51</v>
      </c>
      <c r="H62" s="1" t="s">
        <v>43</v>
      </c>
      <c r="I62" s="3">
        <v>20650000</v>
      </c>
      <c r="J62" s="1" t="s">
        <v>17</v>
      </c>
      <c r="K62" s="1">
        <v>1</v>
      </c>
      <c r="L62" s="35">
        <f>InventoryTY[[#This Row],[Landed Cost]]*InventoryTY[[#This Row],[Inventory Qty]]</f>
        <v>20650000</v>
      </c>
    </row>
    <row r="63" spans="1:12" x14ac:dyDescent="0.25">
      <c r="A63" s="1">
        <v>2026</v>
      </c>
      <c r="B63" s="1">
        <v>1</v>
      </c>
      <c r="C63" s="2">
        <v>46034</v>
      </c>
      <c r="D63" s="1">
        <v>176604</v>
      </c>
      <c r="E63" s="1" t="s">
        <v>19</v>
      </c>
      <c r="F63" s="1" t="s">
        <v>11</v>
      </c>
      <c r="G63" s="1" t="s">
        <v>52</v>
      </c>
      <c r="H63" s="1" t="s">
        <v>37</v>
      </c>
      <c r="I63" s="3">
        <v>10830000</v>
      </c>
      <c r="J63" s="1" t="s">
        <v>15</v>
      </c>
      <c r="K63" s="1">
        <v>1</v>
      </c>
      <c r="L63" s="35">
        <f>InventoryTY[[#This Row],[Landed Cost]]*InventoryTY[[#This Row],[Inventory Qty]]</f>
        <v>10830000</v>
      </c>
    </row>
    <row r="64" spans="1:12" x14ac:dyDescent="0.25">
      <c r="A64" s="1">
        <v>2026</v>
      </c>
      <c r="B64" s="1">
        <v>1</v>
      </c>
      <c r="C64" s="2">
        <v>46034</v>
      </c>
      <c r="D64" s="1">
        <v>176605</v>
      </c>
      <c r="E64" s="1" t="s">
        <v>19</v>
      </c>
      <c r="F64" s="1" t="s">
        <v>11</v>
      </c>
      <c r="G64" s="1" t="s">
        <v>52</v>
      </c>
      <c r="H64" s="1" t="s">
        <v>37</v>
      </c>
      <c r="I64" s="3">
        <v>14060000</v>
      </c>
      <c r="J64" s="1" t="s">
        <v>15</v>
      </c>
      <c r="K64" s="1">
        <v>2</v>
      </c>
      <c r="L64" s="35">
        <f>InventoryTY[[#This Row],[Landed Cost]]*InventoryTY[[#This Row],[Inventory Qty]]</f>
        <v>28120000</v>
      </c>
    </row>
    <row r="65" spans="1:12" x14ac:dyDescent="0.25">
      <c r="A65" s="1">
        <v>2026</v>
      </c>
      <c r="B65" s="1">
        <v>1</v>
      </c>
      <c r="C65" s="2">
        <v>46034</v>
      </c>
      <c r="D65" s="1">
        <v>176605</v>
      </c>
      <c r="E65" s="1" t="s">
        <v>19</v>
      </c>
      <c r="F65" s="1" t="s">
        <v>11</v>
      </c>
      <c r="G65" s="1" t="s">
        <v>52</v>
      </c>
      <c r="H65" s="1" t="s">
        <v>37</v>
      </c>
      <c r="I65" s="3">
        <v>14060000</v>
      </c>
      <c r="J65" s="1" t="s">
        <v>17</v>
      </c>
      <c r="K65" s="1">
        <v>1</v>
      </c>
      <c r="L65" s="35">
        <f>InventoryTY[[#This Row],[Landed Cost]]*InventoryTY[[#This Row],[Inventory Qty]]</f>
        <v>14060000</v>
      </c>
    </row>
    <row r="66" spans="1:12" x14ac:dyDescent="0.25">
      <c r="A66" s="1">
        <v>2026</v>
      </c>
      <c r="B66" s="1">
        <v>1</v>
      </c>
      <c r="C66" s="2">
        <v>46034</v>
      </c>
      <c r="D66" s="1">
        <v>176606</v>
      </c>
      <c r="E66" s="1" t="s">
        <v>19</v>
      </c>
      <c r="F66" s="1" t="s">
        <v>11</v>
      </c>
      <c r="G66" s="1" t="s">
        <v>52</v>
      </c>
      <c r="H66" s="1" t="s">
        <v>37</v>
      </c>
      <c r="I66" s="3">
        <v>16007500</v>
      </c>
      <c r="J66" s="1" t="s">
        <v>15</v>
      </c>
      <c r="K66" s="1">
        <v>1</v>
      </c>
      <c r="L66" s="35">
        <f>InventoryTY[[#This Row],[Landed Cost]]*InventoryTY[[#This Row],[Inventory Qty]]</f>
        <v>16007500</v>
      </c>
    </row>
    <row r="67" spans="1:12" x14ac:dyDescent="0.25">
      <c r="A67" s="1">
        <v>2026</v>
      </c>
      <c r="B67" s="1">
        <v>1</v>
      </c>
      <c r="C67" s="2">
        <v>46034</v>
      </c>
      <c r="D67" s="1">
        <v>176607</v>
      </c>
      <c r="E67" s="1" t="s">
        <v>19</v>
      </c>
      <c r="F67" s="1" t="s">
        <v>11</v>
      </c>
      <c r="G67" s="1" t="s">
        <v>52</v>
      </c>
      <c r="H67" s="1" t="s">
        <v>37</v>
      </c>
      <c r="I67" s="3">
        <v>16197500</v>
      </c>
      <c r="J67" s="1" t="s">
        <v>15</v>
      </c>
      <c r="K67" s="1">
        <v>1</v>
      </c>
      <c r="L67" s="35">
        <f>InventoryTY[[#This Row],[Landed Cost]]*InventoryTY[[#This Row],[Inventory Qty]]</f>
        <v>16197500</v>
      </c>
    </row>
    <row r="68" spans="1:12" x14ac:dyDescent="0.25">
      <c r="A68" s="1">
        <v>2026</v>
      </c>
      <c r="B68" s="1">
        <v>1</v>
      </c>
      <c r="C68" s="2">
        <v>46034</v>
      </c>
      <c r="D68" s="1">
        <v>176607</v>
      </c>
      <c r="E68" s="1" t="s">
        <v>19</v>
      </c>
      <c r="F68" s="1" t="s">
        <v>11</v>
      </c>
      <c r="G68" s="1" t="s">
        <v>52</v>
      </c>
      <c r="H68" s="1" t="s">
        <v>37</v>
      </c>
      <c r="I68" s="3">
        <v>16197500</v>
      </c>
      <c r="J68" s="1" t="s">
        <v>17</v>
      </c>
      <c r="K68" s="1">
        <v>1</v>
      </c>
      <c r="L68" s="35">
        <f>InventoryTY[[#This Row],[Landed Cost]]*InventoryTY[[#This Row],[Inventory Qty]]</f>
        <v>16197500</v>
      </c>
    </row>
    <row r="69" spans="1:12" x14ac:dyDescent="0.25">
      <c r="A69" s="1">
        <v>2026</v>
      </c>
      <c r="B69" s="1">
        <v>1</v>
      </c>
      <c r="C69" s="2">
        <v>46034</v>
      </c>
      <c r="D69" s="1">
        <v>176624</v>
      </c>
      <c r="E69" s="1" t="s">
        <v>19</v>
      </c>
      <c r="F69" s="1" t="s">
        <v>11</v>
      </c>
      <c r="G69" s="1" t="s">
        <v>52</v>
      </c>
      <c r="H69" s="1" t="s">
        <v>43</v>
      </c>
      <c r="I69" s="3">
        <v>8455000</v>
      </c>
      <c r="J69" s="1" t="s">
        <v>15</v>
      </c>
      <c r="K69" s="1">
        <v>1</v>
      </c>
      <c r="L69" s="35">
        <f>InventoryTY[[#This Row],[Landed Cost]]*InventoryTY[[#This Row],[Inventory Qty]]</f>
        <v>8455000</v>
      </c>
    </row>
    <row r="70" spans="1:12" x14ac:dyDescent="0.25">
      <c r="A70" s="1">
        <v>2026</v>
      </c>
      <c r="B70" s="1">
        <v>1</v>
      </c>
      <c r="C70" s="2">
        <v>46034</v>
      </c>
      <c r="D70" s="1">
        <v>176625</v>
      </c>
      <c r="E70" s="1" t="s">
        <v>19</v>
      </c>
      <c r="F70" s="1" t="s">
        <v>11</v>
      </c>
      <c r="G70" s="1" t="s">
        <v>52</v>
      </c>
      <c r="H70" s="1" t="s">
        <v>43</v>
      </c>
      <c r="I70" s="3">
        <v>8455000</v>
      </c>
      <c r="J70" s="1" t="s">
        <v>15</v>
      </c>
      <c r="K70" s="1">
        <v>1</v>
      </c>
      <c r="L70" s="35">
        <f>InventoryTY[[#This Row],[Landed Cost]]*InventoryTY[[#This Row],[Inventory Qty]]</f>
        <v>8455000</v>
      </c>
    </row>
    <row r="71" spans="1:12" x14ac:dyDescent="0.25">
      <c r="A71" s="1">
        <v>2026</v>
      </c>
      <c r="B71" s="1">
        <v>1</v>
      </c>
      <c r="C71" s="2">
        <v>46034</v>
      </c>
      <c r="D71" s="1">
        <v>180399</v>
      </c>
      <c r="E71" s="1" t="s">
        <v>55</v>
      </c>
      <c r="F71" s="1" t="s">
        <v>11</v>
      </c>
      <c r="G71" s="1" t="s">
        <v>52</v>
      </c>
      <c r="H71" s="1" t="s">
        <v>56</v>
      </c>
      <c r="I71" s="3">
        <v>168516446</v>
      </c>
      <c r="J71" s="1" t="s">
        <v>15</v>
      </c>
      <c r="K71" s="1">
        <v>1</v>
      </c>
      <c r="L71" s="35">
        <f>InventoryTY[[#This Row],[Landed Cost]]*InventoryTY[[#This Row],[Inventory Qty]]</f>
        <v>168516446</v>
      </c>
    </row>
    <row r="72" spans="1:12" x14ac:dyDescent="0.25">
      <c r="A72" s="1">
        <v>2026</v>
      </c>
      <c r="B72" s="1">
        <v>1</v>
      </c>
      <c r="C72" s="2">
        <v>46034</v>
      </c>
      <c r="D72" s="1">
        <v>180401</v>
      </c>
      <c r="E72" s="1" t="s">
        <v>55</v>
      </c>
      <c r="F72" s="1" t="s">
        <v>11</v>
      </c>
      <c r="G72" s="1" t="s">
        <v>52</v>
      </c>
      <c r="H72" s="1" t="s">
        <v>43</v>
      </c>
      <c r="I72" s="3">
        <v>116265759</v>
      </c>
      <c r="J72" s="1" t="s">
        <v>15</v>
      </c>
      <c r="K72" s="1">
        <v>1</v>
      </c>
      <c r="L72" s="35">
        <f>InventoryTY[[#This Row],[Landed Cost]]*InventoryTY[[#This Row],[Inventory Qty]]</f>
        <v>116265759</v>
      </c>
    </row>
    <row r="73" spans="1:12" x14ac:dyDescent="0.25">
      <c r="A73" s="1">
        <v>2026</v>
      </c>
      <c r="B73" s="1">
        <v>1</v>
      </c>
      <c r="C73" s="2">
        <v>46034</v>
      </c>
      <c r="D73" s="1">
        <v>181385</v>
      </c>
      <c r="E73" s="1" t="s">
        <v>58</v>
      </c>
      <c r="F73" s="1" t="s">
        <v>11</v>
      </c>
      <c r="G73" s="1" t="s">
        <v>52</v>
      </c>
      <c r="H73" s="1" t="s">
        <v>53</v>
      </c>
      <c r="I73" s="3">
        <v>47983963</v>
      </c>
      <c r="J73" s="1" t="s">
        <v>15</v>
      </c>
      <c r="K73" s="1">
        <v>1</v>
      </c>
      <c r="L73" s="35">
        <f>InventoryTY[[#This Row],[Landed Cost]]*InventoryTY[[#This Row],[Inventory Qty]]</f>
        <v>47983963</v>
      </c>
    </row>
    <row r="74" spans="1:12" x14ac:dyDescent="0.25">
      <c r="A74" s="1">
        <v>2026</v>
      </c>
      <c r="B74" s="1">
        <v>1</v>
      </c>
      <c r="C74" s="2">
        <v>46034</v>
      </c>
      <c r="D74" s="1">
        <v>181386</v>
      </c>
      <c r="E74" s="1" t="s">
        <v>58</v>
      </c>
      <c r="F74" s="1" t="s">
        <v>11</v>
      </c>
      <c r="G74" s="1" t="s">
        <v>52</v>
      </c>
      <c r="H74" s="1" t="s">
        <v>37</v>
      </c>
      <c r="I74" s="3">
        <v>22925672</v>
      </c>
      <c r="J74" s="1" t="s">
        <v>13</v>
      </c>
      <c r="K74" s="1">
        <v>1</v>
      </c>
      <c r="L74" s="35">
        <f>InventoryTY[[#This Row],[Landed Cost]]*InventoryTY[[#This Row],[Inventory Qty]]</f>
        <v>22925672</v>
      </c>
    </row>
    <row r="75" spans="1:12" x14ac:dyDescent="0.25">
      <c r="A75" s="1">
        <v>2026</v>
      </c>
      <c r="B75" s="1">
        <v>1</v>
      </c>
      <c r="C75" s="2">
        <v>46034</v>
      </c>
      <c r="D75" s="1">
        <v>182160</v>
      </c>
      <c r="E75" s="1" t="s">
        <v>50</v>
      </c>
      <c r="F75" s="1" t="s">
        <v>11</v>
      </c>
      <c r="G75" s="1" t="s">
        <v>52</v>
      </c>
      <c r="H75" s="1" t="s">
        <v>43</v>
      </c>
      <c r="I75" s="3">
        <v>4046811</v>
      </c>
      <c r="J75" s="1" t="s">
        <v>15</v>
      </c>
      <c r="K75" s="1">
        <v>1</v>
      </c>
      <c r="L75" s="35">
        <f>InventoryTY[[#This Row],[Landed Cost]]*InventoryTY[[#This Row],[Inventory Qty]]</f>
        <v>4046811</v>
      </c>
    </row>
    <row r="76" spans="1:12" x14ac:dyDescent="0.25">
      <c r="A76" s="1">
        <v>2026</v>
      </c>
      <c r="B76" s="1">
        <v>1</v>
      </c>
      <c r="C76" s="2">
        <v>46034</v>
      </c>
      <c r="D76" s="1">
        <v>182167</v>
      </c>
      <c r="E76" s="1" t="s">
        <v>50</v>
      </c>
      <c r="F76" s="1" t="s">
        <v>11</v>
      </c>
      <c r="G76" s="1" t="s">
        <v>52</v>
      </c>
      <c r="H76" s="1" t="s">
        <v>43</v>
      </c>
      <c r="I76" s="3">
        <v>3297401</v>
      </c>
      <c r="J76" s="1" t="s">
        <v>15</v>
      </c>
      <c r="K76" s="1">
        <v>1</v>
      </c>
      <c r="L76" s="35">
        <f>InventoryTY[[#This Row],[Landed Cost]]*InventoryTY[[#This Row],[Inventory Qty]]</f>
        <v>3297401</v>
      </c>
    </row>
    <row r="77" spans="1:12" x14ac:dyDescent="0.25">
      <c r="A77" s="1">
        <v>2026</v>
      </c>
      <c r="B77" s="1">
        <v>1</v>
      </c>
      <c r="C77" s="2">
        <v>46034</v>
      </c>
      <c r="D77" s="1">
        <v>182168</v>
      </c>
      <c r="E77" s="1" t="s">
        <v>50</v>
      </c>
      <c r="F77" s="1" t="s">
        <v>11</v>
      </c>
      <c r="G77" s="1" t="s">
        <v>52</v>
      </c>
      <c r="H77" s="1" t="s">
        <v>43</v>
      </c>
      <c r="I77" s="3">
        <v>4046811</v>
      </c>
      <c r="J77" s="1" t="s">
        <v>15</v>
      </c>
      <c r="K77" s="1">
        <v>1</v>
      </c>
      <c r="L77" s="35">
        <f>InventoryTY[[#This Row],[Landed Cost]]*InventoryTY[[#This Row],[Inventory Qty]]</f>
        <v>4046811</v>
      </c>
    </row>
    <row r="78" spans="1:12" x14ac:dyDescent="0.25">
      <c r="A78" s="1">
        <v>2026</v>
      </c>
      <c r="B78" s="1">
        <v>1</v>
      </c>
      <c r="C78" s="2">
        <v>46034</v>
      </c>
      <c r="D78" s="1">
        <v>182171</v>
      </c>
      <c r="E78" s="1" t="s">
        <v>50</v>
      </c>
      <c r="F78" s="1" t="s">
        <v>11</v>
      </c>
      <c r="G78" s="1" t="s">
        <v>52</v>
      </c>
      <c r="H78" s="1" t="s">
        <v>43</v>
      </c>
      <c r="I78" s="3">
        <v>4256645</v>
      </c>
      <c r="J78" s="1" t="s">
        <v>21</v>
      </c>
      <c r="K78" s="1">
        <v>1</v>
      </c>
      <c r="L78" s="35">
        <f>InventoryTY[[#This Row],[Landed Cost]]*InventoryTY[[#This Row],[Inventory Qty]]</f>
        <v>4256645</v>
      </c>
    </row>
    <row r="79" spans="1:12" x14ac:dyDescent="0.25">
      <c r="A79" s="1">
        <v>2026</v>
      </c>
      <c r="B79" s="1">
        <v>1</v>
      </c>
      <c r="C79" s="2">
        <v>46034</v>
      </c>
      <c r="D79" s="1">
        <v>182174</v>
      </c>
      <c r="E79" s="1" t="s">
        <v>50</v>
      </c>
      <c r="F79" s="1" t="s">
        <v>11</v>
      </c>
      <c r="G79" s="1" t="s">
        <v>52</v>
      </c>
      <c r="H79" s="1" t="s">
        <v>43</v>
      </c>
      <c r="I79" s="3">
        <v>7494094</v>
      </c>
      <c r="J79" s="1" t="s">
        <v>28</v>
      </c>
      <c r="K79" s="1">
        <v>1</v>
      </c>
      <c r="L79" s="35">
        <f>InventoryTY[[#This Row],[Landed Cost]]*InventoryTY[[#This Row],[Inventory Qty]]</f>
        <v>7494094</v>
      </c>
    </row>
    <row r="80" spans="1:12" x14ac:dyDescent="0.25">
      <c r="A80" s="1">
        <v>2026</v>
      </c>
      <c r="B80" s="1">
        <v>1</v>
      </c>
      <c r="C80" s="2">
        <v>46034</v>
      </c>
      <c r="D80" s="1">
        <v>182189</v>
      </c>
      <c r="E80" s="1" t="s">
        <v>50</v>
      </c>
      <c r="F80" s="1" t="s">
        <v>11</v>
      </c>
      <c r="G80" s="1" t="s">
        <v>52</v>
      </c>
      <c r="H80" s="1" t="s">
        <v>43</v>
      </c>
      <c r="I80" s="3">
        <v>2398111</v>
      </c>
      <c r="J80" s="1" t="s">
        <v>15</v>
      </c>
      <c r="K80" s="1">
        <v>1</v>
      </c>
      <c r="L80" s="35">
        <f>InventoryTY[[#This Row],[Landed Cost]]*InventoryTY[[#This Row],[Inventory Qty]]</f>
        <v>2398111</v>
      </c>
    </row>
    <row r="81" spans="1:12" x14ac:dyDescent="0.25">
      <c r="A81" s="1">
        <v>2026</v>
      </c>
      <c r="B81" s="1">
        <v>1</v>
      </c>
      <c r="C81" s="2">
        <v>46034</v>
      </c>
      <c r="D81" s="1">
        <v>182196</v>
      </c>
      <c r="E81" s="1" t="s">
        <v>50</v>
      </c>
      <c r="F81" s="1" t="s">
        <v>11</v>
      </c>
      <c r="G81" s="1" t="s">
        <v>52</v>
      </c>
      <c r="H81" s="1" t="s">
        <v>53</v>
      </c>
      <c r="I81" s="3">
        <v>15587716</v>
      </c>
      <c r="J81" s="1" t="s">
        <v>15</v>
      </c>
      <c r="K81" s="1">
        <v>1</v>
      </c>
      <c r="L81" s="35">
        <f>InventoryTY[[#This Row],[Landed Cost]]*InventoryTY[[#This Row],[Inventory Qty]]</f>
        <v>15587716</v>
      </c>
    </row>
    <row r="82" spans="1:12" x14ac:dyDescent="0.25">
      <c r="A82" s="1">
        <v>2026</v>
      </c>
      <c r="B82" s="1">
        <v>1</v>
      </c>
      <c r="C82" s="2">
        <v>46034</v>
      </c>
      <c r="D82" s="1">
        <v>182198</v>
      </c>
      <c r="E82" s="1" t="s">
        <v>50</v>
      </c>
      <c r="F82" s="1" t="s">
        <v>11</v>
      </c>
      <c r="G82" s="1" t="s">
        <v>52</v>
      </c>
      <c r="H82" s="1" t="s">
        <v>53</v>
      </c>
      <c r="I82" s="3">
        <v>10431781</v>
      </c>
      <c r="J82" s="1" t="s">
        <v>15</v>
      </c>
      <c r="K82" s="1">
        <v>1</v>
      </c>
      <c r="L82" s="35">
        <f>InventoryTY[[#This Row],[Landed Cost]]*InventoryTY[[#This Row],[Inventory Qty]]</f>
        <v>10431781</v>
      </c>
    </row>
    <row r="83" spans="1:12" x14ac:dyDescent="0.25">
      <c r="A83" s="1">
        <v>2026</v>
      </c>
      <c r="B83" s="1">
        <v>1</v>
      </c>
      <c r="C83" s="2">
        <v>46034</v>
      </c>
      <c r="D83" s="1">
        <v>182199</v>
      </c>
      <c r="E83" s="1" t="s">
        <v>50</v>
      </c>
      <c r="F83" s="1" t="s">
        <v>11</v>
      </c>
      <c r="G83" s="1" t="s">
        <v>52</v>
      </c>
      <c r="H83" s="1" t="s">
        <v>53</v>
      </c>
      <c r="I83" s="3">
        <v>10431781</v>
      </c>
      <c r="J83" s="1" t="s">
        <v>28</v>
      </c>
      <c r="K83" s="1">
        <v>1</v>
      </c>
      <c r="L83" s="35">
        <f>InventoryTY[[#This Row],[Landed Cost]]*InventoryTY[[#This Row],[Inventory Qty]]</f>
        <v>10431781</v>
      </c>
    </row>
    <row r="84" spans="1:12" x14ac:dyDescent="0.25">
      <c r="A84" s="1">
        <v>2026</v>
      </c>
      <c r="B84" s="1">
        <v>1</v>
      </c>
      <c r="C84" s="2">
        <v>46034</v>
      </c>
      <c r="D84" s="1">
        <v>182201</v>
      </c>
      <c r="E84" s="1" t="s">
        <v>50</v>
      </c>
      <c r="F84" s="1" t="s">
        <v>11</v>
      </c>
      <c r="G84" s="1" t="s">
        <v>52</v>
      </c>
      <c r="H84" s="1" t="s">
        <v>53</v>
      </c>
      <c r="I84" s="3">
        <v>9232725</v>
      </c>
      <c r="J84" s="1" t="s">
        <v>21</v>
      </c>
      <c r="K84" s="1">
        <v>1</v>
      </c>
      <c r="L84" s="35">
        <f>InventoryTY[[#This Row],[Landed Cost]]*InventoryTY[[#This Row],[Inventory Qty]]</f>
        <v>9232725</v>
      </c>
    </row>
    <row r="85" spans="1:12" x14ac:dyDescent="0.25">
      <c r="A85" s="1">
        <v>2026</v>
      </c>
      <c r="B85" s="1">
        <v>1</v>
      </c>
      <c r="C85" s="2">
        <v>46034</v>
      </c>
      <c r="D85" s="1">
        <v>182202</v>
      </c>
      <c r="E85" s="1" t="s">
        <v>50</v>
      </c>
      <c r="F85" s="1" t="s">
        <v>11</v>
      </c>
      <c r="G85" s="1" t="s">
        <v>52</v>
      </c>
      <c r="H85" s="1" t="s">
        <v>53</v>
      </c>
      <c r="I85" s="3">
        <v>18285591</v>
      </c>
      <c r="J85" s="1" t="s">
        <v>17</v>
      </c>
      <c r="K85" s="1">
        <v>1</v>
      </c>
      <c r="L85" s="35">
        <f>InventoryTY[[#This Row],[Landed Cost]]*InventoryTY[[#This Row],[Inventory Qty]]</f>
        <v>18285591</v>
      </c>
    </row>
    <row r="86" spans="1:12" x14ac:dyDescent="0.25">
      <c r="A86" s="1">
        <v>2026</v>
      </c>
      <c r="B86" s="1">
        <v>1</v>
      </c>
      <c r="C86" s="2">
        <v>46034</v>
      </c>
      <c r="D86" s="1">
        <v>182207</v>
      </c>
      <c r="E86" s="1" t="s">
        <v>50</v>
      </c>
      <c r="F86" s="1" t="s">
        <v>11</v>
      </c>
      <c r="G86" s="1" t="s">
        <v>52</v>
      </c>
      <c r="H86" s="1" t="s">
        <v>37</v>
      </c>
      <c r="I86" s="3">
        <v>4706292</v>
      </c>
      <c r="J86" s="1" t="s">
        <v>21</v>
      </c>
      <c r="K86" s="1">
        <v>1</v>
      </c>
      <c r="L86" s="35">
        <f>InventoryTY[[#This Row],[Landed Cost]]*InventoryTY[[#This Row],[Inventory Qty]]</f>
        <v>4706292</v>
      </c>
    </row>
    <row r="87" spans="1:12" x14ac:dyDescent="0.25">
      <c r="A87" s="1">
        <v>2026</v>
      </c>
      <c r="B87" s="1">
        <v>1</v>
      </c>
      <c r="C87" s="2">
        <v>46034</v>
      </c>
      <c r="D87" s="1">
        <v>182208</v>
      </c>
      <c r="E87" s="1" t="s">
        <v>50</v>
      </c>
      <c r="F87" s="1" t="s">
        <v>11</v>
      </c>
      <c r="G87" s="1" t="s">
        <v>52</v>
      </c>
      <c r="H87" s="1" t="s">
        <v>37</v>
      </c>
      <c r="I87" s="3">
        <v>5056788</v>
      </c>
      <c r="J87" s="1" t="s">
        <v>17</v>
      </c>
      <c r="K87" s="1">
        <v>1</v>
      </c>
      <c r="L87" s="35">
        <f>InventoryTY[[#This Row],[Landed Cost]]*InventoryTY[[#This Row],[Inventory Qty]]</f>
        <v>5056788</v>
      </c>
    </row>
    <row r="88" spans="1:12" x14ac:dyDescent="0.25">
      <c r="A88" s="1">
        <v>2026</v>
      </c>
      <c r="B88" s="1">
        <v>1</v>
      </c>
      <c r="C88" s="2">
        <v>46034</v>
      </c>
      <c r="D88" s="1">
        <v>182212</v>
      </c>
      <c r="E88" s="1" t="s">
        <v>50</v>
      </c>
      <c r="F88" s="1" t="s">
        <v>11</v>
      </c>
      <c r="G88" s="1" t="s">
        <v>52</v>
      </c>
      <c r="H88" s="1" t="s">
        <v>37</v>
      </c>
      <c r="I88" s="3">
        <v>10791497</v>
      </c>
      <c r="J88" s="1" t="s">
        <v>21</v>
      </c>
      <c r="K88" s="1">
        <v>1</v>
      </c>
      <c r="L88" s="35">
        <f>InventoryTY[[#This Row],[Landed Cost]]*InventoryTY[[#This Row],[Inventory Qty]]</f>
        <v>10791497</v>
      </c>
    </row>
    <row r="89" spans="1:12" x14ac:dyDescent="0.25">
      <c r="A89" s="1">
        <v>2026</v>
      </c>
      <c r="B89" s="1">
        <v>1</v>
      </c>
      <c r="C89" s="2">
        <v>46034</v>
      </c>
      <c r="D89" s="1">
        <v>182213</v>
      </c>
      <c r="E89" s="1" t="s">
        <v>50</v>
      </c>
      <c r="F89" s="1" t="s">
        <v>11</v>
      </c>
      <c r="G89" s="1" t="s">
        <v>52</v>
      </c>
      <c r="H89" s="1" t="s">
        <v>37</v>
      </c>
      <c r="I89" s="3">
        <v>4496457</v>
      </c>
      <c r="J89" s="1" t="s">
        <v>21</v>
      </c>
      <c r="K89" s="1">
        <v>1</v>
      </c>
      <c r="L89" s="35">
        <f>InventoryTY[[#This Row],[Landed Cost]]*InventoryTY[[#This Row],[Inventory Qty]]</f>
        <v>4496457</v>
      </c>
    </row>
    <row r="90" spans="1:12" x14ac:dyDescent="0.25">
      <c r="A90" s="1">
        <v>2026</v>
      </c>
      <c r="B90" s="1">
        <v>1</v>
      </c>
      <c r="C90" s="2">
        <v>46034</v>
      </c>
      <c r="D90" s="1">
        <v>182216</v>
      </c>
      <c r="E90" s="1" t="s">
        <v>50</v>
      </c>
      <c r="F90" s="1" t="s">
        <v>11</v>
      </c>
      <c r="G90" s="1" t="s">
        <v>52</v>
      </c>
      <c r="H90" s="1" t="s">
        <v>37</v>
      </c>
      <c r="I90" s="3">
        <v>5845393</v>
      </c>
      <c r="J90" s="1" t="s">
        <v>21</v>
      </c>
      <c r="K90" s="1">
        <v>1</v>
      </c>
      <c r="L90" s="35">
        <f>InventoryTY[[#This Row],[Landed Cost]]*InventoryTY[[#This Row],[Inventory Qty]]</f>
        <v>5845393</v>
      </c>
    </row>
    <row r="91" spans="1:12" x14ac:dyDescent="0.25">
      <c r="A91" s="1">
        <v>2026</v>
      </c>
      <c r="B91" s="1">
        <v>1</v>
      </c>
      <c r="C91" s="2">
        <v>46034</v>
      </c>
      <c r="D91" s="1">
        <v>182217</v>
      </c>
      <c r="E91" s="1" t="s">
        <v>50</v>
      </c>
      <c r="F91" s="1" t="s">
        <v>11</v>
      </c>
      <c r="G91" s="1" t="s">
        <v>52</v>
      </c>
      <c r="H91" s="1" t="s">
        <v>37</v>
      </c>
      <c r="I91" s="3">
        <v>4262020</v>
      </c>
      <c r="J91" s="1" t="s">
        <v>17</v>
      </c>
      <c r="K91" s="1">
        <v>1</v>
      </c>
      <c r="L91" s="35">
        <f>InventoryTY[[#This Row],[Landed Cost]]*InventoryTY[[#This Row],[Inventory Qty]]</f>
        <v>4262020</v>
      </c>
    </row>
    <row r="92" spans="1:12" x14ac:dyDescent="0.25">
      <c r="A92" s="1">
        <v>2026</v>
      </c>
      <c r="B92" s="1">
        <v>1</v>
      </c>
      <c r="C92" s="2">
        <v>46034</v>
      </c>
      <c r="D92" s="1">
        <v>182219</v>
      </c>
      <c r="E92" s="1" t="s">
        <v>50</v>
      </c>
      <c r="F92" s="1" t="s">
        <v>11</v>
      </c>
      <c r="G92" s="1" t="s">
        <v>52</v>
      </c>
      <c r="H92" s="1" t="s">
        <v>37</v>
      </c>
      <c r="I92" s="3">
        <v>8543268</v>
      </c>
      <c r="J92" s="1" t="s">
        <v>17</v>
      </c>
      <c r="K92" s="1">
        <v>1</v>
      </c>
      <c r="L92" s="35">
        <f>InventoryTY[[#This Row],[Landed Cost]]*InventoryTY[[#This Row],[Inventory Qty]]</f>
        <v>8543268</v>
      </c>
    </row>
    <row r="93" spans="1:12" x14ac:dyDescent="0.25">
      <c r="A93" s="1">
        <v>2026</v>
      </c>
      <c r="B93" s="1">
        <v>1</v>
      </c>
      <c r="C93" s="2">
        <v>46034</v>
      </c>
      <c r="D93" s="1">
        <v>182233</v>
      </c>
      <c r="E93" s="1" t="s">
        <v>50</v>
      </c>
      <c r="F93" s="1" t="s">
        <v>11</v>
      </c>
      <c r="G93" s="1" t="s">
        <v>52</v>
      </c>
      <c r="H93" s="1" t="s">
        <v>37</v>
      </c>
      <c r="I93" s="3">
        <v>7284260</v>
      </c>
      <c r="J93" s="1" t="s">
        <v>21</v>
      </c>
      <c r="K93" s="1">
        <v>1</v>
      </c>
      <c r="L93" s="35">
        <f>InventoryTY[[#This Row],[Landed Cost]]*InventoryTY[[#This Row],[Inventory Qty]]</f>
        <v>7284260</v>
      </c>
    </row>
    <row r="94" spans="1:12" x14ac:dyDescent="0.25">
      <c r="A94" s="1">
        <v>2026</v>
      </c>
      <c r="B94" s="1">
        <v>1</v>
      </c>
      <c r="C94" s="2">
        <v>46034</v>
      </c>
      <c r="D94" s="1">
        <v>182238</v>
      </c>
      <c r="E94" s="1" t="s">
        <v>50</v>
      </c>
      <c r="F94" s="1" t="s">
        <v>11</v>
      </c>
      <c r="G94" s="1" t="s">
        <v>52</v>
      </c>
      <c r="H94" s="1" t="s">
        <v>34</v>
      </c>
      <c r="I94" s="3">
        <v>1139103</v>
      </c>
      <c r="J94" s="1" t="s">
        <v>15</v>
      </c>
      <c r="K94" s="1">
        <v>1</v>
      </c>
      <c r="L94" s="35">
        <f>InventoryTY[[#This Row],[Landed Cost]]*InventoryTY[[#This Row],[Inventory Qty]]</f>
        <v>1139103</v>
      </c>
    </row>
    <row r="95" spans="1:12" x14ac:dyDescent="0.25">
      <c r="A95" s="1">
        <v>2026</v>
      </c>
      <c r="B95" s="1">
        <v>1</v>
      </c>
      <c r="C95" s="2">
        <v>46034</v>
      </c>
      <c r="D95" s="1">
        <v>182239</v>
      </c>
      <c r="E95" s="1" t="s">
        <v>50</v>
      </c>
      <c r="F95" s="1" t="s">
        <v>11</v>
      </c>
      <c r="G95" s="1" t="s">
        <v>52</v>
      </c>
      <c r="H95" s="1" t="s">
        <v>34</v>
      </c>
      <c r="I95" s="3">
        <v>4346575</v>
      </c>
      <c r="J95" s="1" t="s">
        <v>21</v>
      </c>
      <c r="K95" s="1">
        <v>1</v>
      </c>
      <c r="L95" s="35">
        <f>InventoryTY[[#This Row],[Landed Cost]]*InventoryTY[[#This Row],[Inventory Qty]]</f>
        <v>4346575</v>
      </c>
    </row>
    <row r="96" spans="1:12" x14ac:dyDescent="0.25">
      <c r="A96" s="1">
        <v>2026</v>
      </c>
      <c r="B96" s="1">
        <v>1</v>
      </c>
      <c r="C96" s="2">
        <v>46034</v>
      </c>
      <c r="D96" s="1">
        <v>182240</v>
      </c>
      <c r="E96" s="1" t="s">
        <v>50</v>
      </c>
      <c r="F96" s="1" t="s">
        <v>11</v>
      </c>
      <c r="G96" s="1" t="s">
        <v>52</v>
      </c>
      <c r="H96" s="1" t="s">
        <v>34</v>
      </c>
      <c r="I96" s="3">
        <v>5725489</v>
      </c>
      <c r="J96" s="1" t="s">
        <v>21</v>
      </c>
      <c r="K96" s="1">
        <v>1</v>
      </c>
      <c r="L96" s="35">
        <f>InventoryTY[[#This Row],[Landed Cost]]*InventoryTY[[#This Row],[Inventory Qty]]</f>
        <v>5725489</v>
      </c>
    </row>
    <row r="97" spans="1:12" x14ac:dyDescent="0.25">
      <c r="A97" s="1">
        <v>2026</v>
      </c>
      <c r="B97" s="1">
        <v>1</v>
      </c>
      <c r="C97" s="2">
        <v>46034</v>
      </c>
      <c r="D97" s="1">
        <v>182241</v>
      </c>
      <c r="E97" s="1" t="s">
        <v>50</v>
      </c>
      <c r="F97" s="1" t="s">
        <v>11</v>
      </c>
      <c r="G97" s="1" t="s">
        <v>52</v>
      </c>
      <c r="H97" s="1" t="s">
        <v>34</v>
      </c>
      <c r="I97" s="3">
        <v>2263216</v>
      </c>
      <c r="J97" s="1" t="s">
        <v>21</v>
      </c>
      <c r="K97" s="1">
        <v>1</v>
      </c>
      <c r="L97" s="35">
        <f>InventoryTY[[#This Row],[Landed Cost]]*InventoryTY[[#This Row],[Inventory Qty]]</f>
        <v>2263216</v>
      </c>
    </row>
    <row r="98" spans="1:12" x14ac:dyDescent="0.25">
      <c r="A98" s="1">
        <v>2026</v>
      </c>
      <c r="B98" s="1">
        <v>1</v>
      </c>
      <c r="C98" s="2">
        <v>46034</v>
      </c>
      <c r="D98" s="1">
        <v>182249</v>
      </c>
      <c r="E98" s="1" t="s">
        <v>50</v>
      </c>
      <c r="F98" s="1" t="s">
        <v>11</v>
      </c>
      <c r="G98" s="1" t="s">
        <v>52</v>
      </c>
      <c r="H98" s="1" t="s">
        <v>34</v>
      </c>
      <c r="I98" s="3">
        <v>2068370</v>
      </c>
      <c r="J98" s="1" t="s">
        <v>15</v>
      </c>
      <c r="K98" s="1">
        <v>1</v>
      </c>
      <c r="L98" s="35">
        <f>InventoryTY[[#This Row],[Landed Cost]]*InventoryTY[[#This Row],[Inventory Qty]]</f>
        <v>2068370</v>
      </c>
    </row>
    <row r="99" spans="1:12" x14ac:dyDescent="0.25">
      <c r="A99" s="1">
        <v>2026</v>
      </c>
      <c r="B99" s="1">
        <v>1</v>
      </c>
      <c r="C99" s="2">
        <v>46034</v>
      </c>
      <c r="D99" s="1">
        <v>182250</v>
      </c>
      <c r="E99" s="1" t="s">
        <v>50</v>
      </c>
      <c r="F99" s="1" t="s">
        <v>11</v>
      </c>
      <c r="G99" s="1" t="s">
        <v>52</v>
      </c>
      <c r="H99" s="1" t="s">
        <v>34</v>
      </c>
      <c r="I99" s="3">
        <v>6564827</v>
      </c>
      <c r="J99" s="1" t="s">
        <v>17</v>
      </c>
      <c r="K99" s="1">
        <v>1</v>
      </c>
      <c r="L99" s="35">
        <f>InventoryTY[[#This Row],[Landed Cost]]*InventoryTY[[#This Row],[Inventory Qty]]</f>
        <v>6564827</v>
      </c>
    </row>
    <row r="100" spans="1:12" x14ac:dyDescent="0.25">
      <c r="A100" s="1">
        <v>2026</v>
      </c>
      <c r="B100" s="1">
        <v>1</v>
      </c>
      <c r="C100" s="2">
        <v>46034</v>
      </c>
      <c r="D100" s="1">
        <v>182253</v>
      </c>
      <c r="E100" s="1" t="s">
        <v>50</v>
      </c>
      <c r="F100" s="1" t="s">
        <v>11</v>
      </c>
      <c r="G100" s="1" t="s">
        <v>52</v>
      </c>
      <c r="H100" s="1" t="s">
        <v>34</v>
      </c>
      <c r="I100" s="3">
        <v>4121752</v>
      </c>
      <c r="J100" s="1" t="s">
        <v>17</v>
      </c>
      <c r="K100" s="1">
        <v>1</v>
      </c>
      <c r="L100" s="35">
        <f>InventoryTY[[#This Row],[Landed Cost]]*InventoryTY[[#This Row],[Inventory Qty]]</f>
        <v>4121752</v>
      </c>
    </row>
    <row r="101" spans="1:12" x14ac:dyDescent="0.25">
      <c r="A101" s="1">
        <v>2026</v>
      </c>
      <c r="B101" s="1">
        <v>1</v>
      </c>
      <c r="C101" s="2">
        <v>46034</v>
      </c>
      <c r="D101" s="1">
        <v>182256</v>
      </c>
      <c r="E101" s="1" t="s">
        <v>50</v>
      </c>
      <c r="F101" s="1" t="s">
        <v>11</v>
      </c>
      <c r="G101" s="1" t="s">
        <v>52</v>
      </c>
      <c r="H101" s="1" t="s">
        <v>34</v>
      </c>
      <c r="I101" s="3">
        <v>7194332</v>
      </c>
      <c r="J101" s="1" t="s">
        <v>15</v>
      </c>
      <c r="K101" s="1">
        <v>1</v>
      </c>
      <c r="L101" s="35">
        <f>InventoryTY[[#This Row],[Landed Cost]]*InventoryTY[[#This Row],[Inventory Qty]]</f>
        <v>7194332</v>
      </c>
    </row>
    <row r="102" spans="1:12" x14ac:dyDescent="0.25">
      <c r="A102" s="1">
        <v>2026</v>
      </c>
      <c r="B102" s="1">
        <v>1</v>
      </c>
      <c r="C102" s="2">
        <v>46034</v>
      </c>
      <c r="D102" s="1">
        <v>182263</v>
      </c>
      <c r="E102" s="1" t="s">
        <v>50</v>
      </c>
      <c r="F102" s="1" t="s">
        <v>11</v>
      </c>
      <c r="G102" s="1" t="s">
        <v>52</v>
      </c>
      <c r="H102" s="1" t="s">
        <v>34</v>
      </c>
      <c r="I102" s="3">
        <v>5036031</v>
      </c>
      <c r="J102" s="1" t="s">
        <v>15</v>
      </c>
      <c r="K102" s="1">
        <v>1</v>
      </c>
      <c r="L102" s="35">
        <f>InventoryTY[[#This Row],[Landed Cost]]*InventoryTY[[#This Row],[Inventory Qty]]</f>
        <v>5036031</v>
      </c>
    </row>
    <row r="103" spans="1:12" x14ac:dyDescent="0.25">
      <c r="A103" s="1">
        <v>2026</v>
      </c>
      <c r="B103" s="1">
        <v>1</v>
      </c>
      <c r="C103" s="2">
        <v>46034</v>
      </c>
      <c r="D103" s="1">
        <v>182264</v>
      </c>
      <c r="E103" s="1" t="s">
        <v>50</v>
      </c>
      <c r="F103" s="1" t="s">
        <v>11</v>
      </c>
      <c r="G103" s="1" t="s">
        <v>52</v>
      </c>
      <c r="H103" s="1" t="s">
        <v>34</v>
      </c>
      <c r="I103" s="3">
        <v>5036031</v>
      </c>
      <c r="J103" s="1" t="s">
        <v>21</v>
      </c>
      <c r="K103" s="1">
        <v>1</v>
      </c>
      <c r="L103" s="35">
        <f>InventoryTY[[#This Row],[Landed Cost]]*InventoryTY[[#This Row],[Inventory Qty]]</f>
        <v>5036031</v>
      </c>
    </row>
    <row r="104" spans="1:12" x14ac:dyDescent="0.25">
      <c r="A104" s="1">
        <v>2026</v>
      </c>
      <c r="B104" s="1">
        <v>1</v>
      </c>
      <c r="C104" s="2">
        <v>46034</v>
      </c>
      <c r="D104" s="1">
        <v>182265</v>
      </c>
      <c r="E104" s="1" t="s">
        <v>50</v>
      </c>
      <c r="F104" s="1" t="s">
        <v>11</v>
      </c>
      <c r="G104" s="1" t="s">
        <v>52</v>
      </c>
      <c r="H104" s="1" t="s">
        <v>34</v>
      </c>
      <c r="I104" s="3">
        <v>3881941</v>
      </c>
      <c r="J104" s="1" t="s">
        <v>21</v>
      </c>
      <c r="K104" s="1">
        <v>1</v>
      </c>
      <c r="L104" s="35">
        <f>InventoryTY[[#This Row],[Landed Cost]]*InventoryTY[[#This Row],[Inventory Qty]]</f>
        <v>3881941</v>
      </c>
    </row>
    <row r="105" spans="1:12" x14ac:dyDescent="0.25">
      <c r="A105" s="1">
        <v>2026</v>
      </c>
      <c r="B105" s="1">
        <v>1</v>
      </c>
      <c r="C105" s="2">
        <v>46034</v>
      </c>
      <c r="D105" s="1">
        <v>182267</v>
      </c>
      <c r="E105" s="1" t="s">
        <v>50</v>
      </c>
      <c r="F105" s="1" t="s">
        <v>11</v>
      </c>
      <c r="G105" s="1" t="s">
        <v>52</v>
      </c>
      <c r="H105" s="1" t="s">
        <v>34</v>
      </c>
      <c r="I105" s="3">
        <v>2098346</v>
      </c>
      <c r="J105" s="1" t="s">
        <v>15</v>
      </c>
      <c r="K105" s="1">
        <v>1</v>
      </c>
      <c r="L105" s="35">
        <f>InventoryTY[[#This Row],[Landed Cost]]*InventoryTY[[#This Row],[Inventory Qty]]</f>
        <v>2098346</v>
      </c>
    </row>
    <row r="106" spans="1:12" x14ac:dyDescent="0.25">
      <c r="A106" s="1">
        <v>2026</v>
      </c>
      <c r="B106" s="1">
        <v>1</v>
      </c>
      <c r="C106" s="2">
        <v>46034</v>
      </c>
      <c r="D106" s="1">
        <v>182281</v>
      </c>
      <c r="E106" s="1" t="s">
        <v>50</v>
      </c>
      <c r="F106" s="1" t="s">
        <v>11</v>
      </c>
      <c r="G106" s="1" t="s">
        <v>52</v>
      </c>
      <c r="H106" s="1" t="s">
        <v>34</v>
      </c>
      <c r="I106" s="3">
        <v>4196693</v>
      </c>
      <c r="J106" s="1" t="s">
        <v>21</v>
      </c>
      <c r="K106" s="1">
        <v>1</v>
      </c>
      <c r="L106" s="35">
        <f>InventoryTY[[#This Row],[Landed Cost]]*InventoryTY[[#This Row],[Inventory Qty]]</f>
        <v>4196693</v>
      </c>
    </row>
    <row r="107" spans="1:12" x14ac:dyDescent="0.25">
      <c r="A107" s="1">
        <v>2026</v>
      </c>
      <c r="B107" s="1">
        <v>1</v>
      </c>
      <c r="C107" s="2">
        <v>46034</v>
      </c>
      <c r="D107" s="1">
        <v>182566</v>
      </c>
      <c r="E107" s="1" t="s">
        <v>44</v>
      </c>
      <c r="F107" s="1" t="s">
        <v>11</v>
      </c>
      <c r="G107" s="1" t="s">
        <v>52</v>
      </c>
      <c r="H107" s="1" t="s">
        <v>43</v>
      </c>
      <c r="I107" s="3">
        <v>75335867</v>
      </c>
      <c r="J107" s="1" t="s">
        <v>15</v>
      </c>
      <c r="K107" s="1">
        <v>1</v>
      </c>
      <c r="L107" s="35">
        <f>InventoryTY[[#This Row],[Landed Cost]]*InventoryTY[[#This Row],[Inventory Qty]]</f>
        <v>75335867</v>
      </c>
    </row>
    <row r="108" spans="1:12" x14ac:dyDescent="0.25">
      <c r="A108" s="1">
        <v>2026</v>
      </c>
      <c r="B108" s="1">
        <v>1</v>
      </c>
      <c r="C108" s="2">
        <v>46034</v>
      </c>
      <c r="D108" s="1">
        <v>186304</v>
      </c>
      <c r="E108" s="1" t="s">
        <v>46</v>
      </c>
      <c r="F108" s="1" t="s">
        <v>11</v>
      </c>
      <c r="G108" s="1" t="s">
        <v>52</v>
      </c>
      <c r="H108" s="1" t="s">
        <v>34</v>
      </c>
      <c r="I108" s="3">
        <v>1134000</v>
      </c>
      <c r="J108" s="1" t="s">
        <v>21</v>
      </c>
      <c r="K108" s="1">
        <v>1</v>
      </c>
      <c r="L108" s="35">
        <f>InventoryTY[[#This Row],[Landed Cost]]*InventoryTY[[#This Row],[Inventory Qty]]</f>
        <v>1134000</v>
      </c>
    </row>
    <row r="109" spans="1:12" x14ac:dyDescent="0.25">
      <c r="A109" s="1">
        <v>2026</v>
      </c>
      <c r="B109" s="1">
        <v>1</v>
      </c>
      <c r="C109" s="2">
        <v>46034</v>
      </c>
      <c r="D109" s="1">
        <v>186305</v>
      </c>
      <c r="E109" s="1" t="s">
        <v>46</v>
      </c>
      <c r="F109" s="1" t="s">
        <v>11</v>
      </c>
      <c r="G109" s="1" t="s">
        <v>52</v>
      </c>
      <c r="H109" s="1" t="s">
        <v>34</v>
      </c>
      <c r="I109" s="3">
        <v>1026000</v>
      </c>
      <c r="J109" s="1" t="s">
        <v>21</v>
      </c>
      <c r="K109" s="1">
        <v>1</v>
      </c>
      <c r="L109" s="35">
        <f>InventoryTY[[#This Row],[Landed Cost]]*InventoryTY[[#This Row],[Inventory Qty]]</f>
        <v>1026000</v>
      </c>
    </row>
    <row r="110" spans="1:12" x14ac:dyDescent="0.25">
      <c r="A110" s="1">
        <v>2026</v>
      </c>
      <c r="B110" s="1">
        <v>1</v>
      </c>
      <c r="C110" s="2">
        <v>46034</v>
      </c>
      <c r="D110" s="1">
        <v>186306</v>
      </c>
      <c r="E110" s="1" t="s">
        <v>46</v>
      </c>
      <c r="F110" s="1" t="s">
        <v>11</v>
      </c>
      <c r="G110" s="1" t="s">
        <v>52</v>
      </c>
      <c r="H110" s="1" t="s">
        <v>34</v>
      </c>
      <c r="I110" s="3">
        <v>1026000</v>
      </c>
      <c r="J110" s="1" t="s">
        <v>28</v>
      </c>
      <c r="K110" s="1">
        <v>1</v>
      </c>
      <c r="L110" s="35">
        <f>InventoryTY[[#This Row],[Landed Cost]]*InventoryTY[[#This Row],[Inventory Qty]]</f>
        <v>1026000</v>
      </c>
    </row>
    <row r="111" spans="1:12" x14ac:dyDescent="0.25">
      <c r="A111" s="1">
        <v>2026</v>
      </c>
      <c r="B111" s="1">
        <v>1</v>
      </c>
      <c r="C111" s="2">
        <v>46034</v>
      </c>
      <c r="D111" s="1">
        <v>186311</v>
      </c>
      <c r="E111" s="1" t="s">
        <v>48</v>
      </c>
      <c r="F111" s="1" t="s">
        <v>11</v>
      </c>
      <c r="G111" s="1" t="s">
        <v>52</v>
      </c>
      <c r="H111" s="1" t="s">
        <v>43</v>
      </c>
      <c r="I111" s="3">
        <v>21330000</v>
      </c>
      <c r="J111" s="1" t="s">
        <v>15</v>
      </c>
      <c r="K111" s="1">
        <v>1</v>
      </c>
      <c r="L111" s="35">
        <f>InventoryTY[[#This Row],[Landed Cost]]*InventoryTY[[#This Row],[Inventory Qty]]</f>
        <v>21330000</v>
      </c>
    </row>
    <row r="112" spans="1:12" x14ac:dyDescent="0.25">
      <c r="A112" s="1">
        <v>2026</v>
      </c>
      <c r="B112" s="1">
        <v>1</v>
      </c>
      <c r="C112" s="2">
        <v>46034</v>
      </c>
      <c r="D112" s="1">
        <v>186312</v>
      </c>
      <c r="E112" s="1" t="s">
        <v>48</v>
      </c>
      <c r="F112" s="1" t="s">
        <v>11</v>
      </c>
      <c r="G112" s="1" t="s">
        <v>52</v>
      </c>
      <c r="H112" s="1" t="s">
        <v>34</v>
      </c>
      <c r="I112" s="3">
        <v>16200000</v>
      </c>
      <c r="J112" s="1" t="s">
        <v>15</v>
      </c>
      <c r="K112" s="1">
        <v>1</v>
      </c>
      <c r="L112" s="35">
        <f>InventoryTY[[#This Row],[Landed Cost]]*InventoryTY[[#This Row],[Inventory Qty]]</f>
        <v>16200000</v>
      </c>
    </row>
    <row r="113" spans="1:12" x14ac:dyDescent="0.25">
      <c r="A113" s="1">
        <v>2026</v>
      </c>
      <c r="B113" s="1">
        <v>1</v>
      </c>
      <c r="C113" s="2">
        <v>46034</v>
      </c>
      <c r="D113" s="1">
        <v>186453</v>
      </c>
      <c r="E113" s="1" t="s">
        <v>19</v>
      </c>
      <c r="F113" s="1" t="s">
        <v>11</v>
      </c>
      <c r="G113" s="1" t="s">
        <v>52</v>
      </c>
      <c r="H113" s="1" t="s">
        <v>34</v>
      </c>
      <c r="I113" s="3">
        <v>14514286</v>
      </c>
      <c r="J113" s="1" t="s">
        <v>15</v>
      </c>
      <c r="K113" s="1">
        <v>1</v>
      </c>
      <c r="L113" s="35">
        <f>InventoryTY[[#This Row],[Landed Cost]]*InventoryTY[[#This Row],[Inventory Qty]]</f>
        <v>14514286</v>
      </c>
    </row>
    <row r="114" spans="1:12" x14ac:dyDescent="0.25">
      <c r="A114" s="1">
        <v>2026</v>
      </c>
      <c r="B114" s="1">
        <v>1</v>
      </c>
      <c r="C114" s="2">
        <v>46034</v>
      </c>
      <c r="D114" s="1">
        <v>186459</v>
      </c>
      <c r="E114" s="1" t="s">
        <v>19</v>
      </c>
      <c r="F114" s="1" t="s">
        <v>11</v>
      </c>
      <c r="G114" s="1" t="s">
        <v>52</v>
      </c>
      <c r="H114" s="1" t="s">
        <v>34</v>
      </c>
      <c r="I114" s="3">
        <v>26997902</v>
      </c>
      <c r="J114" s="1" t="s">
        <v>15</v>
      </c>
      <c r="K114" s="1">
        <v>1</v>
      </c>
      <c r="L114" s="35">
        <f>InventoryTY[[#This Row],[Landed Cost]]*InventoryTY[[#This Row],[Inventory Qty]]</f>
        <v>26997902</v>
      </c>
    </row>
    <row r="115" spans="1:12" x14ac:dyDescent="0.25">
      <c r="A115" s="1">
        <v>2026</v>
      </c>
      <c r="B115" s="1">
        <v>1</v>
      </c>
      <c r="C115" s="2">
        <v>46034</v>
      </c>
      <c r="D115" s="1">
        <v>186462</v>
      </c>
      <c r="E115" s="1" t="s">
        <v>19</v>
      </c>
      <c r="F115" s="1" t="s">
        <v>11</v>
      </c>
      <c r="G115" s="1" t="s">
        <v>52</v>
      </c>
      <c r="H115" s="1" t="s">
        <v>43</v>
      </c>
      <c r="I115" s="3">
        <v>5184701</v>
      </c>
      <c r="J115" s="1" t="s">
        <v>22</v>
      </c>
      <c r="K115" s="1">
        <v>1</v>
      </c>
      <c r="L115" s="35">
        <f>InventoryTY[[#This Row],[Landed Cost]]*InventoryTY[[#This Row],[Inventory Qty]]</f>
        <v>5184701</v>
      </c>
    </row>
    <row r="116" spans="1:12" x14ac:dyDescent="0.25">
      <c r="A116" s="1">
        <v>2026</v>
      </c>
      <c r="B116" s="1">
        <v>1</v>
      </c>
      <c r="C116" s="2">
        <v>46034</v>
      </c>
      <c r="D116" s="1">
        <v>186463</v>
      </c>
      <c r="E116" s="1" t="s">
        <v>19</v>
      </c>
      <c r="F116" s="1" t="s">
        <v>11</v>
      </c>
      <c r="G116" s="1" t="s">
        <v>52</v>
      </c>
      <c r="H116" s="1" t="s">
        <v>43</v>
      </c>
      <c r="I116" s="3">
        <v>8472421</v>
      </c>
      <c r="J116" s="1" t="s">
        <v>22</v>
      </c>
      <c r="K116" s="1">
        <v>1</v>
      </c>
      <c r="L116" s="35">
        <f>InventoryTY[[#This Row],[Landed Cost]]*InventoryTY[[#This Row],[Inventory Qty]]</f>
        <v>8472421</v>
      </c>
    </row>
    <row r="117" spans="1:12" x14ac:dyDescent="0.25">
      <c r="A117" s="1">
        <v>2026</v>
      </c>
      <c r="B117" s="1">
        <v>1</v>
      </c>
      <c r="C117" s="2">
        <v>46034</v>
      </c>
      <c r="D117" s="1">
        <v>186464</v>
      </c>
      <c r="E117" s="1" t="s">
        <v>19</v>
      </c>
      <c r="F117" s="1" t="s">
        <v>11</v>
      </c>
      <c r="G117" s="1" t="s">
        <v>52</v>
      </c>
      <c r="H117" s="1" t="s">
        <v>43</v>
      </c>
      <c r="I117" s="3">
        <v>6414358</v>
      </c>
      <c r="J117" s="1" t="s">
        <v>15</v>
      </c>
      <c r="K117" s="1">
        <v>1</v>
      </c>
      <c r="L117" s="35">
        <f>InventoryTY[[#This Row],[Landed Cost]]*InventoryTY[[#This Row],[Inventory Qty]]</f>
        <v>6414358</v>
      </c>
    </row>
    <row r="118" spans="1:12" x14ac:dyDescent="0.25">
      <c r="A118" s="1">
        <v>2026</v>
      </c>
      <c r="B118" s="1">
        <v>1</v>
      </c>
      <c r="C118" s="2">
        <v>46034</v>
      </c>
      <c r="D118" s="1">
        <v>186468</v>
      </c>
      <c r="E118" s="1" t="s">
        <v>19</v>
      </c>
      <c r="F118" s="1" t="s">
        <v>11</v>
      </c>
      <c r="G118" s="1" t="s">
        <v>52</v>
      </c>
      <c r="H118" s="1" t="s">
        <v>43</v>
      </c>
      <c r="I118" s="3">
        <v>45123438</v>
      </c>
      <c r="J118" s="1" t="s">
        <v>17</v>
      </c>
      <c r="K118" s="1">
        <v>1</v>
      </c>
      <c r="L118" s="35">
        <f>InventoryTY[[#This Row],[Landed Cost]]*InventoryTY[[#This Row],[Inventory Qty]]</f>
        <v>45123438</v>
      </c>
    </row>
    <row r="119" spans="1:12" x14ac:dyDescent="0.25">
      <c r="A119" s="1">
        <v>2026</v>
      </c>
      <c r="B119" s="1">
        <v>1</v>
      </c>
      <c r="C119" s="2">
        <v>46034</v>
      </c>
      <c r="D119" s="1">
        <v>186473</v>
      </c>
      <c r="E119" s="1" t="s">
        <v>19</v>
      </c>
      <c r="F119" s="1" t="s">
        <v>11</v>
      </c>
      <c r="G119" s="1" t="s">
        <v>52</v>
      </c>
      <c r="H119" s="1" t="s">
        <v>43</v>
      </c>
      <c r="I119" s="3">
        <v>7383705</v>
      </c>
      <c r="J119" s="1" t="s">
        <v>15</v>
      </c>
      <c r="K119" s="1">
        <v>1</v>
      </c>
      <c r="L119" s="35">
        <f>InventoryTY[[#This Row],[Landed Cost]]*InventoryTY[[#This Row],[Inventory Qty]]</f>
        <v>7383705</v>
      </c>
    </row>
    <row r="120" spans="1:12" x14ac:dyDescent="0.25">
      <c r="A120" s="1">
        <v>2026</v>
      </c>
      <c r="B120" s="1">
        <v>1</v>
      </c>
      <c r="C120" s="2">
        <v>46034</v>
      </c>
      <c r="D120" s="1">
        <v>186474</v>
      </c>
      <c r="E120" s="1" t="s">
        <v>19</v>
      </c>
      <c r="F120" s="1" t="s">
        <v>11</v>
      </c>
      <c r="G120" s="1" t="s">
        <v>52</v>
      </c>
      <c r="H120" s="1" t="s">
        <v>37</v>
      </c>
      <c r="I120" s="3">
        <v>25845843</v>
      </c>
      <c r="J120" s="1" t="s">
        <v>15</v>
      </c>
      <c r="K120" s="1">
        <v>1</v>
      </c>
      <c r="L120" s="35">
        <f>InventoryTY[[#This Row],[Landed Cost]]*InventoryTY[[#This Row],[Inventory Qty]]</f>
        <v>25845843</v>
      </c>
    </row>
    <row r="121" spans="1:12" x14ac:dyDescent="0.25">
      <c r="A121" s="1">
        <v>2026</v>
      </c>
      <c r="B121" s="1">
        <v>1</v>
      </c>
      <c r="C121" s="2">
        <v>46034</v>
      </c>
      <c r="D121" s="1">
        <v>186477</v>
      </c>
      <c r="E121" s="1" t="s">
        <v>19</v>
      </c>
      <c r="F121" s="1" t="s">
        <v>11</v>
      </c>
      <c r="G121" s="1" t="s">
        <v>52</v>
      </c>
      <c r="H121" s="1" t="s">
        <v>37</v>
      </c>
      <c r="I121" s="3">
        <v>16207046</v>
      </c>
      <c r="J121" s="1" t="s">
        <v>17</v>
      </c>
      <c r="K121" s="1">
        <v>1</v>
      </c>
      <c r="L121" s="35">
        <f>InventoryTY[[#This Row],[Landed Cost]]*InventoryTY[[#This Row],[Inventory Qty]]</f>
        <v>16207046</v>
      </c>
    </row>
    <row r="122" spans="1:12" x14ac:dyDescent="0.25">
      <c r="A122" s="1">
        <v>2026</v>
      </c>
      <c r="B122" s="1">
        <v>1</v>
      </c>
      <c r="C122" s="2">
        <v>46034</v>
      </c>
      <c r="D122" s="1">
        <v>186482</v>
      </c>
      <c r="E122" s="1" t="s">
        <v>19</v>
      </c>
      <c r="F122" s="1" t="s">
        <v>11</v>
      </c>
      <c r="G122" s="1" t="s">
        <v>52</v>
      </c>
      <c r="H122" s="1" t="s">
        <v>37</v>
      </c>
      <c r="I122" s="3">
        <v>29934637</v>
      </c>
      <c r="J122" s="1" t="s">
        <v>17</v>
      </c>
      <c r="K122" s="1">
        <v>1</v>
      </c>
      <c r="L122" s="35">
        <f>InventoryTY[[#This Row],[Landed Cost]]*InventoryTY[[#This Row],[Inventory Qty]]</f>
        <v>29934637</v>
      </c>
    </row>
    <row r="123" spans="1:12" x14ac:dyDescent="0.25">
      <c r="A123" s="1">
        <v>2026</v>
      </c>
      <c r="B123" s="1">
        <v>1</v>
      </c>
      <c r="C123" s="2">
        <v>46034</v>
      </c>
      <c r="D123" s="1">
        <v>186487</v>
      </c>
      <c r="E123" s="1" t="s">
        <v>19</v>
      </c>
      <c r="F123" s="1" t="s">
        <v>11</v>
      </c>
      <c r="G123" s="1" t="s">
        <v>52</v>
      </c>
      <c r="H123" s="1" t="s">
        <v>43</v>
      </c>
      <c r="I123" s="3">
        <v>7749006</v>
      </c>
      <c r="J123" s="1" t="s">
        <v>22</v>
      </c>
      <c r="K123" s="1">
        <v>1</v>
      </c>
      <c r="L123" s="35">
        <f>InventoryTY[[#This Row],[Landed Cost]]*InventoryTY[[#This Row],[Inventory Qty]]</f>
        <v>7749006</v>
      </c>
    </row>
    <row r="124" spans="1:12" x14ac:dyDescent="0.25">
      <c r="A124" s="1">
        <v>2026</v>
      </c>
      <c r="B124" s="1">
        <v>1</v>
      </c>
      <c r="C124" s="2">
        <v>46034</v>
      </c>
      <c r="D124" s="1">
        <v>186490</v>
      </c>
      <c r="E124" s="1" t="s">
        <v>19</v>
      </c>
      <c r="F124" s="1" t="s">
        <v>11</v>
      </c>
      <c r="G124" s="1" t="s">
        <v>52</v>
      </c>
      <c r="H124" s="1" t="s">
        <v>43</v>
      </c>
      <c r="I124" s="3">
        <v>6582629</v>
      </c>
      <c r="J124" s="1" t="s">
        <v>15</v>
      </c>
      <c r="K124" s="1">
        <v>1</v>
      </c>
      <c r="L124" s="35">
        <f>InventoryTY[[#This Row],[Landed Cost]]*InventoryTY[[#This Row],[Inventory Qty]]</f>
        <v>6582629</v>
      </c>
    </row>
    <row r="125" spans="1:12" x14ac:dyDescent="0.25">
      <c r="A125" s="1">
        <v>2026</v>
      </c>
      <c r="B125" s="1">
        <v>1</v>
      </c>
      <c r="C125" s="2">
        <v>46034</v>
      </c>
      <c r="D125" s="1">
        <v>186491</v>
      </c>
      <c r="E125" s="1" t="s">
        <v>19</v>
      </c>
      <c r="F125" s="1" t="s">
        <v>11</v>
      </c>
      <c r="G125" s="1" t="s">
        <v>52</v>
      </c>
      <c r="H125" s="1" t="s">
        <v>43</v>
      </c>
      <c r="I125" s="3">
        <v>7320424</v>
      </c>
      <c r="J125" s="1" t="s">
        <v>15</v>
      </c>
      <c r="K125" s="1">
        <v>1</v>
      </c>
      <c r="L125" s="35">
        <f>InventoryTY[[#This Row],[Landed Cost]]*InventoryTY[[#This Row],[Inventory Qty]]</f>
        <v>7320424</v>
      </c>
    </row>
    <row r="126" spans="1:12" x14ac:dyDescent="0.25">
      <c r="A126" s="1">
        <v>2026</v>
      </c>
      <c r="B126" s="1">
        <v>1</v>
      </c>
      <c r="C126" s="2">
        <v>46034</v>
      </c>
      <c r="D126" s="1">
        <v>186497</v>
      </c>
      <c r="E126" s="1" t="s">
        <v>19</v>
      </c>
      <c r="F126" s="1" t="s">
        <v>11</v>
      </c>
      <c r="G126" s="1" t="s">
        <v>52</v>
      </c>
      <c r="H126" s="1" t="s">
        <v>43</v>
      </c>
      <c r="I126" s="3">
        <v>6343888</v>
      </c>
      <c r="J126" s="1" t="s">
        <v>15</v>
      </c>
      <c r="K126" s="1">
        <v>1</v>
      </c>
      <c r="L126" s="35">
        <f>InventoryTY[[#This Row],[Landed Cost]]*InventoryTY[[#This Row],[Inventory Qty]]</f>
        <v>6343888</v>
      </c>
    </row>
    <row r="127" spans="1:12" x14ac:dyDescent="0.25">
      <c r="A127" s="1">
        <v>2026</v>
      </c>
      <c r="B127" s="1">
        <v>1</v>
      </c>
      <c r="C127" s="2">
        <v>46034</v>
      </c>
      <c r="D127" s="1">
        <v>186498</v>
      </c>
      <c r="E127" s="1" t="s">
        <v>19</v>
      </c>
      <c r="F127" s="1" t="s">
        <v>11</v>
      </c>
      <c r="G127" s="1" t="s">
        <v>52</v>
      </c>
      <c r="H127" s="1" t="s">
        <v>43</v>
      </c>
      <c r="I127" s="3">
        <v>6891841</v>
      </c>
      <c r="J127" s="1" t="s">
        <v>15</v>
      </c>
      <c r="K127" s="1">
        <v>1</v>
      </c>
      <c r="L127" s="35">
        <f>InventoryTY[[#This Row],[Landed Cost]]*InventoryTY[[#This Row],[Inventory Qty]]</f>
        <v>6891841</v>
      </c>
    </row>
    <row r="128" spans="1:12" x14ac:dyDescent="0.25">
      <c r="A128" s="1">
        <v>2026</v>
      </c>
      <c r="B128" s="1">
        <v>1</v>
      </c>
      <c r="C128" s="2">
        <v>46034</v>
      </c>
      <c r="D128" s="1">
        <v>193094</v>
      </c>
      <c r="E128" s="1" t="s">
        <v>59</v>
      </c>
      <c r="F128" s="1" t="s">
        <v>11</v>
      </c>
      <c r="G128" s="1" t="s">
        <v>57</v>
      </c>
      <c r="H128" s="1" t="s">
        <v>34</v>
      </c>
      <c r="I128" s="3">
        <v>101201414</v>
      </c>
      <c r="J128" s="1" t="s">
        <v>15</v>
      </c>
      <c r="K128" s="1">
        <v>1</v>
      </c>
      <c r="L128" s="35">
        <f>InventoryTY[[#This Row],[Landed Cost]]*InventoryTY[[#This Row],[Inventory Qty]]</f>
        <v>101201414</v>
      </c>
    </row>
    <row r="129" spans="1:12" x14ac:dyDescent="0.25">
      <c r="A129" s="1">
        <v>2026</v>
      </c>
      <c r="B129" s="1">
        <v>1</v>
      </c>
      <c r="C129" s="2">
        <v>46034</v>
      </c>
      <c r="D129" s="1">
        <v>193095</v>
      </c>
      <c r="E129" s="1" t="s">
        <v>59</v>
      </c>
      <c r="F129" s="1" t="s">
        <v>11</v>
      </c>
      <c r="G129" s="1" t="s">
        <v>57</v>
      </c>
      <c r="H129" s="1" t="s">
        <v>34</v>
      </c>
      <c r="I129" s="3">
        <v>139997498</v>
      </c>
      <c r="J129" s="1" t="s">
        <v>15</v>
      </c>
      <c r="K129" s="1">
        <v>1</v>
      </c>
      <c r="L129" s="35">
        <f>InventoryTY[[#This Row],[Landed Cost]]*InventoryTY[[#This Row],[Inventory Qty]]</f>
        <v>139997498</v>
      </c>
    </row>
    <row r="130" spans="1:12" x14ac:dyDescent="0.25">
      <c r="A130" s="1">
        <v>2026</v>
      </c>
      <c r="B130" s="1">
        <v>1</v>
      </c>
      <c r="C130" s="2">
        <v>46034</v>
      </c>
      <c r="D130" s="1">
        <v>193097</v>
      </c>
      <c r="E130" s="1" t="s">
        <v>59</v>
      </c>
      <c r="F130" s="1" t="s">
        <v>11</v>
      </c>
      <c r="G130" s="1" t="s">
        <v>57</v>
      </c>
      <c r="H130" s="1" t="s">
        <v>43</v>
      </c>
      <c r="I130" s="3">
        <v>98538269</v>
      </c>
      <c r="J130" s="1" t="s">
        <v>15</v>
      </c>
      <c r="K130" s="1">
        <v>1</v>
      </c>
      <c r="L130" s="35">
        <f>InventoryTY[[#This Row],[Landed Cost]]*InventoryTY[[#This Row],[Inventory Qty]]</f>
        <v>98538269</v>
      </c>
    </row>
    <row r="131" spans="1:12" x14ac:dyDescent="0.25">
      <c r="A131" s="1">
        <v>2026</v>
      </c>
      <c r="B131" s="1">
        <v>1</v>
      </c>
      <c r="C131" s="2">
        <v>46034</v>
      </c>
      <c r="D131" s="1">
        <v>193238</v>
      </c>
      <c r="E131" s="1" t="s">
        <v>58</v>
      </c>
      <c r="F131" s="1" t="s">
        <v>11</v>
      </c>
      <c r="G131" s="1" t="s">
        <v>57</v>
      </c>
      <c r="H131" s="1" t="s">
        <v>34</v>
      </c>
      <c r="I131" s="3">
        <v>134392500</v>
      </c>
      <c r="J131" s="1" t="s">
        <v>17</v>
      </c>
      <c r="K131" s="1">
        <v>1</v>
      </c>
      <c r="L131" s="35">
        <f>InventoryTY[[#This Row],[Landed Cost]]*InventoryTY[[#This Row],[Inventory Qty]]</f>
        <v>134392500</v>
      </c>
    </row>
    <row r="132" spans="1:12" x14ac:dyDescent="0.25">
      <c r="A132" s="1">
        <v>2026</v>
      </c>
      <c r="B132" s="1">
        <v>1</v>
      </c>
      <c r="C132" s="2">
        <v>46034</v>
      </c>
      <c r="D132" s="1">
        <v>193240</v>
      </c>
      <c r="E132" s="1" t="s">
        <v>47</v>
      </c>
      <c r="F132" s="1" t="s">
        <v>11</v>
      </c>
      <c r="G132" s="1" t="s">
        <v>57</v>
      </c>
      <c r="H132" s="1" t="s">
        <v>37</v>
      </c>
      <c r="I132" s="3">
        <v>1435500</v>
      </c>
      <c r="J132" s="1" t="s">
        <v>28</v>
      </c>
      <c r="K132" s="1">
        <v>1</v>
      </c>
      <c r="L132" s="35">
        <f>InventoryTY[[#This Row],[Landed Cost]]*InventoryTY[[#This Row],[Inventory Qty]]</f>
        <v>1435500</v>
      </c>
    </row>
    <row r="133" spans="1:12" x14ac:dyDescent="0.25">
      <c r="A133" s="1">
        <v>2026</v>
      </c>
      <c r="B133" s="1">
        <v>1</v>
      </c>
      <c r="C133" s="2">
        <v>46034</v>
      </c>
      <c r="D133" s="1">
        <v>193242</v>
      </c>
      <c r="E133" s="1" t="s">
        <v>47</v>
      </c>
      <c r="F133" s="1" t="s">
        <v>11</v>
      </c>
      <c r="G133" s="1" t="s">
        <v>57</v>
      </c>
      <c r="H133" s="1" t="s">
        <v>37</v>
      </c>
      <c r="I133" s="3">
        <v>1435500</v>
      </c>
      <c r="J133" s="1" t="s">
        <v>28</v>
      </c>
      <c r="K133" s="1">
        <v>1</v>
      </c>
      <c r="L133" s="35">
        <f>InventoryTY[[#This Row],[Landed Cost]]*InventoryTY[[#This Row],[Inventory Qty]]</f>
        <v>1435500</v>
      </c>
    </row>
    <row r="134" spans="1:12" x14ac:dyDescent="0.25">
      <c r="A134" s="1">
        <v>2026</v>
      </c>
      <c r="B134" s="1">
        <v>1</v>
      </c>
      <c r="C134" s="2">
        <v>46034</v>
      </c>
      <c r="D134" s="1">
        <v>201555</v>
      </c>
      <c r="E134" s="1" t="s">
        <v>40</v>
      </c>
      <c r="F134" s="1" t="s">
        <v>11</v>
      </c>
      <c r="G134" s="1" t="s">
        <v>57</v>
      </c>
      <c r="H134" s="1" t="s">
        <v>34</v>
      </c>
      <c r="I134" s="3">
        <v>41981976</v>
      </c>
      <c r="J134" s="1" t="s">
        <v>17</v>
      </c>
      <c r="K134" s="1">
        <v>1</v>
      </c>
      <c r="L134" s="35">
        <f>InventoryTY[[#This Row],[Landed Cost]]*InventoryTY[[#This Row],[Inventory Qty]]</f>
        <v>41981976</v>
      </c>
    </row>
    <row r="135" spans="1:12" x14ac:dyDescent="0.25">
      <c r="A135" s="1">
        <v>2026</v>
      </c>
      <c r="B135" s="1">
        <v>1</v>
      </c>
      <c r="C135" s="2">
        <v>46034</v>
      </c>
      <c r="D135" s="1">
        <v>201559</v>
      </c>
      <c r="E135" s="1" t="s">
        <v>40</v>
      </c>
      <c r="F135" s="1" t="s">
        <v>11</v>
      </c>
      <c r="G135" s="1" t="s">
        <v>57</v>
      </c>
      <c r="H135" s="1" t="s">
        <v>34</v>
      </c>
      <c r="I135" s="3">
        <v>3403944</v>
      </c>
      <c r="J135" s="1" t="s">
        <v>17</v>
      </c>
      <c r="K135" s="1">
        <v>1</v>
      </c>
      <c r="L135" s="35">
        <f>InventoryTY[[#This Row],[Landed Cost]]*InventoryTY[[#This Row],[Inventory Qty]]</f>
        <v>3403944</v>
      </c>
    </row>
    <row r="136" spans="1:12" x14ac:dyDescent="0.25">
      <c r="A136" s="1">
        <v>2026</v>
      </c>
      <c r="B136" s="1">
        <v>1</v>
      </c>
      <c r="C136" s="2">
        <v>46034</v>
      </c>
      <c r="D136" s="1">
        <v>201561</v>
      </c>
      <c r="E136" s="1" t="s">
        <v>40</v>
      </c>
      <c r="F136" s="1" t="s">
        <v>11</v>
      </c>
      <c r="G136" s="1" t="s">
        <v>57</v>
      </c>
      <c r="H136" s="1" t="s">
        <v>34</v>
      </c>
      <c r="I136" s="3">
        <v>39712680</v>
      </c>
      <c r="J136" s="1" t="s">
        <v>17</v>
      </c>
      <c r="K136" s="1">
        <v>1</v>
      </c>
      <c r="L136" s="35">
        <f>InventoryTY[[#This Row],[Landed Cost]]*InventoryTY[[#This Row],[Inventory Qty]]</f>
        <v>39712680</v>
      </c>
    </row>
    <row r="137" spans="1:12" x14ac:dyDescent="0.25">
      <c r="A137" s="1">
        <v>2026</v>
      </c>
      <c r="B137" s="1">
        <v>1</v>
      </c>
      <c r="C137" s="2">
        <v>46034</v>
      </c>
      <c r="D137" s="1">
        <v>201571</v>
      </c>
      <c r="E137" s="1" t="s">
        <v>40</v>
      </c>
      <c r="F137" s="1" t="s">
        <v>11</v>
      </c>
      <c r="G137" s="1" t="s">
        <v>57</v>
      </c>
      <c r="H137" s="1" t="s">
        <v>34</v>
      </c>
      <c r="I137" s="3">
        <v>6694423</v>
      </c>
      <c r="J137" s="1" t="s">
        <v>17</v>
      </c>
      <c r="K137" s="1">
        <v>1</v>
      </c>
      <c r="L137" s="35">
        <f>InventoryTY[[#This Row],[Landed Cost]]*InventoryTY[[#This Row],[Inventory Qty]]</f>
        <v>6694423</v>
      </c>
    </row>
    <row r="138" spans="1:12" x14ac:dyDescent="0.25">
      <c r="A138" s="1">
        <v>2026</v>
      </c>
      <c r="B138" s="1">
        <v>1</v>
      </c>
      <c r="C138" s="2">
        <v>46034</v>
      </c>
      <c r="D138" s="1">
        <v>201643</v>
      </c>
      <c r="E138" s="1" t="s">
        <v>44</v>
      </c>
      <c r="F138" s="1" t="s">
        <v>11</v>
      </c>
      <c r="G138" s="1" t="s">
        <v>60</v>
      </c>
      <c r="H138" s="1" t="s">
        <v>34</v>
      </c>
      <c r="I138" s="3">
        <v>55653750</v>
      </c>
      <c r="J138" s="1" t="s">
        <v>17</v>
      </c>
      <c r="K138" s="1">
        <v>1</v>
      </c>
      <c r="L138" s="35">
        <f>InventoryTY[[#This Row],[Landed Cost]]*InventoryTY[[#This Row],[Inventory Qty]]</f>
        <v>55653750</v>
      </c>
    </row>
    <row r="139" spans="1:12" x14ac:dyDescent="0.25">
      <c r="A139" s="1">
        <v>2026</v>
      </c>
      <c r="B139" s="1">
        <v>1</v>
      </c>
      <c r="C139" s="2">
        <v>46034</v>
      </c>
      <c r="D139" s="1">
        <v>202683</v>
      </c>
      <c r="E139" s="1" t="s">
        <v>58</v>
      </c>
      <c r="F139" s="1" t="s">
        <v>11</v>
      </c>
      <c r="G139" s="1" t="s">
        <v>60</v>
      </c>
      <c r="H139" s="1" t="s">
        <v>37</v>
      </c>
      <c r="I139" s="3">
        <v>111775242</v>
      </c>
      <c r="J139" s="1" t="s">
        <v>15</v>
      </c>
      <c r="K139" s="1">
        <v>1</v>
      </c>
      <c r="L139" s="35">
        <f>InventoryTY[[#This Row],[Landed Cost]]*InventoryTY[[#This Row],[Inventory Qty]]</f>
        <v>111775242</v>
      </c>
    </row>
    <row r="140" spans="1:12" x14ac:dyDescent="0.25">
      <c r="A140" s="1">
        <v>2026</v>
      </c>
      <c r="B140" s="1">
        <v>1</v>
      </c>
      <c r="C140" s="2">
        <v>46034</v>
      </c>
      <c r="D140" s="1">
        <v>202689</v>
      </c>
      <c r="E140" s="1" t="s">
        <v>58</v>
      </c>
      <c r="F140" s="1" t="s">
        <v>11</v>
      </c>
      <c r="G140" s="1" t="s">
        <v>60</v>
      </c>
      <c r="H140" s="1" t="s">
        <v>37</v>
      </c>
      <c r="I140" s="3">
        <v>76391978</v>
      </c>
      <c r="J140" s="1" t="s">
        <v>13</v>
      </c>
      <c r="K140" s="1">
        <v>1</v>
      </c>
      <c r="L140" s="35">
        <f>InventoryTY[[#This Row],[Landed Cost]]*InventoryTY[[#This Row],[Inventory Qty]]</f>
        <v>76391978</v>
      </c>
    </row>
    <row r="141" spans="1:12" x14ac:dyDescent="0.25">
      <c r="A141" s="1">
        <v>2026</v>
      </c>
      <c r="B141" s="1">
        <v>1</v>
      </c>
      <c r="C141" s="2">
        <v>46034</v>
      </c>
      <c r="D141" s="1">
        <v>202690</v>
      </c>
      <c r="E141" s="1" t="s">
        <v>58</v>
      </c>
      <c r="F141" s="1" t="s">
        <v>11</v>
      </c>
      <c r="G141" s="1" t="s">
        <v>60</v>
      </c>
      <c r="H141" s="1" t="s">
        <v>37</v>
      </c>
      <c r="I141" s="3">
        <v>11115019</v>
      </c>
      <c r="J141" s="1" t="s">
        <v>13</v>
      </c>
      <c r="K141" s="1">
        <v>1</v>
      </c>
      <c r="L141" s="35">
        <f>InventoryTY[[#This Row],[Landed Cost]]*InventoryTY[[#This Row],[Inventory Qty]]</f>
        <v>11115019</v>
      </c>
    </row>
    <row r="142" spans="1:12" x14ac:dyDescent="0.25">
      <c r="A142" s="1">
        <v>2026</v>
      </c>
      <c r="B142" s="1">
        <v>1</v>
      </c>
      <c r="C142" s="2">
        <v>46034</v>
      </c>
      <c r="D142" s="1">
        <v>202694</v>
      </c>
      <c r="E142" s="1" t="s">
        <v>58</v>
      </c>
      <c r="F142" s="1" t="s">
        <v>11</v>
      </c>
      <c r="G142" s="1" t="s">
        <v>60</v>
      </c>
      <c r="H142" s="1" t="s">
        <v>34</v>
      </c>
      <c r="I142" s="3">
        <v>25300936</v>
      </c>
      <c r="J142" s="1" t="s">
        <v>17</v>
      </c>
      <c r="K142" s="1">
        <v>1</v>
      </c>
      <c r="L142" s="35">
        <f>InventoryTY[[#This Row],[Landed Cost]]*InventoryTY[[#This Row],[Inventory Qty]]</f>
        <v>25300936</v>
      </c>
    </row>
    <row r="143" spans="1:12" x14ac:dyDescent="0.25">
      <c r="A143" s="1">
        <v>2026</v>
      </c>
      <c r="B143" s="1">
        <v>1</v>
      </c>
      <c r="C143" s="2">
        <v>46034</v>
      </c>
      <c r="D143" s="1">
        <v>202699</v>
      </c>
      <c r="E143" s="1" t="s">
        <v>58</v>
      </c>
      <c r="F143" s="1" t="s">
        <v>11</v>
      </c>
      <c r="G143" s="1" t="s">
        <v>60</v>
      </c>
      <c r="H143" s="1" t="s">
        <v>34</v>
      </c>
      <c r="I143" s="3">
        <v>9864920</v>
      </c>
      <c r="J143" s="1" t="s">
        <v>15</v>
      </c>
      <c r="K143" s="1">
        <v>1</v>
      </c>
      <c r="L143" s="35">
        <f>InventoryTY[[#This Row],[Landed Cost]]*InventoryTY[[#This Row],[Inventory Qty]]</f>
        <v>9864920</v>
      </c>
    </row>
    <row r="144" spans="1:12" x14ac:dyDescent="0.25">
      <c r="A144" s="1">
        <v>2026</v>
      </c>
      <c r="B144" s="1">
        <v>1</v>
      </c>
      <c r="C144" s="2">
        <v>46034</v>
      </c>
      <c r="D144" s="1">
        <v>202702</v>
      </c>
      <c r="E144" s="1" t="s">
        <v>58</v>
      </c>
      <c r="F144" s="1" t="s">
        <v>11</v>
      </c>
      <c r="G144" s="1" t="s">
        <v>60</v>
      </c>
      <c r="H144" s="1" t="s">
        <v>34</v>
      </c>
      <c r="I144" s="3">
        <v>20055952</v>
      </c>
      <c r="J144" s="1" t="s">
        <v>17</v>
      </c>
      <c r="K144" s="1">
        <v>1</v>
      </c>
      <c r="L144" s="35">
        <f>InventoryTY[[#This Row],[Landed Cost]]*InventoryTY[[#This Row],[Inventory Qty]]</f>
        <v>20055952</v>
      </c>
    </row>
    <row r="145" spans="1:12" x14ac:dyDescent="0.25">
      <c r="A145" s="1">
        <v>2026</v>
      </c>
      <c r="B145" s="1">
        <v>1</v>
      </c>
      <c r="C145" s="2">
        <v>46034</v>
      </c>
      <c r="D145" s="1">
        <v>202705</v>
      </c>
      <c r="E145" s="1" t="s">
        <v>58</v>
      </c>
      <c r="F145" s="1" t="s">
        <v>11</v>
      </c>
      <c r="G145" s="1" t="s">
        <v>60</v>
      </c>
      <c r="H145" s="1" t="s">
        <v>53</v>
      </c>
      <c r="I145" s="3">
        <v>8506115</v>
      </c>
      <c r="J145" s="1" t="s">
        <v>15</v>
      </c>
      <c r="K145" s="1">
        <v>1</v>
      </c>
      <c r="L145" s="35">
        <f>InventoryTY[[#This Row],[Landed Cost]]*InventoryTY[[#This Row],[Inventory Qty]]</f>
        <v>8506115</v>
      </c>
    </row>
    <row r="146" spans="1:12" x14ac:dyDescent="0.25">
      <c r="A146" s="1">
        <v>2026</v>
      </c>
      <c r="B146" s="1">
        <v>1</v>
      </c>
      <c r="C146" s="2">
        <v>46034</v>
      </c>
      <c r="D146" s="1">
        <v>202754</v>
      </c>
      <c r="E146" s="1" t="s">
        <v>19</v>
      </c>
      <c r="F146" s="1" t="s">
        <v>62</v>
      </c>
      <c r="G146" s="1" t="s">
        <v>60</v>
      </c>
      <c r="H146" s="1" t="s">
        <v>34</v>
      </c>
      <c r="I146" s="3">
        <v>38709942</v>
      </c>
      <c r="J146" s="1" t="s">
        <v>15</v>
      </c>
      <c r="K146" s="1">
        <v>2</v>
      </c>
      <c r="L146" s="35">
        <f>InventoryTY[[#This Row],[Landed Cost]]*InventoryTY[[#This Row],[Inventory Qty]]</f>
        <v>77419884</v>
      </c>
    </row>
    <row r="147" spans="1:12" x14ac:dyDescent="0.25">
      <c r="A147" s="1">
        <v>2026</v>
      </c>
      <c r="B147" s="1">
        <v>1</v>
      </c>
      <c r="C147" s="2">
        <v>46034</v>
      </c>
      <c r="D147" s="1">
        <v>202756</v>
      </c>
      <c r="E147" s="1" t="s">
        <v>19</v>
      </c>
      <c r="F147" s="1" t="s">
        <v>62</v>
      </c>
      <c r="G147" s="1" t="s">
        <v>60</v>
      </c>
      <c r="H147" s="1" t="s">
        <v>43</v>
      </c>
      <c r="I147" s="3">
        <v>3047517</v>
      </c>
      <c r="J147" s="1" t="s">
        <v>15</v>
      </c>
      <c r="K147" s="1">
        <v>1</v>
      </c>
      <c r="L147" s="35">
        <f>InventoryTY[[#This Row],[Landed Cost]]*InventoryTY[[#This Row],[Inventory Qty]]</f>
        <v>3047517</v>
      </c>
    </row>
    <row r="148" spans="1:12" x14ac:dyDescent="0.25">
      <c r="A148" s="1">
        <v>2026</v>
      </c>
      <c r="B148" s="1">
        <v>1</v>
      </c>
      <c r="C148" s="2">
        <v>46034</v>
      </c>
      <c r="D148" s="1">
        <v>202761</v>
      </c>
      <c r="E148" s="1" t="s">
        <v>19</v>
      </c>
      <c r="F148" s="1" t="s">
        <v>62</v>
      </c>
      <c r="G148" s="1" t="s">
        <v>60</v>
      </c>
      <c r="H148" s="1" t="s">
        <v>43</v>
      </c>
      <c r="I148" s="3">
        <v>5381784</v>
      </c>
      <c r="J148" s="1" t="s">
        <v>15</v>
      </c>
      <c r="K148" s="1">
        <v>1</v>
      </c>
      <c r="L148" s="35">
        <f>InventoryTY[[#This Row],[Landed Cost]]*InventoryTY[[#This Row],[Inventory Qty]]</f>
        <v>5381784</v>
      </c>
    </row>
    <row r="149" spans="1:12" x14ac:dyDescent="0.25">
      <c r="A149" s="1">
        <v>2026</v>
      </c>
      <c r="B149" s="1">
        <v>1</v>
      </c>
      <c r="C149" s="2">
        <v>46034</v>
      </c>
      <c r="D149" s="1">
        <v>202762</v>
      </c>
      <c r="E149" s="1" t="s">
        <v>19</v>
      </c>
      <c r="F149" s="1" t="s">
        <v>62</v>
      </c>
      <c r="G149" s="1" t="s">
        <v>60</v>
      </c>
      <c r="H149" s="1" t="s">
        <v>43</v>
      </c>
      <c r="I149" s="3">
        <v>3501402</v>
      </c>
      <c r="J149" s="1" t="s">
        <v>17</v>
      </c>
      <c r="K149" s="1">
        <v>1</v>
      </c>
      <c r="L149" s="35">
        <f>InventoryTY[[#This Row],[Landed Cost]]*InventoryTY[[#This Row],[Inventory Qty]]</f>
        <v>3501402</v>
      </c>
    </row>
    <row r="150" spans="1:12" x14ac:dyDescent="0.25">
      <c r="A150" s="1">
        <v>2026</v>
      </c>
      <c r="B150" s="1">
        <v>1</v>
      </c>
      <c r="C150" s="2">
        <v>46034</v>
      </c>
      <c r="D150" s="1">
        <v>202763</v>
      </c>
      <c r="E150" s="1" t="s">
        <v>19</v>
      </c>
      <c r="F150" s="1" t="s">
        <v>62</v>
      </c>
      <c r="G150" s="1" t="s">
        <v>60</v>
      </c>
      <c r="H150" s="1" t="s">
        <v>43</v>
      </c>
      <c r="I150" s="3">
        <v>3501402</v>
      </c>
      <c r="J150" s="1" t="s">
        <v>17</v>
      </c>
      <c r="K150" s="1">
        <v>1</v>
      </c>
      <c r="L150" s="35">
        <f>InventoryTY[[#This Row],[Landed Cost]]*InventoryTY[[#This Row],[Inventory Qty]]</f>
        <v>3501402</v>
      </c>
    </row>
    <row r="151" spans="1:12" x14ac:dyDescent="0.25">
      <c r="A151" s="1">
        <v>2026</v>
      </c>
      <c r="B151" s="1">
        <v>1</v>
      </c>
      <c r="C151" s="2">
        <v>46034</v>
      </c>
      <c r="D151" s="1">
        <v>202766</v>
      </c>
      <c r="E151" s="1" t="s">
        <v>19</v>
      </c>
      <c r="F151" s="1" t="s">
        <v>62</v>
      </c>
      <c r="G151" s="1" t="s">
        <v>60</v>
      </c>
      <c r="H151" s="1" t="s">
        <v>43</v>
      </c>
      <c r="I151" s="3">
        <v>10893250</v>
      </c>
      <c r="J151" s="1" t="s">
        <v>15</v>
      </c>
      <c r="K151" s="1">
        <v>1</v>
      </c>
      <c r="L151" s="35">
        <f>InventoryTY[[#This Row],[Landed Cost]]*InventoryTY[[#This Row],[Inventory Qty]]</f>
        <v>10893250</v>
      </c>
    </row>
    <row r="152" spans="1:12" x14ac:dyDescent="0.25">
      <c r="A152" s="1">
        <v>2026</v>
      </c>
      <c r="B152" s="1">
        <v>1</v>
      </c>
      <c r="C152" s="2">
        <v>46034</v>
      </c>
      <c r="D152" s="1">
        <v>202767</v>
      </c>
      <c r="E152" s="1" t="s">
        <v>19</v>
      </c>
      <c r="F152" s="1" t="s">
        <v>62</v>
      </c>
      <c r="G152" s="1" t="s">
        <v>60</v>
      </c>
      <c r="H152" s="1" t="s">
        <v>43</v>
      </c>
      <c r="I152" s="3">
        <v>3177198</v>
      </c>
      <c r="J152" s="1" t="s">
        <v>15</v>
      </c>
      <c r="K152" s="1">
        <v>1</v>
      </c>
      <c r="L152" s="35">
        <f>InventoryTY[[#This Row],[Landed Cost]]*InventoryTY[[#This Row],[Inventory Qty]]</f>
        <v>3177198</v>
      </c>
    </row>
    <row r="153" spans="1:12" x14ac:dyDescent="0.25">
      <c r="A153" s="1">
        <v>2026</v>
      </c>
      <c r="B153" s="1">
        <v>1</v>
      </c>
      <c r="C153" s="2">
        <v>46034</v>
      </c>
      <c r="D153" s="1">
        <v>202768</v>
      </c>
      <c r="E153" s="1" t="s">
        <v>19</v>
      </c>
      <c r="F153" s="1" t="s">
        <v>62</v>
      </c>
      <c r="G153" s="1" t="s">
        <v>60</v>
      </c>
      <c r="H153" s="1" t="s">
        <v>43</v>
      </c>
      <c r="I153" s="3">
        <v>3177198</v>
      </c>
      <c r="J153" s="1" t="s">
        <v>15</v>
      </c>
      <c r="K153" s="1">
        <v>1</v>
      </c>
      <c r="L153" s="35">
        <f>InventoryTY[[#This Row],[Landed Cost]]*InventoryTY[[#This Row],[Inventory Qty]]</f>
        <v>3177198</v>
      </c>
    </row>
    <row r="154" spans="1:12" x14ac:dyDescent="0.25">
      <c r="A154" s="1">
        <v>2026</v>
      </c>
      <c r="B154" s="1">
        <v>1</v>
      </c>
      <c r="C154" s="2">
        <v>46034</v>
      </c>
      <c r="D154" s="1">
        <v>202769</v>
      </c>
      <c r="E154" s="1" t="s">
        <v>19</v>
      </c>
      <c r="F154" s="1" t="s">
        <v>62</v>
      </c>
      <c r="G154" s="1" t="s">
        <v>60</v>
      </c>
      <c r="H154" s="1" t="s">
        <v>43</v>
      </c>
      <c r="I154" s="3">
        <v>2074905</v>
      </c>
      <c r="J154" s="1" t="s">
        <v>15</v>
      </c>
      <c r="K154" s="1">
        <v>1</v>
      </c>
      <c r="L154" s="35">
        <f>InventoryTY[[#This Row],[Landed Cost]]*InventoryTY[[#This Row],[Inventory Qty]]</f>
        <v>2074905</v>
      </c>
    </row>
    <row r="155" spans="1:12" x14ac:dyDescent="0.25">
      <c r="A155" s="1">
        <v>2026</v>
      </c>
      <c r="B155" s="1">
        <v>1</v>
      </c>
      <c r="C155" s="2">
        <v>46034</v>
      </c>
      <c r="D155" s="1">
        <v>202771</v>
      </c>
      <c r="E155" s="1" t="s">
        <v>19</v>
      </c>
      <c r="F155" s="1" t="s">
        <v>62</v>
      </c>
      <c r="G155" s="1" t="s">
        <v>60</v>
      </c>
      <c r="H155" s="1" t="s">
        <v>43</v>
      </c>
      <c r="I155" s="3">
        <v>5252102</v>
      </c>
      <c r="J155" s="1" t="s">
        <v>15</v>
      </c>
      <c r="K155" s="1">
        <v>1</v>
      </c>
      <c r="L155" s="35">
        <f>InventoryTY[[#This Row],[Landed Cost]]*InventoryTY[[#This Row],[Inventory Qty]]</f>
        <v>5252102</v>
      </c>
    </row>
    <row r="156" spans="1:12" x14ac:dyDescent="0.25">
      <c r="A156" s="1">
        <v>2026</v>
      </c>
      <c r="B156" s="1">
        <v>1</v>
      </c>
      <c r="C156" s="2">
        <v>46034</v>
      </c>
      <c r="D156" s="1">
        <v>202772</v>
      </c>
      <c r="E156" s="1" t="s">
        <v>19</v>
      </c>
      <c r="F156" s="1" t="s">
        <v>62</v>
      </c>
      <c r="G156" s="1" t="s">
        <v>60</v>
      </c>
      <c r="H156" s="1" t="s">
        <v>43</v>
      </c>
      <c r="I156" s="3">
        <v>4409173</v>
      </c>
      <c r="J156" s="1" t="s">
        <v>15</v>
      </c>
      <c r="K156" s="1">
        <v>1</v>
      </c>
      <c r="L156" s="35">
        <f>InventoryTY[[#This Row],[Landed Cost]]*InventoryTY[[#This Row],[Inventory Qty]]</f>
        <v>4409173</v>
      </c>
    </row>
    <row r="157" spans="1:12" x14ac:dyDescent="0.25">
      <c r="A157" s="1">
        <v>2026</v>
      </c>
      <c r="B157" s="1">
        <v>1</v>
      </c>
      <c r="C157" s="2">
        <v>46034</v>
      </c>
      <c r="D157" s="1">
        <v>202773</v>
      </c>
      <c r="E157" s="1" t="s">
        <v>19</v>
      </c>
      <c r="F157" s="1" t="s">
        <v>62</v>
      </c>
      <c r="G157" s="1" t="s">
        <v>60</v>
      </c>
      <c r="H157" s="1" t="s">
        <v>43</v>
      </c>
      <c r="I157" s="3">
        <v>3047517</v>
      </c>
      <c r="J157" s="1" t="s">
        <v>15</v>
      </c>
      <c r="K157" s="1">
        <v>1</v>
      </c>
      <c r="L157" s="35">
        <f>InventoryTY[[#This Row],[Landed Cost]]*InventoryTY[[#This Row],[Inventory Qty]]</f>
        <v>3047517</v>
      </c>
    </row>
    <row r="158" spans="1:12" x14ac:dyDescent="0.25">
      <c r="A158" s="1">
        <v>2026</v>
      </c>
      <c r="B158" s="1">
        <v>1</v>
      </c>
      <c r="C158" s="2">
        <v>46034</v>
      </c>
      <c r="D158" s="1">
        <v>202777</v>
      </c>
      <c r="E158" s="1" t="s">
        <v>19</v>
      </c>
      <c r="F158" s="1" t="s">
        <v>62</v>
      </c>
      <c r="G158" s="1" t="s">
        <v>60</v>
      </c>
      <c r="H158" s="1" t="s">
        <v>43</v>
      </c>
      <c r="I158" s="3">
        <v>3306879</v>
      </c>
      <c r="J158" s="1" t="s">
        <v>15</v>
      </c>
      <c r="K158" s="1">
        <v>1</v>
      </c>
      <c r="L158" s="35">
        <f>InventoryTY[[#This Row],[Landed Cost]]*InventoryTY[[#This Row],[Inventory Qty]]</f>
        <v>3306879</v>
      </c>
    </row>
    <row r="159" spans="1:12" x14ac:dyDescent="0.25">
      <c r="A159" s="1">
        <v>2026</v>
      </c>
      <c r="B159" s="1">
        <v>1</v>
      </c>
      <c r="C159" s="2">
        <v>46034</v>
      </c>
      <c r="D159" s="1">
        <v>202780</v>
      </c>
      <c r="E159" s="1" t="s">
        <v>19</v>
      </c>
      <c r="F159" s="1" t="s">
        <v>62</v>
      </c>
      <c r="G159" s="1" t="s">
        <v>60</v>
      </c>
      <c r="H159" s="1" t="s">
        <v>37</v>
      </c>
      <c r="I159" s="3">
        <v>2593631</v>
      </c>
      <c r="J159" s="1" t="s">
        <v>15</v>
      </c>
      <c r="K159" s="1">
        <v>1</v>
      </c>
      <c r="L159" s="35">
        <f>InventoryTY[[#This Row],[Landed Cost]]*InventoryTY[[#This Row],[Inventory Qty]]</f>
        <v>2593631</v>
      </c>
    </row>
    <row r="160" spans="1:12" x14ac:dyDescent="0.25">
      <c r="A160" s="1">
        <v>2026</v>
      </c>
      <c r="B160" s="1">
        <v>1</v>
      </c>
      <c r="C160" s="2">
        <v>46034</v>
      </c>
      <c r="D160" s="1">
        <v>202781</v>
      </c>
      <c r="E160" s="1" t="s">
        <v>19</v>
      </c>
      <c r="F160" s="1" t="s">
        <v>62</v>
      </c>
      <c r="G160" s="1" t="s">
        <v>60</v>
      </c>
      <c r="H160" s="1" t="s">
        <v>37</v>
      </c>
      <c r="I160" s="3">
        <v>1491338</v>
      </c>
      <c r="J160" s="1" t="s">
        <v>15</v>
      </c>
      <c r="K160" s="1">
        <v>3</v>
      </c>
      <c r="L160" s="35">
        <f>InventoryTY[[#This Row],[Landed Cost]]*InventoryTY[[#This Row],[Inventory Qty]]</f>
        <v>4474014</v>
      </c>
    </row>
    <row r="161" spans="1:12" x14ac:dyDescent="0.25">
      <c r="A161" s="1">
        <v>2026</v>
      </c>
      <c r="B161" s="1">
        <v>1</v>
      </c>
      <c r="C161" s="2">
        <v>46034</v>
      </c>
      <c r="D161" s="1">
        <v>202781</v>
      </c>
      <c r="E161" s="1" t="s">
        <v>19</v>
      </c>
      <c r="F161" s="1" t="s">
        <v>62</v>
      </c>
      <c r="G161" s="1" t="s">
        <v>60</v>
      </c>
      <c r="H161" s="1" t="s">
        <v>37</v>
      </c>
      <c r="I161" s="3">
        <v>1491338</v>
      </c>
      <c r="J161" s="1" t="s">
        <v>17</v>
      </c>
      <c r="K161" s="1">
        <v>5</v>
      </c>
      <c r="L161" s="35">
        <f>InventoryTY[[#This Row],[Landed Cost]]*InventoryTY[[#This Row],[Inventory Qty]]</f>
        <v>7456690</v>
      </c>
    </row>
    <row r="162" spans="1:12" x14ac:dyDescent="0.25">
      <c r="A162" s="1">
        <v>2026</v>
      </c>
      <c r="B162" s="1">
        <v>1</v>
      </c>
      <c r="C162" s="2">
        <v>46034</v>
      </c>
      <c r="D162" s="1">
        <v>202781</v>
      </c>
      <c r="E162" s="1" t="s">
        <v>19</v>
      </c>
      <c r="F162" s="1" t="s">
        <v>62</v>
      </c>
      <c r="G162" s="1" t="s">
        <v>60</v>
      </c>
      <c r="H162" s="1" t="s">
        <v>37</v>
      </c>
      <c r="I162" s="3">
        <v>1491338</v>
      </c>
      <c r="J162" s="1" t="s">
        <v>28</v>
      </c>
      <c r="K162" s="1">
        <v>1</v>
      </c>
      <c r="L162" s="35">
        <f>InventoryTY[[#This Row],[Landed Cost]]*InventoryTY[[#This Row],[Inventory Qty]]</f>
        <v>1491338</v>
      </c>
    </row>
    <row r="163" spans="1:12" x14ac:dyDescent="0.25">
      <c r="A163" s="1">
        <v>2026</v>
      </c>
      <c r="B163" s="1">
        <v>1</v>
      </c>
      <c r="C163" s="2">
        <v>46034</v>
      </c>
      <c r="D163" s="1">
        <v>202784</v>
      </c>
      <c r="E163" s="1" t="s">
        <v>19</v>
      </c>
      <c r="F163" s="1" t="s">
        <v>62</v>
      </c>
      <c r="G163" s="1" t="s">
        <v>60</v>
      </c>
      <c r="H163" s="1" t="s">
        <v>43</v>
      </c>
      <c r="I163" s="3">
        <v>3825605</v>
      </c>
      <c r="J163" s="1" t="s">
        <v>17</v>
      </c>
      <c r="K163" s="1">
        <v>1</v>
      </c>
      <c r="L163" s="35">
        <f>InventoryTY[[#This Row],[Landed Cost]]*InventoryTY[[#This Row],[Inventory Qty]]</f>
        <v>3825605</v>
      </c>
    </row>
    <row r="164" spans="1:12" x14ac:dyDescent="0.25">
      <c r="A164" s="1">
        <v>2026</v>
      </c>
      <c r="B164" s="1">
        <v>1</v>
      </c>
      <c r="C164" s="2">
        <v>46034</v>
      </c>
      <c r="D164" s="1">
        <v>202801</v>
      </c>
      <c r="E164" s="1" t="s">
        <v>19</v>
      </c>
      <c r="F164" s="1" t="s">
        <v>62</v>
      </c>
      <c r="G164" s="1" t="s">
        <v>60</v>
      </c>
      <c r="H164" s="1" t="s">
        <v>43</v>
      </c>
      <c r="I164" s="3">
        <v>6354396</v>
      </c>
      <c r="J164" s="1" t="s">
        <v>17</v>
      </c>
      <c r="K164" s="1">
        <v>1</v>
      </c>
      <c r="L164" s="35">
        <f>InventoryTY[[#This Row],[Landed Cost]]*InventoryTY[[#This Row],[Inventory Qty]]</f>
        <v>6354396</v>
      </c>
    </row>
    <row r="165" spans="1:12" x14ac:dyDescent="0.25">
      <c r="A165" s="1">
        <v>2026</v>
      </c>
      <c r="B165" s="1">
        <v>1</v>
      </c>
      <c r="C165" s="2">
        <v>46034</v>
      </c>
      <c r="D165" s="1">
        <v>202804</v>
      </c>
      <c r="E165" s="1" t="s">
        <v>19</v>
      </c>
      <c r="F165" s="1" t="s">
        <v>62</v>
      </c>
      <c r="G165" s="1" t="s">
        <v>60</v>
      </c>
      <c r="H165" s="1" t="s">
        <v>43</v>
      </c>
      <c r="I165" s="3">
        <v>9077708</v>
      </c>
      <c r="J165" s="1" t="s">
        <v>15</v>
      </c>
      <c r="K165" s="1">
        <v>1</v>
      </c>
      <c r="L165" s="35">
        <f>InventoryTY[[#This Row],[Landed Cost]]*InventoryTY[[#This Row],[Inventory Qty]]</f>
        <v>9077708</v>
      </c>
    </row>
    <row r="166" spans="1:12" x14ac:dyDescent="0.25">
      <c r="A166" s="1">
        <v>2026</v>
      </c>
      <c r="B166" s="1">
        <v>1</v>
      </c>
      <c r="C166" s="2">
        <v>46034</v>
      </c>
      <c r="D166" s="1">
        <v>202805</v>
      </c>
      <c r="E166" s="1" t="s">
        <v>19</v>
      </c>
      <c r="F166" s="1" t="s">
        <v>62</v>
      </c>
      <c r="G166" s="1" t="s">
        <v>60</v>
      </c>
      <c r="H166" s="1" t="s">
        <v>43</v>
      </c>
      <c r="I166" s="3">
        <v>9077708</v>
      </c>
      <c r="J166" s="1" t="s">
        <v>15</v>
      </c>
      <c r="K166" s="1">
        <v>1</v>
      </c>
      <c r="L166" s="35">
        <f>InventoryTY[[#This Row],[Landed Cost]]*InventoryTY[[#This Row],[Inventory Qty]]</f>
        <v>9077708</v>
      </c>
    </row>
    <row r="167" spans="1:12" x14ac:dyDescent="0.25">
      <c r="A167" s="1">
        <v>2026</v>
      </c>
      <c r="B167" s="1">
        <v>1</v>
      </c>
      <c r="C167" s="2">
        <v>46034</v>
      </c>
      <c r="D167" s="1">
        <v>202806</v>
      </c>
      <c r="E167" s="1" t="s">
        <v>19</v>
      </c>
      <c r="F167" s="1" t="s">
        <v>62</v>
      </c>
      <c r="G167" s="1" t="s">
        <v>60</v>
      </c>
      <c r="H167" s="1" t="s">
        <v>43</v>
      </c>
      <c r="I167" s="3">
        <v>8429300</v>
      </c>
      <c r="J167" s="1" t="s">
        <v>15</v>
      </c>
      <c r="K167" s="1">
        <v>1</v>
      </c>
      <c r="L167" s="35">
        <f>InventoryTY[[#This Row],[Landed Cost]]*InventoryTY[[#This Row],[Inventory Qty]]</f>
        <v>8429300</v>
      </c>
    </row>
    <row r="168" spans="1:12" x14ac:dyDescent="0.25">
      <c r="A168" s="1">
        <v>2026</v>
      </c>
      <c r="B168" s="1">
        <v>1</v>
      </c>
      <c r="C168" s="2">
        <v>46034</v>
      </c>
      <c r="D168" s="1">
        <v>202807</v>
      </c>
      <c r="E168" s="1" t="s">
        <v>19</v>
      </c>
      <c r="F168" s="1" t="s">
        <v>62</v>
      </c>
      <c r="G168" s="1" t="s">
        <v>60</v>
      </c>
      <c r="H168" s="1" t="s">
        <v>43</v>
      </c>
      <c r="I168" s="3">
        <v>8429300</v>
      </c>
      <c r="J168" s="1" t="s">
        <v>15</v>
      </c>
      <c r="K168" s="1">
        <v>1</v>
      </c>
      <c r="L168" s="35">
        <f>InventoryTY[[#This Row],[Landed Cost]]*InventoryTY[[#This Row],[Inventory Qty]]</f>
        <v>8429300</v>
      </c>
    </row>
    <row r="169" spans="1:12" x14ac:dyDescent="0.25">
      <c r="A169" s="1">
        <v>2026</v>
      </c>
      <c r="B169" s="1">
        <v>1</v>
      </c>
      <c r="C169" s="2">
        <v>46034</v>
      </c>
      <c r="D169" s="1">
        <v>202808</v>
      </c>
      <c r="E169" s="1" t="s">
        <v>19</v>
      </c>
      <c r="F169" s="1" t="s">
        <v>62</v>
      </c>
      <c r="G169" s="1" t="s">
        <v>60</v>
      </c>
      <c r="H169" s="1" t="s">
        <v>43</v>
      </c>
      <c r="I169" s="3">
        <v>4863058</v>
      </c>
      <c r="J169" s="1" t="s">
        <v>15</v>
      </c>
      <c r="K169" s="1">
        <v>1</v>
      </c>
      <c r="L169" s="35">
        <f>InventoryTY[[#This Row],[Landed Cost]]*InventoryTY[[#This Row],[Inventory Qty]]</f>
        <v>4863058</v>
      </c>
    </row>
    <row r="170" spans="1:12" x14ac:dyDescent="0.25">
      <c r="A170" s="1">
        <v>2026</v>
      </c>
      <c r="B170" s="1">
        <v>1</v>
      </c>
      <c r="C170" s="2">
        <v>46034</v>
      </c>
      <c r="D170" s="1">
        <v>203149</v>
      </c>
      <c r="E170" s="1" t="s">
        <v>44</v>
      </c>
      <c r="F170" s="1" t="s">
        <v>62</v>
      </c>
      <c r="G170" s="1" t="s">
        <v>60</v>
      </c>
      <c r="H170" s="1" t="s">
        <v>34</v>
      </c>
      <c r="I170" s="3">
        <v>213736578</v>
      </c>
      <c r="J170" s="1" t="s">
        <v>15</v>
      </c>
      <c r="K170" s="1">
        <v>1</v>
      </c>
      <c r="L170" s="35">
        <f>InventoryTY[[#This Row],[Landed Cost]]*InventoryTY[[#This Row],[Inventory Qty]]</f>
        <v>213736578</v>
      </c>
    </row>
    <row r="171" spans="1:12" x14ac:dyDescent="0.25">
      <c r="A171" s="1">
        <v>2026</v>
      </c>
      <c r="B171" s="1">
        <v>1</v>
      </c>
      <c r="C171" s="2">
        <v>46034</v>
      </c>
      <c r="D171" s="1">
        <v>203155</v>
      </c>
      <c r="E171" s="1" t="s">
        <v>44</v>
      </c>
      <c r="F171" s="1" t="s">
        <v>62</v>
      </c>
      <c r="G171" s="1" t="s">
        <v>60</v>
      </c>
      <c r="H171" s="1" t="s">
        <v>43</v>
      </c>
      <c r="I171" s="3">
        <v>332990873</v>
      </c>
      <c r="J171" s="1" t="s">
        <v>22</v>
      </c>
      <c r="K171" s="1">
        <v>1</v>
      </c>
      <c r="L171" s="35">
        <f>InventoryTY[[#This Row],[Landed Cost]]*InventoryTY[[#This Row],[Inventory Qty]]</f>
        <v>332990873</v>
      </c>
    </row>
    <row r="172" spans="1:12" x14ac:dyDescent="0.25">
      <c r="A172" s="1">
        <v>2026</v>
      </c>
      <c r="B172" s="1">
        <v>1</v>
      </c>
      <c r="C172" s="2">
        <v>46034</v>
      </c>
      <c r="D172" s="1">
        <v>203156</v>
      </c>
      <c r="E172" s="1" t="s">
        <v>44</v>
      </c>
      <c r="F172" s="1" t="s">
        <v>62</v>
      </c>
      <c r="G172" s="1" t="s">
        <v>60</v>
      </c>
      <c r="H172" s="1" t="s">
        <v>43</v>
      </c>
      <c r="I172" s="3">
        <v>125091485</v>
      </c>
      <c r="J172" s="1" t="s">
        <v>15</v>
      </c>
      <c r="K172" s="1">
        <v>1</v>
      </c>
      <c r="L172" s="35">
        <f>InventoryTY[[#This Row],[Landed Cost]]*InventoryTY[[#This Row],[Inventory Qty]]</f>
        <v>125091485</v>
      </c>
    </row>
    <row r="173" spans="1:12" x14ac:dyDescent="0.25">
      <c r="A173" s="1">
        <v>2026</v>
      </c>
      <c r="B173" s="1">
        <v>1</v>
      </c>
      <c r="C173" s="2">
        <v>46034</v>
      </c>
      <c r="D173" s="1">
        <v>204925</v>
      </c>
      <c r="E173" s="1" t="s">
        <v>48</v>
      </c>
      <c r="F173" s="1" t="s">
        <v>62</v>
      </c>
      <c r="G173" s="1" t="s">
        <v>60</v>
      </c>
      <c r="H173" s="1" t="s">
        <v>34</v>
      </c>
      <c r="I173" s="3">
        <v>8250000</v>
      </c>
      <c r="J173" s="1" t="s">
        <v>15</v>
      </c>
      <c r="K173" s="1">
        <v>1</v>
      </c>
      <c r="L173" s="35">
        <f>InventoryTY[[#This Row],[Landed Cost]]*InventoryTY[[#This Row],[Inventory Qty]]</f>
        <v>8250000</v>
      </c>
    </row>
    <row r="174" spans="1:12" x14ac:dyDescent="0.25">
      <c r="A174" s="1">
        <v>2026</v>
      </c>
      <c r="B174" s="1">
        <v>1</v>
      </c>
      <c r="C174" s="2">
        <v>46034</v>
      </c>
      <c r="D174" s="1">
        <v>204928</v>
      </c>
      <c r="E174" s="1" t="s">
        <v>48</v>
      </c>
      <c r="F174" s="1" t="s">
        <v>62</v>
      </c>
      <c r="G174" s="1" t="s">
        <v>60</v>
      </c>
      <c r="H174" s="1" t="s">
        <v>34</v>
      </c>
      <c r="I174" s="3">
        <v>4950000</v>
      </c>
      <c r="J174" s="1" t="s">
        <v>15</v>
      </c>
      <c r="K174" s="1">
        <v>1</v>
      </c>
      <c r="L174" s="35">
        <f>InventoryTY[[#This Row],[Landed Cost]]*InventoryTY[[#This Row],[Inventory Qty]]</f>
        <v>4950000</v>
      </c>
    </row>
    <row r="175" spans="1:12" x14ac:dyDescent="0.25">
      <c r="A175" s="1">
        <v>2026</v>
      </c>
      <c r="B175" s="1">
        <v>1</v>
      </c>
      <c r="C175" s="2">
        <v>46034</v>
      </c>
      <c r="D175" s="1">
        <v>204999</v>
      </c>
      <c r="E175" s="1" t="s">
        <v>47</v>
      </c>
      <c r="F175" s="1" t="s">
        <v>62</v>
      </c>
      <c r="G175" s="1" t="s">
        <v>63</v>
      </c>
      <c r="H175" s="1" t="s">
        <v>37</v>
      </c>
      <c r="I175" s="3">
        <v>1363267</v>
      </c>
      <c r="J175" s="1" t="s">
        <v>21</v>
      </c>
      <c r="K175" s="1">
        <v>1</v>
      </c>
      <c r="L175" s="35">
        <f>InventoryTY[[#This Row],[Landed Cost]]*InventoryTY[[#This Row],[Inventory Qty]]</f>
        <v>1363267</v>
      </c>
    </row>
    <row r="176" spans="1:12" x14ac:dyDescent="0.25">
      <c r="A176" s="1">
        <v>2026</v>
      </c>
      <c r="B176" s="1">
        <v>1</v>
      </c>
      <c r="C176" s="2">
        <v>46034</v>
      </c>
      <c r="D176" s="1">
        <v>205001</v>
      </c>
      <c r="E176" s="1" t="s">
        <v>47</v>
      </c>
      <c r="F176" s="1" t="s">
        <v>62</v>
      </c>
      <c r="G176" s="1" t="s">
        <v>63</v>
      </c>
      <c r="H176" s="1" t="s">
        <v>37</v>
      </c>
      <c r="I176" s="3">
        <v>1620996</v>
      </c>
      <c r="J176" s="1" t="s">
        <v>21</v>
      </c>
      <c r="K176" s="1">
        <v>1</v>
      </c>
      <c r="L176" s="35">
        <f>InventoryTY[[#This Row],[Landed Cost]]*InventoryTY[[#This Row],[Inventory Qty]]</f>
        <v>1620996</v>
      </c>
    </row>
    <row r="177" spans="1:12" x14ac:dyDescent="0.25">
      <c r="A177" s="1">
        <v>2026</v>
      </c>
      <c r="B177" s="1">
        <v>1</v>
      </c>
      <c r="C177" s="2">
        <v>46034</v>
      </c>
      <c r="D177" s="1">
        <v>205002</v>
      </c>
      <c r="E177" s="1" t="s">
        <v>47</v>
      </c>
      <c r="F177" s="1" t="s">
        <v>62</v>
      </c>
      <c r="G177" s="1" t="s">
        <v>63</v>
      </c>
      <c r="H177" s="1" t="s">
        <v>37</v>
      </c>
      <c r="I177" s="3">
        <v>1599800</v>
      </c>
      <c r="J177" s="1" t="s">
        <v>15</v>
      </c>
      <c r="K177" s="1">
        <v>1</v>
      </c>
      <c r="L177" s="35">
        <f>InventoryTY[[#This Row],[Landed Cost]]*InventoryTY[[#This Row],[Inventory Qty]]</f>
        <v>1599800</v>
      </c>
    </row>
    <row r="178" spans="1:12" x14ac:dyDescent="0.25">
      <c r="A178" s="1">
        <v>2026</v>
      </c>
      <c r="B178" s="1">
        <v>1</v>
      </c>
      <c r="C178" s="2">
        <v>46034</v>
      </c>
      <c r="D178" s="1">
        <v>205019</v>
      </c>
      <c r="E178" s="1" t="s">
        <v>47</v>
      </c>
      <c r="F178" s="1" t="s">
        <v>62</v>
      </c>
      <c r="G178" s="1" t="s">
        <v>63</v>
      </c>
      <c r="H178" s="1" t="s">
        <v>37</v>
      </c>
      <c r="I178" s="3">
        <v>1620996</v>
      </c>
      <c r="J178" s="1" t="s">
        <v>15</v>
      </c>
      <c r="K178" s="1">
        <v>1</v>
      </c>
      <c r="L178" s="35">
        <f>InventoryTY[[#This Row],[Landed Cost]]*InventoryTY[[#This Row],[Inventory Qty]]</f>
        <v>1620996</v>
      </c>
    </row>
    <row r="179" spans="1:12" x14ac:dyDescent="0.25">
      <c r="A179" s="1">
        <v>2026</v>
      </c>
      <c r="B179" s="1">
        <v>1</v>
      </c>
      <c r="C179" s="2">
        <v>46034</v>
      </c>
      <c r="D179" s="1">
        <v>205041</v>
      </c>
      <c r="E179" s="1" t="s">
        <v>47</v>
      </c>
      <c r="F179" s="1" t="s">
        <v>62</v>
      </c>
      <c r="G179" s="1" t="s">
        <v>63</v>
      </c>
      <c r="H179" s="1" t="s">
        <v>34</v>
      </c>
      <c r="I179" s="3">
        <v>373884</v>
      </c>
      <c r="J179" s="1" t="s">
        <v>21</v>
      </c>
      <c r="K179" s="1">
        <v>1</v>
      </c>
      <c r="L179" s="35">
        <f>InventoryTY[[#This Row],[Landed Cost]]*InventoryTY[[#This Row],[Inventory Qty]]</f>
        <v>373884</v>
      </c>
    </row>
    <row r="180" spans="1:12" x14ac:dyDescent="0.25">
      <c r="A180" s="1">
        <v>2026</v>
      </c>
      <c r="B180" s="1">
        <v>1</v>
      </c>
      <c r="C180" s="2">
        <v>46034</v>
      </c>
      <c r="D180" s="1">
        <v>205043</v>
      </c>
      <c r="E180" s="1" t="s">
        <v>47</v>
      </c>
      <c r="F180" s="1" t="s">
        <v>62</v>
      </c>
      <c r="G180" s="1" t="s">
        <v>63</v>
      </c>
      <c r="H180" s="1" t="s">
        <v>34</v>
      </c>
      <c r="I180" s="3">
        <v>636698</v>
      </c>
      <c r="J180" s="1" t="s">
        <v>15</v>
      </c>
      <c r="K180" s="1">
        <v>1</v>
      </c>
      <c r="L180" s="35">
        <f>InventoryTY[[#This Row],[Landed Cost]]*InventoryTY[[#This Row],[Inventory Qty]]</f>
        <v>636698</v>
      </c>
    </row>
    <row r="181" spans="1:12" x14ac:dyDescent="0.25">
      <c r="A181" s="1">
        <v>2026</v>
      </c>
      <c r="B181" s="1">
        <v>1</v>
      </c>
      <c r="C181" s="2">
        <v>46034</v>
      </c>
      <c r="D181" s="1">
        <v>205049</v>
      </c>
      <c r="E181" s="1" t="s">
        <v>47</v>
      </c>
      <c r="F181" s="1" t="s">
        <v>62</v>
      </c>
      <c r="G181" s="1" t="s">
        <v>63</v>
      </c>
      <c r="H181" s="1" t="s">
        <v>34</v>
      </c>
      <c r="I181" s="3">
        <v>689261</v>
      </c>
      <c r="J181" s="1" t="s">
        <v>21</v>
      </c>
      <c r="K181" s="1">
        <v>1</v>
      </c>
      <c r="L181" s="35">
        <f>InventoryTY[[#This Row],[Landed Cost]]*InventoryTY[[#This Row],[Inventory Qty]]</f>
        <v>689261</v>
      </c>
    </row>
    <row r="182" spans="1:12" x14ac:dyDescent="0.25">
      <c r="A182" s="1">
        <v>2026</v>
      </c>
      <c r="B182" s="1">
        <v>1</v>
      </c>
      <c r="C182" s="2">
        <v>46034</v>
      </c>
      <c r="D182" s="1">
        <v>205051</v>
      </c>
      <c r="E182" s="1" t="s">
        <v>47</v>
      </c>
      <c r="F182" s="1" t="s">
        <v>62</v>
      </c>
      <c r="G182" s="1" t="s">
        <v>63</v>
      </c>
      <c r="H182" s="1" t="s">
        <v>34</v>
      </c>
      <c r="I182" s="3">
        <v>610417</v>
      </c>
      <c r="J182" s="1" t="s">
        <v>21</v>
      </c>
      <c r="K182" s="1">
        <v>1</v>
      </c>
      <c r="L182" s="35">
        <f>InventoryTY[[#This Row],[Landed Cost]]*InventoryTY[[#This Row],[Inventory Qty]]</f>
        <v>610417</v>
      </c>
    </row>
    <row r="183" spans="1:12" x14ac:dyDescent="0.25">
      <c r="A183" s="1">
        <v>2026</v>
      </c>
      <c r="B183" s="1">
        <v>1</v>
      </c>
      <c r="C183" s="2">
        <v>46034</v>
      </c>
      <c r="D183" s="1">
        <v>205065</v>
      </c>
      <c r="E183" s="1" t="s">
        <v>55</v>
      </c>
      <c r="F183" s="1" t="s">
        <v>62</v>
      </c>
      <c r="G183" s="1" t="s">
        <v>63</v>
      </c>
      <c r="H183" s="1" t="s">
        <v>43</v>
      </c>
      <c r="I183" s="3">
        <v>105556804</v>
      </c>
      <c r="J183" s="1" t="s">
        <v>22</v>
      </c>
      <c r="K183" s="1">
        <v>1</v>
      </c>
      <c r="L183" s="35">
        <f>InventoryTY[[#This Row],[Landed Cost]]*InventoryTY[[#This Row],[Inventory Qty]]</f>
        <v>105556804</v>
      </c>
    </row>
    <row r="184" spans="1:12" x14ac:dyDescent="0.25">
      <c r="A184" s="1">
        <v>2026</v>
      </c>
      <c r="B184" s="1">
        <v>1</v>
      </c>
      <c r="C184" s="2">
        <v>46034</v>
      </c>
      <c r="D184" s="1">
        <v>205066</v>
      </c>
      <c r="E184" s="1" t="s">
        <v>55</v>
      </c>
      <c r="F184" s="1" t="s">
        <v>62</v>
      </c>
      <c r="G184" s="1" t="s">
        <v>63</v>
      </c>
      <c r="H184" s="1" t="s">
        <v>43</v>
      </c>
      <c r="I184" s="3">
        <v>94730465</v>
      </c>
      <c r="J184" s="1" t="s">
        <v>17</v>
      </c>
      <c r="K184" s="1">
        <v>1</v>
      </c>
      <c r="L184" s="35">
        <f>InventoryTY[[#This Row],[Landed Cost]]*InventoryTY[[#This Row],[Inventory Qty]]</f>
        <v>94730465</v>
      </c>
    </row>
    <row r="185" spans="1:12" x14ac:dyDescent="0.25">
      <c r="A185" s="1">
        <v>2026</v>
      </c>
      <c r="B185" s="1">
        <v>1</v>
      </c>
      <c r="C185" s="2">
        <v>46034</v>
      </c>
      <c r="D185" s="1">
        <v>205068</v>
      </c>
      <c r="E185" s="1" t="s">
        <v>55</v>
      </c>
      <c r="F185" s="1" t="s">
        <v>62</v>
      </c>
      <c r="G185" s="1" t="s">
        <v>63</v>
      </c>
      <c r="H185" s="1" t="s">
        <v>43</v>
      </c>
      <c r="I185" s="3">
        <v>99647014</v>
      </c>
      <c r="J185" s="1" t="s">
        <v>17</v>
      </c>
      <c r="K185" s="1">
        <v>1</v>
      </c>
      <c r="L185" s="35">
        <f>InventoryTY[[#This Row],[Landed Cost]]*InventoryTY[[#This Row],[Inventory Qty]]</f>
        <v>99647014</v>
      </c>
    </row>
    <row r="186" spans="1:12" x14ac:dyDescent="0.25">
      <c r="A186" s="1">
        <v>2026</v>
      </c>
      <c r="B186" s="1">
        <v>1</v>
      </c>
      <c r="C186" s="2">
        <v>46034</v>
      </c>
      <c r="D186" s="1">
        <v>205071</v>
      </c>
      <c r="E186" s="1" t="s">
        <v>55</v>
      </c>
      <c r="F186" s="1" t="s">
        <v>62</v>
      </c>
      <c r="G186" s="1" t="s">
        <v>63</v>
      </c>
      <c r="H186" s="1" t="s">
        <v>43</v>
      </c>
      <c r="I186" s="3">
        <v>83333012</v>
      </c>
      <c r="J186" s="1" t="s">
        <v>15</v>
      </c>
      <c r="K186" s="1">
        <v>1</v>
      </c>
      <c r="L186" s="35">
        <f>InventoryTY[[#This Row],[Landed Cost]]*InventoryTY[[#This Row],[Inventory Qty]]</f>
        <v>83333012</v>
      </c>
    </row>
    <row r="187" spans="1:12" x14ac:dyDescent="0.25">
      <c r="A187" s="1">
        <v>2026</v>
      </c>
      <c r="B187" s="1">
        <v>1</v>
      </c>
      <c r="C187" s="2">
        <v>46034</v>
      </c>
      <c r="D187" s="1">
        <v>205078</v>
      </c>
      <c r="E187" s="1" t="s">
        <v>55</v>
      </c>
      <c r="F187" s="1" t="s">
        <v>62</v>
      </c>
      <c r="G187" s="1" t="s">
        <v>63</v>
      </c>
      <c r="H187" s="1" t="s">
        <v>37</v>
      </c>
      <c r="I187" s="3">
        <v>29772432</v>
      </c>
      <c r="J187" s="1" t="s">
        <v>15</v>
      </c>
      <c r="K187" s="1">
        <v>1</v>
      </c>
      <c r="L187" s="35">
        <f>InventoryTY[[#This Row],[Landed Cost]]*InventoryTY[[#This Row],[Inventory Qty]]</f>
        <v>29772432</v>
      </c>
    </row>
    <row r="188" spans="1:12" x14ac:dyDescent="0.25">
      <c r="A188" s="1">
        <v>2026</v>
      </c>
      <c r="B188" s="1">
        <v>1</v>
      </c>
      <c r="C188" s="2">
        <v>46034</v>
      </c>
      <c r="D188" s="1">
        <v>205081</v>
      </c>
      <c r="E188" s="1" t="s">
        <v>64</v>
      </c>
      <c r="F188" s="1" t="s">
        <v>62</v>
      </c>
      <c r="G188" s="1" t="s">
        <v>60</v>
      </c>
      <c r="H188" s="1" t="s">
        <v>43</v>
      </c>
      <c r="I188" s="3">
        <v>53966656</v>
      </c>
      <c r="J188" s="1" t="s">
        <v>15</v>
      </c>
      <c r="K188" s="1">
        <v>1</v>
      </c>
      <c r="L188" s="35">
        <f>InventoryTY[[#This Row],[Landed Cost]]*InventoryTY[[#This Row],[Inventory Qty]]</f>
        <v>53966656</v>
      </c>
    </row>
    <row r="189" spans="1:12" x14ac:dyDescent="0.25">
      <c r="A189" s="1">
        <v>2026</v>
      </c>
      <c r="B189" s="1">
        <v>1</v>
      </c>
      <c r="C189" s="2">
        <v>46034</v>
      </c>
      <c r="D189" s="1">
        <v>205082</v>
      </c>
      <c r="E189" s="1" t="s">
        <v>64</v>
      </c>
      <c r="F189" s="1" t="s">
        <v>62</v>
      </c>
      <c r="G189" s="1" t="s">
        <v>60</v>
      </c>
      <c r="H189" s="1" t="s">
        <v>43</v>
      </c>
      <c r="I189" s="3">
        <v>53738160</v>
      </c>
      <c r="J189" s="1" t="s">
        <v>17</v>
      </c>
      <c r="K189" s="1">
        <v>1</v>
      </c>
      <c r="L189" s="35">
        <f>InventoryTY[[#This Row],[Landed Cost]]*InventoryTY[[#This Row],[Inventory Qty]]</f>
        <v>53738160</v>
      </c>
    </row>
    <row r="190" spans="1:12" x14ac:dyDescent="0.25">
      <c r="A190" s="1">
        <v>2026</v>
      </c>
      <c r="B190" s="1">
        <v>1</v>
      </c>
      <c r="C190" s="2">
        <v>46034</v>
      </c>
      <c r="D190" s="1">
        <v>205083</v>
      </c>
      <c r="E190" s="1" t="s">
        <v>64</v>
      </c>
      <c r="F190" s="1" t="s">
        <v>62</v>
      </c>
      <c r="G190" s="1" t="s">
        <v>60</v>
      </c>
      <c r="H190" s="1" t="s">
        <v>43</v>
      </c>
      <c r="I190" s="3">
        <v>53738160</v>
      </c>
      <c r="J190" s="1" t="s">
        <v>15</v>
      </c>
      <c r="K190" s="1">
        <v>1</v>
      </c>
      <c r="L190" s="35">
        <f>InventoryTY[[#This Row],[Landed Cost]]*InventoryTY[[#This Row],[Inventory Qty]]</f>
        <v>53738160</v>
      </c>
    </row>
    <row r="191" spans="1:12" x14ac:dyDescent="0.25">
      <c r="A191" s="1">
        <v>2026</v>
      </c>
      <c r="B191" s="1">
        <v>1</v>
      </c>
      <c r="C191" s="2">
        <v>46034</v>
      </c>
      <c r="D191" s="1">
        <v>205084</v>
      </c>
      <c r="E191" s="1" t="s">
        <v>64</v>
      </c>
      <c r="F191" s="1" t="s">
        <v>62</v>
      </c>
      <c r="G191" s="1" t="s">
        <v>60</v>
      </c>
      <c r="H191" s="1" t="s">
        <v>34</v>
      </c>
      <c r="I191" s="3">
        <v>59243382</v>
      </c>
      <c r="J191" s="1" t="s">
        <v>17</v>
      </c>
      <c r="K191" s="1">
        <v>1</v>
      </c>
      <c r="L191" s="35">
        <f>InventoryTY[[#This Row],[Landed Cost]]*InventoryTY[[#This Row],[Inventory Qty]]</f>
        <v>59243382</v>
      </c>
    </row>
    <row r="192" spans="1:12" x14ac:dyDescent="0.25">
      <c r="A192" s="1">
        <v>2026</v>
      </c>
      <c r="B192" s="1">
        <v>1</v>
      </c>
      <c r="C192" s="2">
        <v>46034</v>
      </c>
      <c r="D192" s="1">
        <v>205086</v>
      </c>
      <c r="E192" s="1" t="s">
        <v>64</v>
      </c>
      <c r="F192" s="1" t="s">
        <v>62</v>
      </c>
      <c r="G192" s="1" t="s">
        <v>60</v>
      </c>
      <c r="H192" s="1" t="s">
        <v>43</v>
      </c>
      <c r="I192" s="3">
        <v>62417605</v>
      </c>
      <c r="J192" s="1" t="s">
        <v>17</v>
      </c>
      <c r="K192" s="1">
        <v>1</v>
      </c>
      <c r="L192" s="35">
        <f>InventoryTY[[#This Row],[Landed Cost]]*InventoryTY[[#This Row],[Inventory Qty]]</f>
        <v>62417605</v>
      </c>
    </row>
    <row r="193" spans="1:12" x14ac:dyDescent="0.25">
      <c r="A193" s="1">
        <v>2026</v>
      </c>
      <c r="B193" s="1">
        <v>1</v>
      </c>
      <c r="C193" s="2">
        <v>46034</v>
      </c>
      <c r="D193" s="1">
        <v>205088</v>
      </c>
      <c r="E193" s="1" t="s">
        <v>64</v>
      </c>
      <c r="F193" s="1" t="s">
        <v>62</v>
      </c>
      <c r="G193" s="1" t="s">
        <v>60</v>
      </c>
      <c r="H193" s="1" t="s">
        <v>43</v>
      </c>
      <c r="I193" s="3">
        <v>62417605</v>
      </c>
      <c r="J193" s="1" t="s">
        <v>15</v>
      </c>
      <c r="K193" s="1">
        <v>1</v>
      </c>
      <c r="L193" s="35">
        <f>InventoryTY[[#This Row],[Landed Cost]]*InventoryTY[[#This Row],[Inventory Qty]]</f>
        <v>62417605</v>
      </c>
    </row>
    <row r="194" spans="1:12" x14ac:dyDescent="0.25">
      <c r="A194" s="1">
        <v>2026</v>
      </c>
      <c r="B194" s="1">
        <v>1</v>
      </c>
      <c r="C194" s="2">
        <v>46034</v>
      </c>
      <c r="D194" s="1">
        <v>205089</v>
      </c>
      <c r="E194" s="1" t="s">
        <v>64</v>
      </c>
      <c r="F194" s="1" t="s">
        <v>62</v>
      </c>
      <c r="G194" s="1" t="s">
        <v>60</v>
      </c>
      <c r="H194" s="1" t="s">
        <v>34</v>
      </c>
      <c r="I194" s="3">
        <v>79474542</v>
      </c>
      <c r="J194" s="1" t="s">
        <v>17</v>
      </c>
      <c r="K194" s="1">
        <v>1</v>
      </c>
      <c r="L194" s="35">
        <f>InventoryTY[[#This Row],[Landed Cost]]*InventoryTY[[#This Row],[Inventory Qty]]</f>
        <v>79474542</v>
      </c>
    </row>
    <row r="195" spans="1:12" x14ac:dyDescent="0.25">
      <c r="A195" s="1">
        <v>2026</v>
      </c>
      <c r="B195" s="1">
        <v>1</v>
      </c>
      <c r="C195" s="2">
        <v>46034</v>
      </c>
      <c r="D195" s="1">
        <v>205090</v>
      </c>
      <c r="E195" s="1" t="s">
        <v>64</v>
      </c>
      <c r="F195" s="1" t="s">
        <v>62</v>
      </c>
      <c r="G195" s="1" t="s">
        <v>60</v>
      </c>
      <c r="H195" s="1" t="s">
        <v>37</v>
      </c>
      <c r="I195" s="3">
        <v>68249795</v>
      </c>
      <c r="J195" s="1" t="s">
        <v>15</v>
      </c>
      <c r="K195" s="1">
        <v>1</v>
      </c>
      <c r="L195" s="35">
        <f>InventoryTY[[#This Row],[Landed Cost]]*InventoryTY[[#This Row],[Inventory Qty]]</f>
        <v>68249795</v>
      </c>
    </row>
    <row r="196" spans="1:12" x14ac:dyDescent="0.25">
      <c r="A196" s="1">
        <v>2026</v>
      </c>
      <c r="B196" s="1">
        <v>1</v>
      </c>
      <c r="C196" s="2">
        <v>46034</v>
      </c>
      <c r="D196" s="1">
        <v>205091</v>
      </c>
      <c r="E196" s="1" t="s">
        <v>64</v>
      </c>
      <c r="F196" s="1" t="s">
        <v>62</v>
      </c>
      <c r="G196" s="1" t="s">
        <v>60</v>
      </c>
      <c r="H196" s="1" t="s">
        <v>43</v>
      </c>
      <c r="I196" s="3">
        <v>54961812</v>
      </c>
      <c r="J196" s="1" t="s">
        <v>17</v>
      </c>
      <c r="K196" s="1">
        <v>1</v>
      </c>
      <c r="L196" s="35">
        <f>InventoryTY[[#This Row],[Landed Cost]]*InventoryTY[[#This Row],[Inventory Qty]]</f>
        <v>54961812</v>
      </c>
    </row>
    <row r="197" spans="1:12" x14ac:dyDescent="0.25">
      <c r="A197" s="1">
        <v>2026</v>
      </c>
      <c r="B197" s="1">
        <v>1</v>
      </c>
      <c r="C197" s="2">
        <v>46034</v>
      </c>
      <c r="D197" s="1">
        <v>205092</v>
      </c>
      <c r="E197" s="1" t="s">
        <v>64</v>
      </c>
      <c r="F197" s="1" t="s">
        <v>62</v>
      </c>
      <c r="G197" s="1" t="s">
        <v>60</v>
      </c>
      <c r="H197" s="1" t="s">
        <v>43</v>
      </c>
      <c r="I197" s="3">
        <v>54961812</v>
      </c>
      <c r="J197" s="1" t="s">
        <v>15</v>
      </c>
      <c r="K197" s="1">
        <v>1</v>
      </c>
      <c r="L197" s="35">
        <f>InventoryTY[[#This Row],[Landed Cost]]*InventoryTY[[#This Row],[Inventory Qty]]</f>
        <v>54961812</v>
      </c>
    </row>
    <row r="198" spans="1:12" x14ac:dyDescent="0.25">
      <c r="A198" s="1">
        <v>2026</v>
      </c>
      <c r="B198" s="1">
        <v>1</v>
      </c>
      <c r="C198" s="2">
        <v>46034</v>
      </c>
      <c r="D198" s="1">
        <v>205093</v>
      </c>
      <c r="E198" s="1" t="s">
        <v>64</v>
      </c>
      <c r="F198" s="1" t="s">
        <v>62</v>
      </c>
      <c r="G198" s="1" t="s">
        <v>60</v>
      </c>
      <c r="H198" s="1" t="s">
        <v>34</v>
      </c>
      <c r="I198" s="3">
        <v>54204628</v>
      </c>
      <c r="J198" s="1" t="s">
        <v>15</v>
      </c>
      <c r="K198" s="1">
        <v>1</v>
      </c>
      <c r="L198" s="35">
        <f>InventoryTY[[#This Row],[Landed Cost]]*InventoryTY[[#This Row],[Inventory Qty]]</f>
        <v>54204628</v>
      </c>
    </row>
    <row r="199" spans="1:12" x14ac:dyDescent="0.25">
      <c r="A199" s="1">
        <v>2026</v>
      </c>
      <c r="B199" s="1">
        <v>1</v>
      </c>
      <c r="C199" s="2">
        <v>46034</v>
      </c>
      <c r="D199" s="1">
        <v>205093</v>
      </c>
      <c r="E199" s="1" t="s">
        <v>64</v>
      </c>
      <c r="F199" s="1" t="s">
        <v>62</v>
      </c>
      <c r="G199" s="1" t="s">
        <v>60</v>
      </c>
      <c r="H199" s="1" t="s">
        <v>34</v>
      </c>
      <c r="I199" s="3">
        <v>54204628</v>
      </c>
      <c r="J199" s="1" t="s">
        <v>17</v>
      </c>
      <c r="K199" s="1">
        <v>1</v>
      </c>
      <c r="L199" s="35">
        <f>InventoryTY[[#This Row],[Landed Cost]]*InventoryTY[[#This Row],[Inventory Qty]]</f>
        <v>54204628</v>
      </c>
    </row>
    <row r="200" spans="1:12" x14ac:dyDescent="0.25">
      <c r="A200" s="1">
        <v>2026</v>
      </c>
      <c r="B200" s="1">
        <v>1</v>
      </c>
      <c r="C200" s="2">
        <v>46034</v>
      </c>
      <c r="D200" s="1">
        <v>205095</v>
      </c>
      <c r="E200" s="1" t="s">
        <v>64</v>
      </c>
      <c r="F200" s="1" t="s">
        <v>62</v>
      </c>
      <c r="G200" s="1" t="s">
        <v>60</v>
      </c>
      <c r="H200" s="1" t="s">
        <v>43</v>
      </c>
      <c r="I200" s="3">
        <v>39952315</v>
      </c>
      <c r="J200" s="1" t="s">
        <v>15</v>
      </c>
      <c r="K200" s="1">
        <v>1</v>
      </c>
      <c r="L200" s="35">
        <f>InventoryTY[[#This Row],[Landed Cost]]*InventoryTY[[#This Row],[Inventory Qty]]</f>
        <v>39952315</v>
      </c>
    </row>
    <row r="201" spans="1:12" x14ac:dyDescent="0.25">
      <c r="A201" s="1">
        <v>2026</v>
      </c>
      <c r="B201" s="1">
        <v>1</v>
      </c>
      <c r="C201" s="2">
        <v>46034</v>
      </c>
      <c r="D201" s="1">
        <v>205096</v>
      </c>
      <c r="E201" s="1" t="s">
        <v>64</v>
      </c>
      <c r="F201" s="1" t="s">
        <v>62</v>
      </c>
      <c r="G201" s="1" t="s">
        <v>60</v>
      </c>
      <c r="H201" s="1" t="s">
        <v>43</v>
      </c>
      <c r="I201" s="3">
        <v>39952315</v>
      </c>
      <c r="J201" s="1" t="s">
        <v>17</v>
      </c>
      <c r="K201" s="1">
        <v>1</v>
      </c>
      <c r="L201" s="35">
        <f>InventoryTY[[#This Row],[Landed Cost]]*InventoryTY[[#This Row],[Inventory Qty]]</f>
        <v>39952315</v>
      </c>
    </row>
    <row r="202" spans="1:12" x14ac:dyDescent="0.25">
      <c r="A202" s="1">
        <v>2026</v>
      </c>
      <c r="B202" s="1">
        <v>1</v>
      </c>
      <c r="C202" s="2">
        <v>46034</v>
      </c>
      <c r="D202" s="1">
        <v>205097</v>
      </c>
      <c r="E202" s="1" t="s">
        <v>64</v>
      </c>
      <c r="F202" s="1" t="s">
        <v>62</v>
      </c>
      <c r="G202" s="1" t="s">
        <v>60</v>
      </c>
      <c r="H202" s="1" t="s">
        <v>43</v>
      </c>
      <c r="I202" s="3">
        <v>39952315</v>
      </c>
      <c r="J202" s="1" t="s">
        <v>15</v>
      </c>
      <c r="K202" s="1">
        <v>1</v>
      </c>
      <c r="L202" s="35">
        <f>InventoryTY[[#This Row],[Landed Cost]]*InventoryTY[[#This Row],[Inventory Qty]]</f>
        <v>39952315</v>
      </c>
    </row>
    <row r="203" spans="1:12" x14ac:dyDescent="0.25">
      <c r="A203" s="1">
        <v>2026</v>
      </c>
      <c r="B203" s="1">
        <v>1</v>
      </c>
      <c r="C203" s="2">
        <v>46034</v>
      </c>
      <c r="D203" s="1">
        <v>205098</v>
      </c>
      <c r="E203" s="1" t="s">
        <v>64</v>
      </c>
      <c r="F203" s="1" t="s">
        <v>62</v>
      </c>
      <c r="G203" s="1" t="s">
        <v>60</v>
      </c>
      <c r="H203" s="1" t="s">
        <v>43</v>
      </c>
      <c r="I203" s="3">
        <v>39952315</v>
      </c>
      <c r="J203" s="1" t="s">
        <v>17</v>
      </c>
      <c r="K203" s="1">
        <v>1</v>
      </c>
      <c r="L203" s="35">
        <f>InventoryTY[[#This Row],[Landed Cost]]*InventoryTY[[#This Row],[Inventory Qty]]</f>
        <v>39952315</v>
      </c>
    </row>
    <row r="204" spans="1:12" x14ac:dyDescent="0.25">
      <c r="A204" s="1">
        <v>2026</v>
      </c>
      <c r="B204" s="1">
        <v>1</v>
      </c>
      <c r="C204" s="2">
        <v>46034</v>
      </c>
      <c r="D204" s="1">
        <v>205101</v>
      </c>
      <c r="E204" s="1" t="s">
        <v>64</v>
      </c>
      <c r="F204" s="1" t="s">
        <v>62</v>
      </c>
      <c r="G204" s="1" t="s">
        <v>60</v>
      </c>
      <c r="H204" s="1" t="s">
        <v>43</v>
      </c>
      <c r="I204" s="3">
        <v>97079781</v>
      </c>
      <c r="J204" s="1" t="s">
        <v>17</v>
      </c>
      <c r="K204" s="1">
        <v>1</v>
      </c>
      <c r="L204" s="35">
        <f>InventoryTY[[#This Row],[Landed Cost]]*InventoryTY[[#This Row],[Inventory Qty]]</f>
        <v>97079781</v>
      </c>
    </row>
    <row r="205" spans="1:12" x14ac:dyDescent="0.25">
      <c r="A205" s="1">
        <v>2026</v>
      </c>
      <c r="B205" s="1">
        <v>1</v>
      </c>
      <c r="C205" s="2">
        <v>46034</v>
      </c>
      <c r="D205" s="1">
        <v>205103</v>
      </c>
      <c r="E205" s="1" t="s">
        <v>64</v>
      </c>
      <c r="F205" s="1" t="s">
        <v>62</v>
      </c>
      <c r="G205" s="1" t="s">
        <v>60</v>
      </c>
      <c r="H205" s="1" t="s">
        <v>34</v>
      </c>
      <c r="I205" s="3">
        <v>102028015</v>
      </c>
      <c r="J205" s="1" t="s">
        <v>17</v>
      </c>
      <c r="K205" s="1">
        <v>1</v>
      </c>
      <c r="L205" s="35">
        <f>InventoryTY[[#This Row],[Landed Cost]]*InventoryTY[[#This Row],[Inventory Qty]]</f>
        <v>102028015</v>
      </c>
    </row>
    <row r="206" spans="1:12" x14ac:dyDescent="0.25">
      <c r="A206" s="1">
        <v>2026</v>
      </c>
      <c r="B206" s="1">
        <v>1</v>
      </c>
      <c r="C206" s="2">
        <v>46034</v>
      </c>
      <c r="D206" s="1">
        <v>205106</v>
      </c>
      <c r="E206" s="1" t="s">
        <v>64</v>
      </c>
      <c r="F206" s="1" t="s">
        <v>62</v>
      </c>
      <c r="G206" s="1" t="s">
        <v>60</v>
      </c>
      <c r="H206" s="1" t="s">
        <v>34</v>
      </c>
      <c r="I206" s="3">
        <v>103548888</v>
      </c>
      <c r="J206" s="1" t="s">
        <v>17</v>
      </c>
      <c r="K206" s="1">
        <v>1</v>
      </c>
      <c r="L206" s="35">
        <f>InventoryTY[[#This Row],[Landed Cost]]*InventoryTY[[#This Row],[Inventory Qty]]</f>
        <v>103548888</v>
      </c>
    </row>
    <row r="207" spans="1:12" x14ac:dyDescent="0.25">
      <c r="A207" s="1">
        <v>2026</v>
      </c>
      <c r="B207" s="1">
        <v>1</v>
      </c>
      <c r="C207" s="2">
        <v>46034</v>
      </c>
      <c r="D207" s="1">
        <v>205107</v>
      </c>
      <c r="E207" s="1" t="s">
        <v>64</v>
      </c>
      <c r="F207" s="1" t="s">
        <v>62</v>
      </c>
      <c r="G207" s="1" t="s">
        <v>60</v>
      </c>
      <c r="H207" s="1" t="s">
        <v>37</v>
      </c>
      <c r="I207" s="3">
        <v>67511719</v>
      </c>
      <c r="J207" s="1" t="s">
        <v>15</v>
      </c>
      <c r="K207" s="1">
        <v>1</v>
      </c>
      <c r="L207" s="35">
        <f>InventoryTY[[#This Row],[Landed Cost]]*InventoryTY[[#This Row],[Inventory Qty]]</f>
        <v>67511719</v>
      </c>
    </row>
    <row r="208" spans="1:12" x14ac:dyDescent="0.25">
      <c r="A208" s="1">
        <v>2026</v>
      </c>
      <c r="B208" s="1">
        <v>1</v>
      </c>
      <c r="C208" s="2">
        <v>46034</v>
      </c>
      <c r="D208" s="1">
        <v>205108</v>
      </c>
      <c r="E208" s="1" t="s">
        <v>64</v>
      </c>
      <c r="F208" s="1" t="s">
        <v>62</v>
      </c>
      <c r="G208" s="1" t="s">
        <v>60</v>
      </c>
      <c r="H208" s="1" t="s">
        <v>43</v>
      </c>
      <c r="I208" s="3">
        <v>78396663</v>
      </c>
      <c r="J208" s="1" t="s">
        <v>15</v>
      </c>
      <c r="K208" s="1">
        <v>1</v>
      </c>
      <c r="L208" s="35">
        <f>InventoryTY[[#This Row],[Landed Cost]]*InventoryTY[[#This Row],[Inventory Qty]]</f>
        <v>78396663</v>
      </c>
    </row>
    <row r="209" spans="1:12" x14ac:dyDescent="0.25">
      <c r="A209" s="1">
        <v>2026</v>
      </c>
      <c r="B209" s="1">
        <v>1</v>
      </c>
      <c r="C209" s="2">
        <v>46034</v>
      </c>
      <c r="D209" s="1">
        <v>205112</v>
      </c>
      <c r="E209" s="1" t="s">
        <v>64</v>
      </c>
      <c r="F209" s="1" t="s">
        <v>62</v>
      </c>
      <c r="G209" s="1" t="s">
        <v>60</v>
      </c>
      <c r="H209" s="1" t="s">
        <v>43</v>
      </c>
      <c r="I209" s="3">
        <v>98976777</v>
      </c>
      <c r="J209" s="1" t="s">
        <v>17</v>
      </c>
      <c r="K209" s="1">
        <v>1</v>
      </c>
      <c r="L209" s="35">
        <f>InventoryTY[[#This Row],[Landed Cost]]*InventoryTY[[#This Row],[Inventory Qty]]</f>
        <v>98976777</v>
      </c>
    </row>
    <row r="210" spans="1:12" x14ac:dyDescent="0.25">
      <c r="A210" s="1">
        <v>2026</v>
      </c>
      <c r="B210" s="1">
        <v>1</v>
      </c>
      <c r="C210" s="2">
        <v>46034</v>
      </c>
      <c r="D210" s="1">
        <v>205113</v>
      </c>
      <c r="E210" s="1" t="s">
        <v>64</v>
      </c>
      <c r="F210" s="1" t="s">
        <v>62</v>
      </c>
      <c r="G210" s="1" t="s">
        <v>60</v>
      </c>
      <c r="H210" s="1" t="s">
        <v>43</v>
      </c>
      <c r="I210" s="3">
        <v>98976777</v>
      </c>
      <c r="J210" s="1" t="s">
        <v>15</v>
      </c>
      <c r="K210" s="1">
        <v>1</v>
      </c>
      <c r="L210" s="35">
        <f>InventoryTY[[#This Row],[Landed Cost]]*InventoryTY[[#This Row],[Inventory Qty]]</f>
        <v>98976777</v>
      </c>
    </row>
    <row r="211" spans="1:12" x14ac:dyDescent="0.25">
      <c r="A211" s="1">
        <v>2026</v>
      </c>
      <c r="B211" s="1">
        <v>1</v>
      </c>
      <c r="C211" s="2">
        <v>46034</v>
      </c>
      <c r="D211" s="1">
        <v>206890</v>
      </c>
      <c r="E211" s="1" t="s">
        <v>58</v>
      </c>
      <c r="F211" s="1" t="s">
        <v>11</v>
      </c>
      <c r="G211" s="1" t="s">
        <v>60</v>
      </c>
      <c r="H211" s="1" t="s">
        <v>43</v>
      </c>
      <c r="I211" s="3">
        <v>22369865</v>
      </c>
      <c r="J211" s="1" t="s">
        <v>17</v>
      </c>
      <c r="K211" s="1">
        <v>1</v>
      </c>
      <c r="L211" s="35">
        <f>InventoryTY[[#This Row],[Landed Cost]]*InventoryTY[[#This Row],[Inventory Qty]]</f>
        <v>22369865</v>
      </c>
    </row>
    <row r="212" spans="1:12" x14ac:dyDescent="0.25">
      <c r="A212" s="1">
        <v>2026</v>
      </c>
      <c r="B212" s="1">
        <v>1</v>
      </c>
      <c r="C212" s="2">
        <v>46034</v>
      </c>
      <c r="D212" s="1">
        <v>206892</v>
      </c>
      <c r="E212" s="1" t="s">
        <v>58</v>
      </c>
      <c r="F212" s="1" t="s">
        <v>11</v>
      </c>
      <c r="G212" s="1" t="s">
        <v>60</v>
      </c>
      <c r="H212" s="1" t="s">
        <v>43</v>
      </c>
      <c r="I212" s="3">
        <v>18850411</v>
      </c>
      <c r="J212" s="1" t="s">
        <v>17</v>
      </c>
      <c r="K212" s="1">
        <v>1</v>
      </c>
      <c r="L212" s="35">
        <f>InventoryTY[[#This Row],[Landed Cost]]*InventoryTY[[#This Row],[Inventory Qty]]</f>
        <v>18850411</v>
      </c>
    </row>
    <row r="213" spans="1:12" x14ac:dyDescent="0.25">
      <c r="A213" s="1">
        <v>2026</v>
      </c>
      <c r="B213" s="1">
        <v>1</v>
      </c>
      <c r="C213" s="2">
        <v>46034</v>
      </c>
      <c r="D213" s="1">
        <v>206893</v>
      </c>
      <c r="E213" s="1" t="s">
        <v>58</v>
      </c>
      <c r="F213" s="1" t="s">
        <v>11</v>
      </c>
      <c r="G213" s="1" t="s">
        <v>60</v>
      </c>
      <c r="H213" s="1" t="s">
        <v>43</v>
      </c>
      <c r="I213" s="3">
        <v>18850411</v>
      </c>
      <c r="J213" s="1" t="s">
        <v>15</v>
      </c>
      <c r="K213" s="1">
        <v>1</v>
      </c>
      <c r="L213" s="35">
        <f>InventoryTY[[#This Row],[Landed Cost]]*InventoryTY[[#This Row],[Inventory Qty]]</f>
        <v>18850411</v>
      </c>
    </row>
    <row r="214" spans="1:12" x14ac:dyDescent="0.25">
      <c r="A214" s="1">
        <v>2026</v>
      </c>
      <c r="B214" s="1">
        <v>1</v>
      </c>
      <c r="C214" s="2">
        <v>46034</v>
      </c>
      <c r="D214" s="1">
        <v>206902</v>
      </c>
      <c r="E214" s="1" t="s">
        <v>58</v>
      </c>
      <c r="F214" s="1" t="s">
        <v>11</v>
      </c>
      <c r="G214" s="1" t="s">
        <v>60</v>
      </c>
      <c r="H214" s="1" t="s">
        <v>34</v>
      </c>
      <c r="I214" s="3">
        <v>16664083</v>
      </c>
      <c r="J214" s="1" t="s">
        <v>13</v>
      </c>
      <c r="K214" s="1">
        <v>1</v>
      </c>
      <c r="L214" s="35">
        <f>InventoryTY[[#This Row],[Landed Cost]]*InventoryTY[[#This Row],[Inventory Qty]]</f>
        <v>16664083</v>
      </c>
    </row>
    <row r="215" spans="1:12" x14ac:dyDescent="0.25">
      <c r="A215" s="1">
        <v>2026</v>
      </c>
      <c r="B215" s="1">
        <v>1</v>
      </c>
      <c r="C215" s="2">
        <v>46034</v>
      </c>
      <c r="D215" s="1">
        <v>206903</v>
      </c>
      <c r="E215" s="1" t="s">
        <v>58</v>
      </c>
      <c r="F215" s="1" t="s">
        <v>11</v>
      </c>
      <c r="G215" s="1" t="s">
        <v>60</v>
      </c>
      <c r="H215" s="1" t="s">
        <v>34</v>
      </c>
      <c r="I215" s="3">
        <v>8078748</v>
      </c>
      <c r="J215" s="1" t="s">
        <v>13</v>
      </c>
      <c r="K215" s="1">
        <v>1</v>
      </c>
      <c r="L215" s="35">
        <f>InventoryTY[[#This Row],[Landed Cost]]*InventoryTY[[#This Row],[Inventory Qty]]</f>
        <v>8078748</v>
      </c>
    </row>
    <row r="216" spans="1:12" x14ac:dyDescent="0.25">
      <c r="A216" s="1">
        <v>2026</v>
      </c>
      <c r="B216" s="1">
        <v>1</v>
      </c>
      <c r="C216" s="2">
        <v>46034</v>
      </c>
      <c r="D216" s="1">
        <v>206906</v>
      </c>
      <c r="E216" s="1" t="s">
        <v>58</v>
      </c>
      <c r="F216" s="1" t="s">
        <v>11</v>
      </c>
      <c r="G216" s="1" t="s">
        <v>60</v>
      </c>
      <c r="H216" s="1" t="s">
        <v>34</v>
      </c>
      <c r="I216" s="3">
        <v>11838165</v>
      </c>
      <c r="J216" s="1" t="s">
        <v>15</v>
      </c>
      <c r="K216" s="1">
        <v>1</v>
      </c>
      <c r="L216" s="35">
        <f>InventoryTY[[#This Row],[Landed Cost]]*InventoryTY[[#This Row],[Inventory Qty]]</f>
        <v>11838165</v>
      </c>
    </row>
    <row r="217" spans="1:12" x14ac:dyDescent="0.25">
      <c r="A217" s="1">
        <v>2026</v>
      </c>
      <c r="B217" s="1">
        <v>1</v>
      </c>
      <c r="C217" s="2">
        <v>46034</v>
      </c>
      <c r="D217" s="1">
        <v>206911</v>
      </c>
      <c r="E217" s="1" t="s">
        <v>58</v>
      </c>
      <c r="F217" s="1" t="s">
        <v>11</v>
      </c>
      <c r="G217" s="1" t="s">
        <v>60</v>
      </c>
      <c r="H217" s="1" t="s">
        <v>34</v>
      </c>
      <c r="I217" s="3">
        <v>9678499</v>
      </c>
      <c r="J217" s="1" t="s">
        <v>15</v>
      </c>
      <c r="K217" s="1">
        <v>1</v>
      </c>
      <c r="L217" s="35">
        <f>InventoryTY[[#This Row],[Landed Cost]]*InventoryTY[[#This Row],[Inventory Qty]]</f>
        <v>9678499</v>
      </c>
    </row>
    <row r="218" spans="1:12" x14ac:dyDescent="0.25">
      <c r="A218" s="1">
        <v>2026</v>
      </c>
      <c r="B218" s="1">
        <v>1</v>
      </c>
      <c r="C218" s="2">
        <v>46034</v>
      </c>
      <c r="D218" s="1">
        <v>208239</v>
      </c>
      <c r="E218" s="1" t="s">
        <v>50</v>
      </c>
      <c r="F218" s="1" t="s">
        <v>11</v>
      </c>
      <c r="G218" s="1" t="s">
        <v>60</v>
      </c>
      <c r="H218" s="1" t="s">
        <v>43</v>
      </c>
      <c r="I218" s="3">
        <v>7962040</v>
      </c>
      <c r="J218" s="1" t="s">
        <v>67</v>
      </c>
      <c r="K218" s="1">
        <v>1</v>
      </c>
      <c r="L218" s="35">
        <f>InventoryTY[[#This Row],[Landed Cost]]*InventoryTY[[#This Row],[Inventory Qty]]</f>
        <v>7962040</v>
      </c>
    </row>
    <row r="219" spans="1:12" x14ac:dyDescent="0.25">
      <c r="A219" s="1">
        <v>2026</v>
      </c>
      <c r="B219" s="1">
        <v>1</v>
      </c>
      <c r="C219" s="2">
        <v>46034</v>
      </c>
      <c r="D219" s="1">
        <v>208240</v>
      </c>
      <c r="E219" s="1" t="s">
        <v>50</v>
      </c>
      <c r="F219" s="1" t="s">
        <v>11</v>
      </c>
      <c r="G219" s="1" t="s">
        <v>60</v>
      </c>
      <c r="H219" s="1" t="s">
        <v>43</v>
      </c>
      <c r="I219" s="3">
        <v>2207056</v>
      </c>
      <c r="J219" s="1" t="s">
        <v>15</v>
      </c>
      <c r="K219" s="1">
        <v>1</v>
      </c>
      <c r="L219" s="35">
        <f>InventoryTY[[#This Row],[Landed Cost]]*InventoryTY[[#This Row],[Inventory Qty]]</f>
        <v>2207056</v>
      </c>
    </row>
    <row r="220" spans="1:12" x14ac:dyDescent="0.25">
      <c r="A220" s="1">
        <v>2026</v>
      </c>
      <c r="B220" s="1">
        <v>1</v>
      </c>
      <c r="C220" s="2">
        <v>46034</v>
      </c>
      <c r="D220" s="1">
        <v>208242</v>
      </c>
      <c r="E220" s="1" t="s">
        <v>50</v>
      </c>
      <c r="F220" s="1" t="s">
        <v>11</v>
      </c>
      <c r="G220" s="1" t="s">
        <v>60</v>
      </c>
      <c r="H220" s="1" t="s">
        <v>43</v>
      </c>
      <c r="I220" s="3">
        <v>2207056</v>
      </c>
      <c r="J220" s="1" t="s">
        <v>15</v>
      </c>
      <c r="K220" s="1">
        <v>1</v>
      </c>
      <c r="L220" s="35">
        <f>InventoryTY[[#This Row],[Landed Cost]]*InventoryTY[[#This Row],[Inventory Qty]]</f>
        <v>2207056</v>
      </c>
    </row>
    <row r="221" spans="1:12" x14ac:dyDescent="0.25">
      <c r="A221" s="1">
        <v>2026</v>
      </c>
      <c r="B221" s="1">
        <v>1</v>
      </c>
      <c r="C221" s="2">
        <v>46034</v>
      </c>
      <c r="D221" s="1">
        <v>208244</v>
      </c>
      <c r="E221" s="1" t="s">
        <v>50</v>
      </c>
      <c r="F221" s="1" t="s">
        <v>11</v>
      </c>
      <c r="G221" s="1" t="s">
        <v>60</v>
      </c>
      <c r="H221" s="1" t="s">
        <v>43</v>
      </c>
      <c r="I221" s="3">
        <v>3431522</v>
      </c>
      <c r="J221" s="1" t="s">
        <v>21</v>
      </c>
      <c r="K221" s="1">
        <v>1</v>
      </c>
      <c r="L221" s="35">
        <f>InventoryTY[[#This Row],[Landed Cost]]*InventoryTY[[#This Row],[Inventory Qty]]</f>
        <v>3431522</v>
      </c>
    </row>
    <row r="222" spans="1:12" x14ac:dyDescent="0.25">
      <c r="A222" s="1">
        <v>2026</v>
      </c>
      <c r="B222" s="1">
        <v>1</v>
      </c>
      <c r="C222" s="2">
        <v>46034</v>
      </c>
      <c r="D222" s="1">
        <v>208247</v>
      </c>
      <c r="E222" s="1" t="s">
        <v>50</v>
      </c>
      <c r="F222" s="1" t="s">
        <v>11</v>
      </c>
      <c r="G222" s="1" t="s">
        <v>60</v>
      </c>
      <c r="H222" s="1" t="s">
        <v>43</v>
      </c>
      <c r="I222" s="3">
        <v>5635557</v>
      </c>
      <c r="J222" s="1" t="s">
        <v>15</v>
      </c>
      <c r="K222" s="1">
        <v>1</v>
      </c>
      <c r="L222" s="35">
        <f>InventoryTY[[#This Row],[Landed Cost]]*InventoryTY[[#This Row],[Inventory Qty]]</f>
        <v>5635557</v>
      </c>
    </row>
    <row r="223" spans="1:12" x14ac:dyDescent="0.25">
      <c r="A223" s="1">
        <v>2026</v>
      </c>
      <c r="B223" s="1">
        <v>1</v>
      </c>
      <c r="C223" s="2">
        <v>46034</v>
      </c>
      <c r="D223" s="1">
        <v>208248</v>
      </c>
      <c r="E223" s="1" t="s">
        <v>50</v>
      </c>
      <c r="F223" s="1" t="s">
        <v>11</v>
      </c>
      <c r="G223" s="1" t="s">
        <v>60</v>
      </c>
      <c r="H223" s="1" t="s">
        <v>43</v>
      </c>
      <c r="I223" s="3">
        <v>5635557</v>
      </c>
      <c r="J223" s="1" t="s">
        <v>15</v>
      </c>
      <c r="K223" s="1">
        <v>1</v>
      </c>
      <c r="L223" s="35">
        <f>InventoryTY[[#This Row],[Landed Cost]]*InventoryTY[[#This Row],[Inventory Qty]]</f>
        <v>5635557</v>
      </c>
    </row>
    <row r="224" spans="1:12" x14ac:dyDescent="0.25">
      <c r="A224" s="1">
        <v>2026</v>
      </c>
      <c r="B224" s="1">
        <v>1</v>
      </c>
      <c r="C224" s="2">
        <v>46034</v>
      </c>
      <c r="D224" s="1">
        <v>208250</v>
      </c>
      <c r="E224" s="1" t="s">
        <v>50</v>
      </c>
      <c r="F224" s="1" t="s">
        <v>11</v>
      </c>
      <c r="G224" s="1" t="s">
        <v>60</v>
      </c>
      <c r="H224" s="1" t="s">
        <v>43</v>
      </c>
      <c r="I224" s="3">
        <v>5635557</v>
      </c>
      <c r="J224" s="1" t="s">
        <v>21</v>
      </c>
      <c r="K224" s="1">
        <v>1</v>
      </c>
      <c r="L224" s="35">
        <f>InventoryTY[[#This Row],[Landed Cost]]*InventoryTY[[#This Row],[Inventory Qty]]</f>
        <v>5635557</v>
      </c>
    </row>
    <row r="225" spans="1:12" x14ac:dyDescent="0.25">
      <c r="A225" s="1">
        <v>2026</v>
      </c>
      <c r="B225" s="1">
        <v>1</v>
      </c>
      <c r="C225" s="2">
        <v>46034</v>
      </c>
      <c r="D225" s="1">
        <v>208251</v>
      </c>
      <c r="E225" s="1" t="s">
        <v>50</v>
      </c>
      <c r="F225" s="1" t="s">
        <v>11</v>
      </c>
      <c r="G225" s="1" t="s">
        <v>60</v>
      </c>
      <c r="H225" s="1" t="s">
        <v>43</v>
      </c>
      <c r="I225" s="3">
        <v>5635557</v>
      </c>
      <c r="J225" s="1" t="s">
        <v>17</v>
      </c>
      <c r="K225" s="1">
        <v>1</v>
      </c>
      <c r="L225" s="35">
        <f>InventoryTY[[#This Row],[Landed Cost]]*InventoryTY[[#This Row],[Inventory Qty]]</f>
        <v>5635557</v>
      </c>
    </row>
    <row r="226" spans="1:12" x14ac:dyDescent="0.25">
      <c r="A226" s="1">
        <v>2026</v>
      </c>
      <c r="B226" s="1">
        <v>1</v>
      </c>
      <c r="C226" s="2">
        <v>46034</v>
      </c>
      <c r="D226" s="1">
        <v>208252</v>
      </c>
      <c r="E226" s="1" t="s">
        <v>50</v>
      </c>
      <c r="F226" s="1" t="s">
        <v>11</v>
      </c>
      <c r="G226" s="1" t="s">
        <v>60</v>
      </c>
      <c r="H226" s="1" t="s">
        <v>43</v>
      </c>
      <c r="I226" s="3">
        <v>7227361</v>
      </c>
      <c r="J226" s="1" t="s">
        <v>15</v>
      </c>
      <c r="K226" s="1">
        <v>1</v>
      </c>
      <c r="L226" s="35">
        <f>InventoryTY[[#This Row],[Landed Cost]]*InventoryTY[[#This Row],[Inventory Qty]]</f>
        <v>7227361</v>
      </c>
    </row>
    <row r="227" spans="1:12" x14ac:dyDescent="0.25">
      <c r="A227" s="1">
        <v>2026</v>
      </c>
      <c r="B227" s="1">
        <v>1</v>
      </c>
      <c r="C227" s="2">
        <v>46034</v>
      </c>
      <c r="D227" s="1">
        <v>208253</v>
      </c>
      <c r="E227" s="1" t="s">
        <v>50</v>
      </c>
      <c r="F227" s="1" t="s">
        <v>11</v>
      </c>
      <c r="G227" s="1" t="s">
        <v>60</v>
      </c>
      <c r="H227" s="1" t="s">
        <v>43</v>
      </c>
      <c r="I227" s="3">
        <v>4778432</v>
      </c>
      <c r="J227" s="1" t="s">
        <v>17</v>
      </c>
      <c r="K227" s="1">
        <v>1</v>
      </c>
      <c r="L227" s="35">
        <f>InventoryTY[[#This Row],[Landed Cost]]*InventoryTY[[#This Row],[Inventory Qty]]</f>
        <v>4778432</v>
      </c>
    </row>
    <row r="228" spans="1:12" x14ac:dyDescent="0.25">
      <c r="A228" s="1">
        <v>2026</v>
      </c>
      <c r="B228" s="1">
        <v>1</v>
      </c>
      <c r="C228" s="2">
        <v>46034</v>
      </c>
      <c r="D228" s="1">
        <v>208254</v>
      </c>
      <c r="E228" s="1" t="s">
        <v>50</v>
      </c>
      <c r="F228" s="1" t="s">
        <v>11</v>
      </c>
      <c r="G228" s="1" t="s">
        <v>60</v>
      </c>
      <c r="H228" s="1" t="s">
        <v>43</v>
      </c>
      <c r="I228" s="3">
        <v>4778432</v>
      </c>
      <c r="J228" s="1" t="s">
        <v>15</v>
      </c>
      <c r="K228" s="1">
        <v>1</v>
      </c>
      <c r="L228" s="35">
        <f>InventoryTY[[#This Row],[Landed Cost]]*InventoryTY[[#This Row],[Inventory Qty]]</f>
        <v>4778432</v>
      </c>
    </row>
    <row r="229" spans="1:12" x14ac:dyDescent="0.25">
      <c r="A229" s="1">
        <v>2026</v>
      </c>
      <c r="B229" s="1">
        <v>1</v>
      </c>
      <c r="C229" s="2">
        <v>46034</v>
      </c>
      <c r="D229" s="1">
        <v>208255</v>
      </c>
      <c r="E229" s="1" t="s">
        <v>50</v>
      </c>
      <c r="F229" s="1" t="s">
        <v>11</v>
      </c>
      <c r="G229" s="1" t="s">
        <v>60</v>
      </c>
      <c r="H229" s="1" t="s">
        <v>43</v>
      </c>
      <c r="I229" s="3">
        <v>3798861</v>
      </c>
      <c r="J229" s="1" t="s">
        <v>21</v>
      </c>
      <c r="K229" s="1">
        <v>1</v>
      </c>
      <c r="L229" s="35">
        <f>InventoryTY[[#This Row],[Landed Cost]]*InventoryTY[[#This Row],[Inventory Qty]]</f>
        <v>3798861</v>
      </c>
    </row>
    <row r="230" spans="1:12" x14ac:dyDescent="0.25">
      <c r="A230" s="1">
        <v>2026</v>
      </c>
      <c r="B230" s="1">
        <v>1</v>
      </c>
      <c r="C230" s="2">
        <v>46034</v>
      </c>
      <c r="D230" s="1">
        <v>208256</v>
      </c>
      <c r="E230" s="1" t="s">
        <v>50</v>
      </c>
      <c r="F230" s="1" t="s">
        <v>11</v>
      </c>
      <c r="G230" s="1" t="s">
        <v>60</v>
      </c>
      <c r="H230" s="1" t="s">
        <v>43</v>
      </c>
      <c r="I230" s="3">
        <v>3798861</v>
      </c>
      <c r="J230" s="1" t="s">
        <v>28</v>
      </c>
      <c r="K230" s="1">
        <v>1</v>
      </c>
      <c r="L230" s="35">
        <f>InventoryTY[[#This Row],[Landed Cost]]*InventoryTY[[#This Row],[Inventory Qty]]</f>
        <v>3798861</v>
      </c>
    </row>
    <row r="231" spans="1:12" x14ac:dyDescent="0.25">
      <c r="A231" s="1">
        <v>2026</v>
      </c>
      <c r="B231" s="1">
        <v>1</v>
      </c>
      <c r="C231" s="2">
        <v>46034</v>
      </c>
      <c r="D231" s="1">
        <v>208257</v>
      </c>
      <c r="E231" s="1" t="s">
        <v>50</v>
      </c>
      <c r="F231" s="1" t="s">
        <v>11</v>
      </c>
      <c r="G231" s="1" t="s">
        <v>60</v>
      </c>
      <c r="H231" s="1" t="s">
        <v>43</v>
      </c>
      <c r="I231" s="3">
        <v>3798861</v>
      </c>
      <c r="J231" s="1" t="s">
        <v>17</v>
      </c>
      <c r="K231" s="1">
        <v>1</v>
      </c>
      <c r="L231" s="35">
        <f>InventoryTY[[#This Row],[Landed Cost]]*InventoryTY[[#This Row],[Inventory Qty]]</f>
        <v>3798861</v>
      </c>
    </row>
    <row r="232" spans="1:12" x14ac:dyDescent="0.25">
      <c r="A232" s="1">
        <v>2026</v>
      </c>
      <c r="B232" s="1">
        <v>1</v>
      </c>
      <c r="C232" s="2">
        <v>46034</v>
      </c>
      <c r="D232" s="1">
        <v>208258</v>
      </c>
      <c r="E232" s="1" t="s">
        <v>50</v>
      </c>
      <c r="F232" s="1" t="s">
        <v>11</v>
      </c>
      <c r="G232" s="1" t="s">
        <v>60</v>
      </c>
      <c r="H232" s="1" t="s">
        <v>43</v>
      </c>
      <c r="I232" s="3">
        <v>3798861</v>
      </c>
      <c r="J232" s="1" t="s">
        <v>15</v>
      </c>
      <c r="K232" s="1">
        <v>1</v>
      </c>
      <c r="L232" s="35">
        <f>InventoryTY[[#This Row],[Landed Cost]]*InventoryTY[[#This Row],[Inventory Qty]]</f>
        <v>3798861</v>
      </c>
    </row>
    <row r="233" spans="1:12" x14ac:dyDescent="0.25">
      <c r="A233" s="1">
        <v>2026</v>
      </c>
      <c r="B233" s="1">
        <v>1</v>
      </c>
      <c r="C233" s="2">
        <v>46034</v>
      </c>
      <c r="D233" s="1">
        <v>208262</v>
      </c>
      <c r="E233" s="1" t="s">
        <v>50</v>
      </c>
      <c r="F233" s="1" t="s">
        <v>11</v>
      </c>
      <c r="G233" s="1" t="s">
        <v>60</v>
      </c>
      <c r="H233" s="1" t="s">
        <v>43</v>
      </c>
      <c r="I233" s="3">
        <v>2207055</v>
      </c>
      <c r="J233" s="1" t="s">
        <v>15</v>
      </c>
      <c r="K233" s="1">
        <v>1</v>
      </c>
      <c r="L233" s="35">
        <f>InventoryTY[[#This Row],[Landed Cost]]*InventoryTY[[#This Row],[Inventory Qty]]</f>
        <v>2207055</v>
      </c>
    </row>
    <row r="234" spans="1:12" x14ac:dyDescent="0.25">
      <c r="A234" s="1">
        <v>2026</v>
      </c>
      <c r="B234" s="1">
        <v>1</v>
      </c>
      <c r="C234" s="2">
        <v>46034</v>
      </c>
      <c r="D234" s="1">
        <v>208263</v>
      </c>
      <c r="E234" s="1" t="s">
        <v>50</v>
      </c>
      <c r="F234" s="1" t="s">
        <v>11</v>
      </c>
      <c r="G234" s="1" t="s">
        <v>60</v>
      </c>
      <c r="H234" s="1" t="s">
        <v>43</v>
      </c>
      <c r="I234" s="3">
        <v>3553967</v>
      </c>
      <c r="J234" s="1" t="s">
        <v>15</v>
      </c>
      <c r="K234" s="1">
        <v>1</v>
      </c>
      <c r="L234" s="35">
        <f>InventoryTY[[#This Row],[Landed Cost]]*InventoryTY[[#This Row],[Inventory Qty]]</f>
        <v>3553967</v>
      </c>
    </row>
    <row r="235" spans="1:12" x14ac:dyDescent="0.25">
      <c r="A235" s="1">
        <v>2026</v>
      </c>
      <c r="B235" s="1">
        <v>1</v>
      </c>
      <c r="C235" s="2">
        <v>46034</v>
      </c>
      <c r="D235" s="1">
        <v>208264</v>
      </c>
      <c r="E235" s="1" t="s">
        <v>50</v>
      </c>
      <c r="F235" s="1" t="s">
        <v>11</v>
      </c>
      <c r="G235" s="1" t="s">
        <v>60</v>
      </c>
      <c r="H235" s="1" t="s">
        <v>43</v>
      </c>
      <c r="I235" s="3">
        <v>4043753</v>
      </c>
      <c r="J235" s="1" t="s">
        <v>17</v>
      </c>
      <c r="K235" s="1">
        <v>1</v>
      </c>
      <c r="L235" s="35">
        <f>InventoryTY[[#This Row],[Landed Cost]]*InventoryTY[[#This Row],[Inventory Qty]]</f>
        <v>4043753</v>
      </c>
    </row>
    <row r="236" spans="1:12" x14ac:dyDescent="0.25">
      <c r="A236" s="1">
        <v>2026</v>
      </c>
      <c r="B236" s="1">
        <v>1</v>
      </c>
      <c r="C236" s="2">
        <v>46034</v>
      </c>
      <c r="D236" s="1">
        <v>208266</v>
      </c>
      <c r="E236" s="1" t="s">
        <v>50</v>
      </c>
      <c r="F236" s="1" t="s">
        <v>11</v>
      </c>
      <c r="G236" s="1" t="s">
        <v>60</v>
      </c>
      <c r="H236" s="1" t="s">
        <v>53</v>
      </c>
      <c r="I236" s="3">
        <v>2941735</v>
      </c>
      <c r="J236" s="1" t="s">
        <v>21</v>
      </c>
      <c r="K236" s="1">
        <v>1</v>
      </c>
      <c r="L236" s="35">
        <f>InventoryTY[[#This Row],[Landed Cost]]*InventoryTY[[#This Row],[Inventory Qty]]</f>
        <v>2941735</v>
      </c>
    </row>
    <row r="237" spans="1:12" x14ac:dyDescent="0.25">
      <c r="A237" s="1">
        <v>2026</v>
      </c>
      <c r="B237" s="1">
        <v>1</v>
      </c>
      <c r="C237" s="2">
        <v>46034</v>
      </c>
      <c r="D237" s="1">
        <v>208268</v>
      </c>
      <c r="E237" s="1" t="s">
        <v>50</v>
      </c>
      <c r="F237" s="1" t="s">
        <v>11</v>
      </c>
      <c r="G237" s="1" t="s">
        <v>60</v>
      </c>
      <c r="H237" s="1" t="s">
        <v>53</v>
      </c>
      <c r="I237" s="3">
        <v>3431521</v>
      </c>
      <c r="J237" s="1" t="s">
        <v>17</v>
      </c>
      <c r="K237" s="1">
        <v>1</v>
      </c>
      <c r="L237" s="35">
        <f>InventoryTY[[#This Row],[Landed Cost]]*InventoryTY[[#This Row],[Inventory Qty]]</f>
        <v>3431521</v>
      </c>
    </row>
    <row r="238" spans="1:12" x14ac:dyDescent="0.25">
      <c r="A238" s="1">
        <v>2026</v>
      </c>
      <c r="B238" s="1">
        <v>1</v>
      </c>
      <c r="C238" s="2">
        <v>46034</v>
      </c>
      <c r="D238" s="1">
        <v>208270</v>
      </c>
      <c r="E238" s="1" t="s">
        <v>50</v>
      </c>
      <c r="F238" s="1" t="s">
        <v>11</v>
      </c>
      <c r="G238" s="1" t="s">
        <v>60</v>
      </c>
      <c r="H238" s="1" t="s">
        <v>53</v>
      </c>
      <c r="I238" s="3">
        <v>15308826</v>
      </c>
      <c r="J238" s="1" t="s">
        <v>17</v>
      </c>
      <c r="K238" s="1">
        <v>1</v>
      </c>
      <c r="L238" s="35">
        <f>InventoryTY[[#This Row],[Landed Cost]]*InventoryTY[[#This Row],[Inventory Qty]]</f>
        <v>15308826</v>
      </c>
    </row>
    <row r="239" spans="1:12" x14ac:dyDescent="0.25">
      <c r="A239" s="1">
        <v>2026</v>
      </c>
      <c r="B239" s="1">
        <v>1</v>
      </c>
      <c r="C239" s="2">
        <v>46034</v>
      </c>
      <c r="D239" s="1">
        <v>208271</v>
      </c>
      <c r="E239" s="1" t="s">
        <v>50</v>
      </c>
      <c r="F239" s="1" t="s">
        <v>11</v>
      </c>
      <c r="G239" s="1" t="s">
        <v>60</v>
      </c>
      <c r="H239" s="1" t="s">
        <v>53</v>
      </c>
      <c r="I239" s="3">
        <v>17757758</v>
      </c>
      <c r="J239" s="1" t="s">
        <v>15</v>
      </c>
      <c r="K239" s="1">
        <v>1</v>
      </c>
      <c r="L239" s="35">
        <f>InventoryTY[[#This Row],[Landed Cost]]*InventoryTY[[#This Row],[Inventory Qty]]</f>
        <v>17757758</v>
      </c>
    </row>
    <row r="240" spans="1:12" x14ac:dyDescent="0.25">
      <c r="A240" s="1">
        <v>2026</v>
      </c>
      <c r="B240" s="1">
        <v>1</v>
      </c>
      <c r="C240" s="2">
        <v>46034</v>
      </c>
      <c r="D240" s="1">
        <v>208272</v>
      </c>
      <c r="E240" s="1" t="s">
        <v>50</v>
      </c>
      <c r="F240" s="1" t="s">
        <v>11</v>
      </c>
      <c r="G240" s="1" t="s">
        <v>60</v>
      </c>
      <c r="H240" s="1" t="s">
        <v>37</v>
      </c>
      <c r="I240" s="3">
        <v>5268217</v>
      </c>
      <c r="J240" s="1" t="s">
        <v>28</v>
      </c>
      <c r="K240" s="1">
        <v>1</v>
      </c>
      <c r="L240" s="35">
        <f>InventoryTY[[#This Row],[Landed Cost]]*InventoryTY[[#This Row],[Inventory Qty]]</f>
        <v>5268217</v>
      </c>
    </row>
    <row r="241" spans="1:12" x14ac:dyDescent="0.25">
      <c r="A241" s="1">
        <v>2026</v>
      </c>
      <c r="B241" s="1">
        <v>1</v>
      </c>
      <c r="C241" s="2">
        <v>46034</v>
      </c>
      <c r="D241" s="1">
        <v>208276</v>
      </c>
      <c r="E241" s="1" t="s">
        <v>50</v>
      </c>
      <c r="F241" s="1" t="s">
        <v>11</v>
      </c>
      <c r="G241" s="1" t="s">
        <v>60</v>
      </c>
      <c r="H241" s="1" t="s">
        <v>37</v>
      </c>
      <c r="I241" s="3">
        <v>6615128</v>
      </c>
      <c r="J241" s="1" t="s">
        <v>28</v>
      </c>
      <c r="K241" s="1">
        <v>1</v>
      </c>
      <c r="L241" s="35">
        <f>InventoryTY[[#This Row],[Landed Cost]]*InventoryTY[[#This Row],[Inventory Qty]]</f>
        <v>6615128</v>
      </c>
    </row>
    <row r="242" spans="1:12" x14ac:dyDescent="0.25">
      <c r="A242" s="1">
        <v>2026</v>
      </c>
      <c r="B242" s="1">
        <v>1</v>
      </c>
      <c r="C242" s="2">
        <v>46034</v>
      </c>
      <c r="D242" s="1">
        <v>208278</v>
      </c>
      <c r="E242" s="1" t="s">
        <v>50</v>
      </c>
      <c r="F242" s="1" t="s">
        <v>11</v>
      </c>
      <c r="G242" s="1" t="s">
        <v>60</v>
      </c>
      <c r="H242" s="1" t="s">
        <v>37</v>
      </c>
      <c r="I242" s="3">
        <v>5584464</v>
      </c>
      <c r="J242" s="1" t="s">
        <v>15</v>
      </c>
      <c r="K242" s="1">
        <v>1</v>
      </c>
      <c r="L242" s="35">
        <f>InventoryTY[[#This Row],[Landed Cost]]*InventoryTY[[#This Row],[Inventory Qty]]</f>
        <v>5584464</v>
      </c>
    </row>
    <row r="243" spans="1:12" x14ac:dyDescent="0.25">
      <c r="A243" s="1">
        <v>2026</v>
      </c>
      <c r="B243" s="1">
        <v>1</v>
      </c>
      <c r="C243" s="2">
        <v>46034</v>
      </c>
      <c r="D243" s="1">
        <v>208279</v>
      </c>
      <c r="E243" s="1" t="s">
        <v>50</v>
      </c>
      <c r="F243" s="1" t="s">
        <v>11</v>
      </c>
      <c r="G243" s="1" t="s">
        <v>60</v>
      </c>
      <c r="H243" s="1" t="s">
        <v>37</v>
      </c>
      <c r="I243" s="3">
        <v>2819288</v>
      </c>
      <c r="J243" s="1" t="s">
        <v>21</v>
      </c>
      <c r="K243" s="1">
        <v>1</v>
      </c>
      <c r="L243" s="35">
        <f>InventoryTY[[#This Row],[Landed Cost]]*InventoryTY[[#This Row],[Inventory Qty]]</f>
        <v>2819288</v>
      </c>
    </row>
    <row r="244" spans="1:12" x14ac:dyDescent="0.25">
      <c r="A244" s="1">
        <v>2026</v>
      </c>
      <c r="B244" s="1">
        <v>1</v>
      </c>
      <c r="C244" s="2">
        <v>46034</v>
      </c>
      <c r="D244" s="1">
        <v>208280</v>
      </c>
      <c r="E244" s="1" t="s">
        <v>50</v>
      </c>
      <c r="F244" s="1" t="s">
        <v>11</v>
      </c>
      <c r="G244" s="1" t="s">
        <v>60</v>
      </c>
      <c r="H244" s="1" t="s">
        <v>37</v>
      </c>
      <c r="I244" s="3">
        <v>5758003</v>
      </c>
      <c r="J244" s="1" t="s">
        <v>28</v>
      </c>
      <c r="K244" s="1">
        <v>1</v>
      </c>
      <c r="L244" s="35">
        <f>InventoryTY[[#This Row],[Landed Cost]]*InventoryTY[[#This Row],[Inventory Qty]]</f>
        <v>5758003</v>
      </c>
    </row>
    <row r="245" spans="1:12" x14ac:dyDescent="0.25">
      <c r="A245" s="1">
        <v>2026</v>
      </c>
      <c r="B245" s="1">
        <v>1</v>
      </c>
      <c r="C245" s="2">
        <v>46034</v>
      </c>
      <c r="D245" s="1">
        <v>208284</v>
      </c>
      <c r="E245" s="1" t="s">
        <v>50</v>
      </c>
      <c r="F245" s="1" t="s">
        <v>11</v>
      </c>
      <c r="G245" s="1" t="s">
        <v>60</v>
      </c>
      <c r="H245" s="1" t="s">
        <v>37</v>
      </c>
      <c r="I245" s="3">
        <v>8549782</v>
      </c>
      <c r="J245" s="1" t="s">
        <v>28</v>
      </c>
      <c r="K245" s="1">
        <v>1</v>
      </c>
      <c r="L245" s="35">
        <f>InventoryTY[[#This Row],[Landed Cost]]*InventoryTY[[#This Row],[Inventory Qty]]</f>
        <v>8549782</v>
      </c>
    </row>
    <row r="246" spans="1:12" x14ac:dyDescent="0.25">
      <c r="A246" s="1">
        <v>2026</v>
      </c>
      <c r="B246" s="1">
        <v>1</v>
      </c>
      <c r="C246" s="2">
        <v>46034</v>
      </c>
      <c r="D246" s="1">
        <v>208289</v>
      </c>
      <c r="E246" s="1" t="s">
        <v>50</v>
      </c>
      <c r="F246" s="1" t="s">
        <v>11</v>
      </c>
      <c r="G246" s="1" t="s">
        <v>60</v>
      </c>
      <c r="H246" s="1" t="s">
        <v>37</v>
      </c>
      <c r="I246" s="3">
        <v>7227360</v>
      </c>
      <c r="J246" s="1" t="s">
        <v>21</v>
      </c>
      <c r="K246" s="1">
        <v>1</v>
      </c>
      <c r="L246" s="35">
        <f>InventoryTY[[#This Row],[Landed Cost]]*InventoryTY[[#This Row],[Inventory Qty]]</f>
        <v>7227360</v>
      </c>
    </row>
    <row r="247" spans="1:12" x14ac:dyDescent="0.25">
      <c r="A247" s="1">
        <v>2026</v>
      </c>
      <c r="B247" s="1">
        <v>1</v>
      </c>
      <c r="C247" s="2">
        <v>46034</v>
      </c>
      <c r="D247" s="1">
        <v>208290</v>
      </c>
      <c r="E247" s="1" t="s">
        <v>50</v>
      </c>
      <c r="F247" s="1" t="s">
        <v>11</v>
      </c>
      <c r="G247" s="1" t="s">
        <v>60</v>
      </c>
      <c r="H247" s="1" t="s">
        <v>37</v>
      </c>
      <c r="I247" s="3">
        <v>4411092</v>
      </c>
      <c r="J247" s="1" t="s">
        <v>17</v>
      </c>
      <c r="K247" s="1">
        <v>1</v>
      </c>
      <c r="L247" s="35">
        <f>InventoryTY[[#This Row],[Landed Cost]]*InventoryTY[[#This Row],[Inventory Qty]]</f>
        <v>4411092</v>
      </c>
    </row>
    <row r="248" spans="1:12" x14ac:dyDescent="0.25">
      <c r="A248" s="1">
        <v>2026</v>
      </c>
      <c r="B248" s="1">
        <v>1</v>
      </c>
      <c r="C248" s="2">
        <v>46034</v>
      </c>
      <c r="D248" s="1">
        <v>208295</v>
      </c>
      <c r="E248" s="1" t="s">
        <v>50</v>
      </c>
      <c r="F248" s="1" t="s">
        <v>11</v>
      </c>
      <c r="G248" s="1" t="s">
        <v>60</v>
      </c>
      <c r="H248" s="1" t="s">
        <v>37</v>
      </c>
      <c r="I248" s="3">
        <v>3651924</v>
      </c>
      <c r="J248" s="1" t="s">
        <v>17</v>
      </c>
      <c r="K248" s="1">
        <v>1</v>
      </c>
      <c r="L248" s="35">
        <f>InventoryTY[[#This Row],[Landed Cost]]*InventoryTY[[#This Row],[Inventory Qty]]</f>
        <v>3651924</v>
      </c>
    </row>
    <row r="249" spans="1:12" x14ac:dyDescent="0.25">
      <c r="A249" s="1">
        <v>2026</v>
      </c>
      <c r="B249" s="1">
        <v>1</v>
      </c>
      <c r="C249" s="2">
        <v>46034</v>
      </c>
      <c r="D249" s="1">
        <v>208297</v>
      </c>
      <c r="E249" s="1" t="s">
        <v>50</v>
      </c>
      <c r="F249" s="1" t="s">
        <v>11</v>
      </c>
      <c r="G249" s="1" t="s">
        <v>60</v>
      </c>
      <c r="H249" s="1" t="s">
        <v>37</v>
      </c>
      <c r="I249" s="3">
        <v>4411092</v>
      </c>
      <c r="J249" s="1" t="s">
        <v>21</v>
      </c>
      <c r="K249" s="1">
        <v>1</v>
      </c>
      <c r="L249" s="35">
        <f>InventoryTY[[#This Row],[Landed Cost]]*InventoryTY[[#This Row],[Inventory Qty]]</f>
        <v>4411092</v>
      </c>
    </row>
    <row r="250" spans="1:12" x14ac:dyDescent="0.25">
      <c r="A250" s="1">
        <v>2026</v>
      </c>
      <c r="B250" s="1">
        <v>1</v>
      </c>
      <c r="C250" s="2">
        <v>46034</v>
      </c>
      <c r="D250" s="1">
        <v>208298</v>
      </c>
      <c r="E250" s="1" t="s">
        <v>50</v>
      </c>
      <c r="F250" s="1" t="s">
        <v>11</v>
      </c>
      <c r="G250" s="1" t="s">
        <v>60</v>
      </c>
      <c r="H250" s="1" t="s">
        <v>37</v>
      </c>
      <c r="I250" s="3">
        <v>3651924</v>
      </c>
      <c r="J250" s="1" t="s">
        <v>28</v>
      </c>
      <c r="K250" s="1">
        <v>1</v>
      </c>
      <c r="L250" s="35">
        <f>InventoryTY[[#This Row],[Landed Cost]]*InventoryTY[[#This Row],[Inventory Qty]]</f>
        <v>3651924</v>
      </c>
    </row>
    <row r="251" spans="1:12" x14ac:dyDescent="0.25">
      <c r="A251" s="1">
        <v>2026</v>
      </c>
      <c r="B251" s="1">
        <v>1</v>
      </c>
      <c r="C251" s="2">
        <v>46034</v>
      </c>
      <c r="D251" s="1">
        <v>208300</v>
      </c>
      <c r="E251" s="1" t="s">
        <v>50</v>
      </c>
      <c r="F251" s="1" t="s">
        <v>11</v>
      </c>
      <c r="G251" s="1" t="s">
        <v>60</v>
      </c>
      <c r="H251" s="1" t="s">
        <v>37</v>
      </c>
      <c r="I251" s="3">
        <v>5023324</v>
      </c>
      <c r="J251" s="1" t="s">
        <v>15</v>
      </c>
      <c r="K251" s="1">
        <v>1</v>
      </c>
      <c r="L251" s="35">
        <f>InventoryTY[[#This Row],[Landed Cost]]*InventoryTY[[#This Row],[Inventory Qty]]</f>
        <v>5023324</v>
      </c>
    </row>
    <row r="252" spans="1:12" x14ac:dyDescent="0.25">
      <c r="A252" s="1">
        <v>2026</v>
      </c>
      <c r="B252" s="1">
        <v>1</v>
      </c>
      <c r="C252" s="2">
        <v>46034</v>
      </c>
      <c r="D252" s="1">
        <v>208301</v>
      </c>
      <c r="E252" s="1" t="s">
        <v>50</v>
      </c>
      <c r="F252" s="1" t="s">
        <v>11</v>
      </c>
      <c r="G252" s="1" t="s">
        <v>60</v>
      </c>
      <c r="H252" s="1" t="s">
        <v>37</v>
      </c>
      <c r="I252" s="3">
        <v>3651924</v>
      </c>
      <c r="J252" s="1" t="s">
        <v>17</v>
      </c>
      <c r="K252" s="1">
        <v>1</v>
      </c>
      <c r="L252" s="35">
        <f>InventoryTY[[#This Row],[Landed Cost]]*InventoryTY[[#This Row],[Inventory Qty]]</f>
        <v>3651924</v>
      </c>
    </row>
    <row r="253" spans="1:12" x14ac:dyDescent="0.25">
      <c r="A253" s="1">
        <v>2026</v>
      </c>
      <c r="B253" s="1">
        <v>1</v>
      </c>
      <c r="C253" s="2">
        <v>46034</v>
      </c>
      <c r="D253" s="1">
        <v>208304</v>
      </c>
      <c r="E253" s="1" t="s">
        <v>50</v>
      </c>
      <c r="F253" s="1" t="s">
        <v>11</v>
      </c>
      <c r="G253" s="1" t="s">
        <v>60</v>
      </c>
      <c r="H253" s="1" t="s">
        <v>37</v>
      </c>
      <c r="I253" s="3">
        <v>8549782</v>
      </c>
      <c r="J253" s="1" t="s">
        <v>15</v>
      </c>
      <c r="K253" s="1">
        <v>1</v>
      </c>
      <c r="L253" s="35">
        <f>InventoryTY[[#This Row],[Landed Cost]]*InventoryTY[[#This Row],[Inventory Qty]]</f>
        <v>8549782</v>
      </c>
    </row>
    <row r="254" spans="1:12" x14ac:dyDescent="0.25">
      <c r="A254" s="1">
        <v>2026</v>
      </c>
      <c r="B254" s="1">
        <v>1</v>
      </c>
      <c r="C254" s="2">
        <v>46034</v>
      </c>
      <c r="D254" s="1">
        <v>208305</v>
      </c>
      <c r="E254" s="1" t="s">
        <v>50</v>
      </c>
      <c r="F254" s="1" t="s">
        <v>11</v>
      </c>
      <c r="G254" s="1" t="s">
        <v>60</v>
      </c>
      <c r="H254" s="1" t="s">
        <v>37</v>
      </c>
      <c r="I254" s="3">
        <v>8549782</v>
      </c>
      <c r="J254" s="1" t="s">
        <v>28</v>
      </c>
      <c r="K254" s="1">
        <v>1</v>
      </c>
      <c r="L254" s="35">
        <f>InventoryTY[[#This Row],[Landed Cost]]*InventoryTY[[#This Row],[Inventory Qty]]</f>
        <v>8549782</v>
      </c>
    </row>
    <row r="255" spans="1:12" x14ac:dyDescent="0.25">
      <c r="A255" s="1">
        <v>2026</v>
      </c>
      <c r="B255" s="1">
        <v>1</v>
      </c>
      <c r="C255" s="2">
        <v>46034</v>
      </c>
      <c r="D255" s="1">
        <v>208308</v>
      </c>
      <c r="E255" s="1" t="s">
        <v>50</v>
      </c>
      <c r="F255" s="1" t="s">
        <v>11</v>
      </c>
      <c r="G255" s="1" t="s">
        <v>60</v>
      </c>
      <c r="H255" s="1" t="s">
        <v>37</v>
      </c>
      <c r="I255" s="3">
        <v>3064181</v>
      </c>
      <c r="J255" s="1" t="s">
        <v>21</v>
      </c>
      <c r="K255" s="1">
        <v>1</v>
      </c>
      <c r="L255" s="35">
        <f>InventoryTY[[#This Row],[Landed Cost]]*InventoryTY[[#This Row],[Inventory Qty]]</f>
        <v>3064181</v>
      </c>
    </row>
    <row r="256" spans="1:12" x14ac:dyDescent="0.25">
      <c r="A256" s="1">
        <v>2026</v>
      </c>
      <c r="B256" s="1">
        <v>1</v>
      </c>
      <c r="C256" s="2">
        <v>46034</v>
      </c>
      <c r="D256" s="1">
        <v>208310</v>
      </c>
      <c r="E256" s="1" t="s">
        <v>50</v>
      </c>
      <c r="F256" s="1" t="s">
        <v>11</v>
      </c>
      <c r="G256" s="1" t="s">
        <v>60</v>
      </c>
      <c r="H256" s="1" t="s">
        <v>37</v>
      </c>
      <c r="I256" s="3">
        <v>3064181</v>
      </c>
      <c r="J256" s="1" t="s">
        <v>21</v>
      </c>
      <c r="K256" s="1">
        <v>1</v>
      </c>
      <c r="L256" s="35">
        <f>InventoryTY[[#This Row],[Landed Cost]]*InventoryTY[[#This Row],[Inventory Qty]]</f>
        <v>3064181</v>
      </c>
    </row>
    <row r="257" spans="1:12" x14ac:dyDescent="0.25">
      <c r="A257" s="1">
        <v>2026</v>
      </c>
      <c r="B257" s="1">
        <v>1</v>
      </c>
      <c r="C257" s="2">
        <v>46034</v>
      </c>
      <c r="D257" s="1">
        <v>208311</v>
      </c>
      <c r="E257" s="1" t="s">
        <v>50</v>
      </c>
      <c r="F257" s="1" t="s">
        <v>11</v>
      </c>
      <c r="G257" s="1" t="s">
        <v>60</v>
      </c>
      <c r="H257" s="1" t="s">
        <v>37</v>
      </c>
      <c r="I257" s="3">
        <v>3064181</v>
      </c>
      <c r="J257" s="1" t="s">
        <v>17</v>
      </c>
      <c r="K257" s="1">
        <v>1</v>
      </c>
      <c r="L257" s="35">
        <f>InventoryTY[[#This Row],[Landed Cost]]*InventoryTY[[#This Row],[Inventory Qty]]</f>
        <v>3064181</v>
      </c>
    </row>
    <row r="258" spans="1:12" x14ac:dyDescent="0.25">
      <c r="A258" s="1">
        <v>2026</v>
      </c>
      <c r="B258" s="1">
        <v>1</v>
      </c>
      <c r="C258" s="2">
        <v>46034</v>
      </c>
      <c r="D258" s="1">
        <v>208313</v>
      </c>
      <c r="E258" s="1" t="s">
        <v>50</v>
      </c>
      <c r="F258" s="1" t="s">
        <v>11</v>
      </c>
      <c r="G258" s="1" t="s">
        <v>60</v>
      </c>
      <c r="H258" s="1" t="s">
        <v>37</v>
      </c>
      <c r="I258" s="3">
        <v>3651924</v>
      </c>
      <c r="J258" s="1" t="s">
        <v>21</v>
      </c>
      <c r="K258" s="1">
        <v>1</v>
      </c>
      <c r="L258" s="35">
        <f>InventoryTY[[#This Row],[Landed Cost]]*InventoryTY[[#This Row],[Inventory Qty]]</f>
        <v>3651924</v>
      </c>
    </row>
    <row r="259" spans="1:12" x14ac:dyDescent="0.25">
      <c r="A259" s="1">
        <v>2026</v>
      </c>
      <c r="B259" s="1">
        <v>1</v>
      </c>
      <c r="C259" s="2">
        <v>46034</v>
      </c>
      <c r="D259" s="1">
        <v>208315</v>
      </c>
      <c r="E259" s="1" t="s">
        <v>50</v>
      </c>
      <c r="F259" s="1" t="s">
        <v>11</v>
      </c>
      <c r="G259" s="1" t="s">
        <v>60</v>
      </c>
      <c r="H259" s="1" t="s">
        <v>37</v>
      </c>
      <c r="I259" s="3">
        <v>3651924</v>
      </c>
      <c r="J259" s="1" t="s">
        <v>15</v>
      </c>
      <c r="K259" s="1">
        <v>1</v>
      </c>
      <c r="L259" s="35">
        <f>InventoryTY[[#This Row],[Landed Cost]]*InventoryTY[[#This Row],[Inventory Qty]]</f>
        <v>3651924</v>
      </c>
    </row>
    <row r="260" spans="1:12" x14ac:dyDescent="0.25">
      <c r="A260" s="1">
        <v>2026</v>
      </c>
      <c r="B260" s="1">
        <v>1</v>
      </c>
      <c r="C260" s="2">
        <v>46034</v>
      </c>
      <c r="D260" s="1">
        <v>208319</v>
      </c>
      <c r="E260" s="1" t="s">
        <v>50</v>
      </c>
      <c r="F260" s="1" t="s">
        <v>11</v>
      </c>
      <c r="G260" s="1" t="s">
        <v>60</v>
      </c>
      <c r="H260" s="1" t="s">
        <v>34</v>
      </c>
      <c r="I260" s="3">
        <v>3431521</v>
      </c>
      <c r="J260" s="1" t="s">
        <v>15</v>
      </c>
      <c r="K260" s="1">
        <v>1</v>
      </c>
      <c r="L260" s="35">
        <f>InventoryTY[[#This Row],[Landed Cost]]*InventoryTY[[#This Row],[Inventory Qty]]</f>
        <v>3431521</v>
      </c>
    </row>
    <row r="261" spans="1:12" x14ac:dyDescent="0.25">
      <c r="A261" s="1">
        <v>2026</v>
      </c>
      <c r="B261" s="1">
        <v>1</v>
      </c>
      <c r="C261" s="2">
        <v>46034</v>
      </c>
      <c r="D261" s="1">
        <v>208320</v>
      </c>
      <c r="E261" s="1" t="s">
        <v>50</v>
      </c>
      <c r="F261" s="1" t="s">
        <v>11</v>
      </c>
      <c r="G261" s="1" t="s">
        <v>60</v>
      </c>
      <c r="H261" s="1" t="s">
        <v>34</v>
      </c>
      <c r="I261" s="3">
        <v>6860021</v>
      </c>
      <c r="J261" s="1" t="s">
        <v>15</v>
      </c>
      <c r="K261" s="1">
        <v>1</v>
      </c>
      <c r="L261" s="35">
        <f>InventoryTY[[#This Row],[Landed Cost]]*InventoryTY[[#This Row],[Inventory Qty]]</f>
        <v>6860021</v>
      </c>
    </row>
    <row r="262" spans="1:12" x14ac:dyDescent="0.25">
      <c r="A262" s="1">
        <v>2026</v>
      </c>
      <c r="B262" s="1">
        <v>1</v>
      </c>
      <c r="C262" s="2">
        <v>46034</v>
      </c>
      <c r="D262" s="1">
        <v>208321</v>
      </c>
      <c r="E262" s="1" t="s">
        <v>50</v>
      </c>
      <c r="F262" s="1" t="s">
        <v>11</v>
      </c>
      <c r="G262" s="1" t="s">
        <v>60</v>
      </c>
      <c r="H262" s="1" t="s">
        <v>34</v>
      </c>
      <c r="I262" s="3">
        <v>2941735</v>
      </c>
      <c r="J262" s="1" t="s">
        <v>28</v>
      </c>
      <c r="K262" s="1">
        <v>1</v>
      </c>
      <c r="L262" s="35">
        <f>InventoryTY[[#This Row],[Landed Cost]]*InventoryTY[[#This Row],[Inventory Qty]]</f>
        <v>2941735</v>
      </c>
    </row>
    <row r="263" spans="1:12" x14ac:dyDescent="0.25">
      <c r="A263" s="1">
        <v>2026</v>
      </c>
      <c r="B263" s="1">
        <v>1</v>
      </c>
      <c r="C263" s="2">
        <v>46034</v>
      </c>
      <c r="D263" s="1">
        <v>208325</v>
      </c>
      <c r="E263" s="1" t="s">
        <v>50</v>
      </c>
      <c r="F263" s="1" t="s">
        <v>11</v>
      </c>
      <c r="G263" s="1" t="s">
        <v>60</v>
      </c>
      <c r="H263" s="1" t="s">
        <v>34</v>
      </c>
      <c r="I263" s="3">
        <v>3676413</v>
      </c>
      <c r="J263" s="1" t="s">
        <v>28</v>
      </c>
      <c r="K263" s="1">
        <v>1</v>
      </c>
      <c r="L263" s="35">
        <f>InventoryTY[[#This Row],[Landed Cost]]*InventoryTY[[#This Row],[Inventory Qty]]</f>
        <v>3676413</v>
      </c>
    </row>
    <row r="264" spans="1:12" x14ac:dyDescent="0.25">
      <c r="A264" s="1">
        <v>2026</v>
      </c>
      <c r="B264" s="1">
        <v>1</v>
      </c>
      <c r="C264" s="2">
        <v>46034</v>
      </c>
      <c r="D264" s="1">
        <v>208328</v>
      </c>
      <c r="E264" s="1" t="s">
        <v>50</v>
      </c>
      <c r="F264" s="1" t="s">
        <v>11</v>
      </c>
      <c r="G264" s="1" t="s">
        <v>60</v>
      </c>
      <c r="H264" s="1" t="s">
        <v>34</v>
      </c>
      <c r="I264" s="3">
        <v>3309074</v>
      </c>
      <c r="J264" s="1" t="s">
        <v>21</v>
      </c>
      <c r="K264" s="1">
        <v>1</v>
      </c>
      <c r="L264" s="35">
        <f>InventoryTY[[#This Row],[Landed Cost]]*InventoryTY[[#This Row],[Inventory Qty]]</f>
        <v>3309074</v>
      </c>
    </row>
    <row r="265" spans="1:12" x14ac:dyDescent="0.25">
      <c r="A265" s="1">
        <v>2026</v>
      </c>
      <c r="B265" s="1">
        <v>1</v>
      </c>
      <c r="C265" s="2">
        <v>46034</v>
      </c>
      <c r="D265" s="1">
        <v>208331</v>
      </c>
      <c r="E265" s="1" t="s">
        <v>50</v>
      </c>
      <c r="F265" s="1" t="s">
        <v>11</v>
      </c>
      <c r="G265" s="1" t="s">
        <v>60</v>
      </c>
      <c r="H265" s="1" t="s">
        <v>34</v>
      </c>
      <c r="I265" s="3">
        <v>5145772</v>
      </c>
      <c r="J265" s="1" t="s">
        <v>15</v>
      </c>
      <c r="K265" s="1">
        <v>1</v>
      </c>
      <c r="L265" s="35">
        <f>InventoryTY[[#This Row],[Landed Cost]]*InventoryTY[[#This Row],[Inventory Qty]]</f>
        <v>5145772</v>
      </c>
    </row>
    <row r="266" spans="1:12" x14ac:dyDescent="0.25">
      <c r="A266" s="1">
        <v>2026</v>
      </c>
      <c r="B266" s="1">
        <v>1</v>
      </c>
      <c r="C266" s="2">
        <v>46034</v>
      </c>
      <c r="D266" s="1">
        <v>209283</v>
      </c>
      <c r="E266" s="1" t="s">
        <v>65</v>
      </c>
      <c r="F266" s="1" t="s">
        <v>62</v>
      </c>
      <c r="G266" s="1" t="s">
        <v>63</v>
      </c>
      <c r="H266" s="1" t="s">
        <v>34</v>
      </c>
      <c r="I266" s="3">
        <v>108935436</v>
      </c>
      <c r="J266" s="1" t="s">
        <v>15</v>
      </c>
      <c r="K266" s="1">
        <v>1</v>
      </c>
      <c r="L266" s="35">
        <f>InventoryTY[[#This Row],[Landed Cost]]*InventoryTY[[#This Row],[Inventory Qty]]</f>
        <v>108935436</v>
      </c>
    </row>
    <row r="267" spans="1:12" x14ac:dyDescent="0.25">
      <c r="A267" s="1">
        <v>2026</v>
      </c>
      <c r="B267" s="1">
        <v>1</v>
      </c>
      <c r="C267" s="2">
        <v>46034</v>
      </c>
      <c r="D267" s="1">
        <v>209284</v>
      </c>
      <c r="E267" s="1" t="s">
        <v>65</v>
      </c>
      <c r="F267" s="1" t="s">
        <v>62</v>
      </c>
      <c r="G267" s="1" t="s">
        <v>63</v>
      </c>
      <c r="H267" s="1" t="s">
        <v>34</v>
      </c>
      <c r="I267" s="3">
        <v>129781105</v>
      </c>
      <c r="J267" s="1" t="s">
        <v>17</v>
      </c>
      <c r="K267" s="1">
        <v>1</v>
      </c>
      <c r="L267" s="35">
        <f>InventoryTY[[#This Row],[Landed Cost]]*InventoryTY[[#This Row],[Inventory Qty]]</f>
        <v>129781105</v>
      </c>
    </row>
    <row r="268" spans="1:12" x14ac:dyDescent="0.25">
      <c r="A268" s="1">
        <v>2026</v>
      </c>
      <c r="B268" s="1">
        <v>1</v>
      </c>
      <c r="C268" s="2">
        <v>46034</v>
      </c>
      <c r="D268" s="1">
        <v>209285</v>
      </c>
      <c r="E268" s="1" t="s">
        <v>65</v>
      </c>
      <c r="F268" s="1" t="s">
        <v>62</v>
      </c>
      <c r="G268" s="1" t="s">
        <v>63</v>
      </c>
      <c r="H268" s="1" t="s">
        <v>43</v>
      </c>
      <c r="I268" s="3">
        <v>124401579</v>
      </c>
      <c r="J268" s="1" t="s">
        <v>17</v>
      </c>
      <c r="K268" s="1">
        <v>1</v>
      </c>
      <c r="L268" s="35">
        <f>InventoryTY[[#This Row],[Landed Cost]]*InventoryTY[[#This Row],[Inventory Qty]]</f>
        <v>124401579</v>
      </c>
    </row>
    <row r="269" spans="1:12" x14ac:dyDescent="0.25">
      <c r="A269" s="1">
        <v>2026</v>
      </c>
      <c r="B269" s="1">
        <v>1</v>
      </c>
      <c r="C269" s="2">
        <v>46034</v>
      </c>
      <c r="D269" s="1">
        <v>209286</v>
      </c>
      <c r="E269" s="1" t="s">
        <v>65</v>
      </c>
      <c r="F269" s="1" t="s">
        <v>62</v>
      </c>
      <c r="G269" s="1" t="s">
        <v>63</v>
      </c>
      <c r="H269" s="1" t="s">
        <v>43</v>
      </c>
      <c r="I269" s="3">
        <v>32949607</v>
      </c>
      <c r="J269" s="1" t="s">
        <v>17</v>
      </c>
      <c r="K269" s="1">
        <v>1</v>
      </c>
      <c r="L269" s="35">
        <f>InventoryTY[[#This Row],[Landed Cost]]*InventoryTY[[#This Row],[Inventory Qty]]</f>
        <v>32949607</v>
      </c>
    </row>
    <row r="270" spans="1:12" x14ac:dyDescent="0.25">
      <c r="A270" s="1">
        <v>2026</v>
      </c>
      <c r="B270" s="1">
        <v>1</v>
      </c>
      <c r="C270" s="2">
        <v>46034</v>
      </c>
      <c r="D270" s="1">
        <v>209287</v>
      </c>
      <c r="E270" s="1" t="s">
        <v>65</v>
      </c>
      <c r="F270" s="1" t="s">
        <v>62</v>
      </c>
      <c r="G270" s="1" t="s">
        <v>63</v>
      </c>
      <c r="H270" s="1" t="s">
        <v>43</v>
      </c>
      <c r="I270" s="3">
        <v>32949607</v>
      </c>
      <c r="J270" s="1" t="s">
        <v>15</v>
      </c>
      <c r="K270" s="1">
        <v>1</v>
      </c>
      <c r="L270" s="35">
        <f>InventoryTY[[#This Row],[Landed Cost]]*InventoryTY[[#This Row],[Inventory Qty]]</f>
        <v>32949607</v>
      </c>
    </row>
    <row r="271" spans="1:12" x14ac:dyDescent="0.25">
      <c r="A271" s="1">
        <v>2026</v>
      </c>
      <c r="B271" s="1">
        <v>1</v>
      </c>
      <c r="C271" s="2">
        <v>46034</v>
      </c>
      <c r="D271" s="1">
        <v>209288</v>
      </c>
      <c r="E271" s="1" t="s">
        <v>65</v>
      </c>
      <c r="F271" s="1" t="s">
        <v>62</v>
      </c>
      <c r="G271" s="1" t="s">
        <v>63</v>
      </c>
      <c r="H271" s="1" t="s">
        <v>43</v>
      </c>
      <c r="I271" s="3">
        <v>32949607</v>
      </c>
      <c r="J271" s="1" t="s">
        <v>17</v>
      </c>
      <c r="K271" s="1">
        <v>1</v>
      </c>
      <c r="L271" s="35">
        <f>InventoryTY[[#This Row],[Landed Cost]]*InventoryTY[[#This Row],[Inventory Qty]]</f>
        <v>32949607</v>
      </c>
    </row>
    <row r="272" spans="1:12" x14ac:dyDescent="0.25">
      <c r="A272" s="1">
        <v>2026</v>
      </c>
      <c r="B272" s="1">
        <v>1</v>
      </c>
      <c r="C272" s="2">
        <v>46034</v>
      </c>
      <c r="D272" s="1">
        <v>209290</v>
      </c>
      <c r="E272" s="1" t="s">
        <v>65</v>
      </c>
      <c r="F272" s="1" t="s">
        <v>62</v>
      </c>
      <c r="G272" s="1" t="s">
        <v>63</v>
      </c>
      <c r="H272" s="1" t="s">
        <v>43</v>
      </c>
      <c r="I272" s="3">
        <v>49088190</v>
      </c>
      <c r="J272" s="1" t="s">
        <v>17</v>
      </c>
      <c r="K272" s="1">
        <v>1</v>
      </c>
      <c r="L272" s="35">
        <f>InventoryTY[[#This Row],[Landed Cost]]*InventoryTY[[#This Row],[Inventory Qty]]</f>
        <v>49088190</v>
      </c>
    </row>
    <row r="273" spans="1:12" x14ac:dyDescent="0.25">
      <c r="A273" s="1">
        <v>2026</v>
      </c>
      <c r="B273" s="1">
        <v>1</v>
      </c>
      <c r="C273" s="2">
        <v>46034</v>
      </c>
      <c r="D273" s="1">
        <v>209295</v>
      </c>
      <c r="E273" s="1" t="s">
        <v>65</v>
      </c>
      <c r="F273" s="1" t="s">
        <v>62</v>
      </c>
      <c r="G273" s="1" t="s">
        <v>63</v>
      </c>
      <c r="H273" s="1" t="s">
        <v>34</v>
      </c>
      <c r="I273" s="3">
        <v>100866145</v>
      </c>
      <c r="J273" s="1" t="s">
        <v>17</v>
      </c>
      <c r="K273" s="1">
        <v>1</v>
      </c>
      <c r="L273" s="35">
        <f>InventoryTY[[#This Row],[Landed Cost]]*InventoryTY[[#This Row],[Inventory Qty]]</f>
        <v>100866145</v>
      </c>
    </row>
    <row r="274" spans="1:12" x14ac:dyDescent="0.25">
      <c r="A274" s="1">
        <v>2026</v>
      </c>
      <c r="B274" s="1">
        <v>1</v>
      </c>
      <c r="C274" s="2">
        <v>46034</v>
      </c>
      <c r="D274" s="1">
        <v>209297</v>
      </c>
      <c r="E274" s="1" t="s">
        <v>65</v>
      </c>
      <c r="F274" s="1" t="s">
        <v>62</v>
      </c>
      <c r="G274" s="1" t="s">
        <v>63</v>
      </c>
      <c r="H274" s="1" t="s">
        <v>43</v>
      </c>
      <c r="I274" s="3">
        <v>49088190</v>
      </c>
      <c r="J274" s="1" t="s">
        <v>17</v>
      </c>
      <c r="K274" s="1">
        <v>1</v>
      </c>
      <c r="L274" s="35">
        <f>InventoryTY[[#This Row],[Landed Cost]]*InventoryTY[[#This Row],[Inventory Qty]]</f>
        <v>49088190</v>
      </c>
    </row>
    <row r="275" spans="1:12" x14ac:dyDescent="0.25">
      <c r="A275" s="1">
        <v>2026</v>
      </c>
      <c r="B275" s="1">
        <v>1</v>
      </c>
      <c r="C275" s="2">
        <v>46034</v>
      </c>
      <c r="D275" s="1">
        <v>209298</v>
      </c>
      <c r="E275" s="1" t="s">
        <v>65</v>
      </c>
      <c r="F275" s="1" t="s">
        <v>62</v>
      </c>
      <c r="G275" s="1" t="s">
        <v>63</v>
      </c>
      <c r="H275" s="1" t="s">
        <v>43</v>
      </c>
      <c r="I275" s="3">
        <v>49088190</v>
      </c>
      <c r="J275" s="1" t="s">
        <v>17</v>
      </c>
      <c r="K275" s="1">
        <v>1</v>
      </c>
      <c r="L275" s="35">
        <f>InventoryTY[[#This Row],[Landed Cost]]*InventoryTY[[#This Row],[Inventory Qty]]</f>
        <v>49088190</v>
      </c>
    </row>
    <row r="276" spans="1:12" x14ac:dyDescent="0.25">
      <c r="A276" s="1">
        <v>2026</v>
      </c>
      <c r="B276" s="1">
        <v>1</v>
      </c>
      <c r="C276" s="2">
        <v>46034</v>
      </c>
      <c r="D276" s="1">
        <v>209299</v>
      </c>
      <c r="E276" s="1" t="s">
        <v>65</v>
      </c>
      <c r="F276" s="1" t="s">
        <v>62</v>
      </c>
      <c r="G276" s="1" t="s">
        <v>63</v>
      </c>
      <c r="H276" s="1" t="s">
        <v>43</v>
      </c>
      <c r="I276" s="3">
        <v>49088190</v>
      </c>
      <c r="J276" s="1" t="s">
        <v>15</v>
      </c>
      <c r="K276" s="1">
        <v>1</v>
      </c>
      <c r="L276" s="35">
        <f>InventoryTY[[#This Row],[Landed Cost]]*InventoryTY[[#This Row],[Inventory Qty]]</f>
        <v>49088190</v>
      </c>
    </row>
    <row r="277" spans="1:12" x14ac:dyDescent="0.25">
      <c r="A277" s="1">
        <v>2026</v>
      </c>
      <c r="B277" s="1">
        <v>1</v>
      </c>
      <c r="C277" s="2">
        <v>46034</v>
      </c>
      <c r="D277" s="1">
        <v>209300</v>
      </c>
      <c r="E277" s="1" t="s">
        <v>65</v>
      </c>
      <c r="F277" s="1" t="s">
        <v>62</v>
      </c>
      <c r="G277" s="1" t="s">
        <v>63</v>
      </c>
      <c r="H277" s="1" t="s">
        <v>43</v>
      </c>
      <c r="I277" s="3">
        <v>57829923</v>
      </c>
      <c r="J277" s="1" t="s">
        <v>15</v>
      </c>
      <c r="K277" s="1">
        <v>1</v>
      </c>
      <c r="L277" s="35">
        <f>InventoryTY[[#This Row],[Landed Cost]]*InventoryTY[[#This Row],[Inventory Qty]]</f>
        <v>57829923</v>
      </c>
    </row>
    <row r="278" spans="1:12" x14ac:dyDescent="0.25">
      <c r="A278" s="1">
        <v>2026</v>
      </c>
      <c r="B278" s="1">
        <v>1</v>
      </c>
      <c r="C278" s="2">
        <v>46034</v>
      </c>
      <c r="D278" s="1">
        <v>209301</v>
      </c>
      <c r="E278" s="1" t="s">
        <v>65</v>
      </c>
      <c r="F278" s="1" t="s">
        <v>62</v>
      </c>
      <c r="G278" s="1" t="s">
        <v>63</v>
      </c>
      <c r="H278" s="1" t="s">
        <v>43</v>
      </c>
      <c r="I278" s="3">
        <v>57829923</v>
      </c>
      <c r="J278" s="1" t="s">
        <v>17</v>
      </c>
      <c r="K278" s="1">
        <v>1</v>
      </c>
      <c r="L278" s="35">
        <f>InventoryTY[[#This Row],[Landed Cost]]*InventoryTY[[#This Row],[Inventory Qty]]</f>
        <v>57829923</v>
      </c>
    </row>
    <row r="279" spans="1:12" x14ac:dyDescent="0.25">
      <c r="A279" s="1">
        <v>2026</v>
      </c>
      <c r="B279" s="1">
        <v>1</v>
      </c>
      <c r="C279" s="2">
        <v>46034</v>
      </c>
      <c r="D279" s="1">
        <v>209309</v>
      </c>
      <c r="E279" s="1" t="s">
        <v>65</v>
      </c>
      <c r="F279" s="1" t="s">
        <v>62</v>
      </c>
      <c r="G279" s="1" t="s">
        <v>63</v>
      </c>
      <c r="H279" s="1" t="s">
        <v>43</v>
      </c>
      <c r="I279" s="3">
        <v>65899215</v>
      </c>
      <c r="J279" s="1" t="s">
        <v>15</v>
      </c>
      <c r="K279" s="1">
        <v>1</v>
      </c>
      <c r="L279" s="35">
        <f>InventoryTY[[#This Row],[Landed Cost]]*InventoryTY[[#This Row],[Inventory Qty]]</f>
        <v>65899215</v>
      </c>
    </row>
    <row r="280" spans="1:12" x14ac:dyDescent="0.25">
      <c r="A280" s="1">
        <v>2026</v>
      </c>
      <c r="B280" s="1">
        <v>1</v>
      </c>
      <c r="C280" s="2">
        <v>46034</v>
      </c>
      <c r="D280" s="1">
        <v>209315</v>
      </c>
      <c r="E280" s="1" t="s">
        <v>65</v>
      </c>
      <c r="F280" s="1" t="s">
        <v>62</v>
      </c>
      <c r="G280" s="1" t="s">
        <v>63</v>
      </c>
      <c r="H280" s="1" t="s">
        <v>43</v>
      </c>
      <c r="I280" s="3">
        <v>76658270</v>
      </c>
      <c r="J280" s="1" t="s">
        <v>17</v>
      </c>
      <c r="K280" s="1">
        <v>1</v>
      </c>
      <c r="L280" s="35">
        <f>InventoryTY[[#This Row],[Landed Cost]]*InventoryTY[[#This Row],[Inventory Qty]]</f>
        <v>76658270</v>
      </c>
    </row>
    <row r="281" spans="1:12" x14ac:dyDescent="0.25">
      <c r="A281" s="1">
        <v>2026</v>
      </c>
      <c r="B281" s="1">
        <v>1</v>
      </c>
      <c r="C281" s="2">
        <v>46034</v>
      </c>
      <c r="D281" s="1">
        <v>209318</v>
      </c>
      <c r="E281" s="1" t="s">
        <v>65</v>
      </c>
      <c r="F281" s="1" t="s">
        <v>62</v>
      </c>
      <c r="G281" s="1" t="s">
        <v>63</v>
      </c>
      <c r="H281" s="1" t="s">
        <v>43</v>
      </c>
      <c r="I281" s="3">
        <v>60519686</v>
      </c>
      <c r="J281" s="1" t="s">
        <v>15</v>
      </c>
      <c r="K281" s="1">
        <v>1</v>
      </c>
      <c r="L281" s="35">
        <f>InventoryTY[[#This Row],[Landed Cost]]*InventoryTY[[#This Row],[Inventory Qty]]</f>
        <v>60519686</v>
      </c>
    </row>
    <row r="282" spans="1:12" x14ac:dyDescent="0.25">
      <c r="A282" s="1">
        <v>2026</v>
      </c>
      <c r="B282" s="1">
        <v>1</v>
      </c>
      <c r="C282" s="2">
        <v>46034</v>
      </c>
      <c r="D282" s="1">
        <v>209319</v>
      </c>
      <c r="E282" s="1" t="s">
        <v>65</v>
      </c>
      <c r="F282" s="1" t="s">
        <v>62</v>
      </c>
      <c r="G282" s="1" t="s">
        <v>63</v>
      </c>
      <c r="H282" s="1" t="s">
        <v>43</v>
      </c>
      <c r="I282" s="3">
        <v>60519686</v>
      </c>
      <c r="J282" s="1" t="s">
        <v>17</v>
      </c>
      <c r="K282" s="1">
        <v>1</v>
      </c>
      <c r="L282" s="35">
        <f>InventoryTY[[#This Row],[Landed Cost]]*InventoryTY[[#This Row],[Inventory Qty]]</f>
        <v>60519686</v>
      </c>
    </row>
    <row r="283" spans="1:12" x14ac:dyDescent="0.25">
      <c r="A283" s="1">
        <v>2026</v>
      </c>
      <c r="B283" s="1">
        <v>1</v>
      </c>
      <c r="C283" s="2">
        <v>46034</v>
      </c>
      <c r="D283" s="1">
        <v>209325</v>
      </c>
      <c r="E283" s="1" t="s">
        <v>65</v>
      </c>
      <c r="F283" s="1" t="s">
        <v>62</v>
      </c>
      <c r="G283" s="1" t="s">
        <v>63</v>
      </c>
      <c r="H283" s="1" t="s">
        <v>37</v>
      </c>
      <c r="I283" s="3">
        <v>149954336</v>
      </c>
      <c r="J283" s="1" t="s">
        <v>17</v>
      </c>
      <c r="K283" s="1">
        <v>1</v>
      </c>
      <c r="L283" s="35">
        <f>InventoryTY[[#This Row],[Landed Cost]]*InventoryTY[[#This Row],[Inventory Qty]]</f>
        <v>149954336</v>
      </c>
    </row>
    <row r="284" spans="1:12" x14ac:dyDescent="0.25">
      <c r="A284" s="1">
        <v>2026</v>
      </c>
      <c r="B284" s="1">
        <v>1</v>
      </c>
      <c r="C284" s="2">
        <v>46034</v>
      </c>
      <c r="D284" s="1">
        <v>209327</v>
      </c>
      <c r="E284" s="1" t="s">
        <v>65</v>
      </c>
      <c r="F284" s="1" t="s">
        <v>62</v>
      </c>
      <c r="G284" s="1" t="s">
        <v>63</v>
      </c>
      <c r="H284" s="1" t="s">
        <v>34</v>
      </c>
      <c r="I284" s="3">
        <v>94141735</v>
      </c>
      <c r="J284" s="1" t="s">
        <v>17</v>
      </c>
      <c r="K284" s="1">
        <v>1</v>
      </c>
      <c r="L284" s="35">
        <f>InventoryTY[[#This Row],[Landed Cost]]*InventoryTY[[#This Row],[Inventory Qty]]</f>
        <v>94141735</v>
      </c>
    </row>
    <row r="285" spans="1:12" x14ac:dyDescent="0.25">
      <c r="A285" s="1">
        <v>2026</v>
      </c>
      <c r="B285" s="1">
        <v>1</v>
      </c>
      <c r="C285" s="2">
        <v>46034</v>
      </c>
      <c r="D285" s="1">
        <v>210746</v>
      </c>
      <c r="E285" s="1" t="s">
        <v>65</v>
      </c>
      <c r="F285" s="1" t="s">
        <v>62</v>
      </c>
      <c r="G285" s="1" t="s">
        <v>66</v>
      </c>
      <c r="H285" s="1" t="s">
        <v>34</v>
      </c>
      <c r="I285" s="3">
        <v>64043455</v>
      </c>
      <c r="J285" s="1" t="s">
        <v>17</v>
      </c>
      <c r="K285" s="1">
        <v>1</v>
      </c>
      <c r="L285" s="35">
        <f>InventoryTY[[#This Row],[Landed Cost]]*InventoryTY[[#This Row],[Inventory Qty]]</f>
        <v>64043455</v>
      </c>
    </row>
    <row r="286" spans="1:12" x14ac:dyDescent="0.25">
      <c r="A286" s="1">
        <v>2026</v>
      </c>
      <c r="B286" s="1">
        <v>1</v>
      </c>
      <c r="C286" s="2">
        <v>46034</v>
      </c>
      <c r="D286" s="1">
        <v>210749</v>
      </c>
      <c r="E286" s="1" t="s">
        <v>65</v>
      </c>
      <c r="F286" s="1" t="s">
        <v>62</v>
      </c>
      <c r="G286" s="1" t="s">
        <v>66</v>
      </c>
      <c r="H286" s="1" t="s">
        <v>43</v>
      </c>
      <c r="I286" s="3">
        <v>51485915</v>
      </c>
      <c r="J286" s="1" t="s">
        <v>15</v>
      </c>
      <c r="K286" s="1">
        <v>1</v>
      </c>
      <c r="L286" s="35">
        <f>InventoryTY[[#This Row],[Landed Cost]]*InventoryTY[[#This Row],[Inventory Qty]]</f>
        <v>51485915</v>
      </c>
    </row>
    <row r="287" spans="1:12" x14ac:dyDescent="0.25">
      <c r="A287" s="1">
        <v>2026</v>
      </c>
      <c r="B287" s="1">
        <v>1</v>
      </c>
      <c r="C287" s="2">
        <v>46034</v>
      </c>
      <c r="D287" s="1">
        <v>210751</v>
      </c>
      <c r="E287" s="1" t="s">
        <v>65</v>
      </c>
      <c r="F287" s="1" t="s">
        <v>62</v>
      </c>
      <c r="G287" s="1" t="s">
        <v>66</v>
      </c>
      <c r="H287" s="1" t="s">
        <v>53</v>
      </c>
      <c r="I287" s="3">
        <v>97397754</v>
      </c>
      <c r="J287" s="1" t="s">
        <v>17</v>
      </c>
      <c r="K287" s="1">
        <v>1</v>
      </c>
      <c r="L287" s="35">
        <f>InventoryTY[[#This Row],[Landed Cost]]*InventoryTY[[#This Row],[Inventory Qty]]</f>
        <v>97397754</v>
      </c>
    </row>
    <row r="288" spans="1:12" x14ac:dyDescent="0.25">
      <c r="A288" s="1">
        <v>2026</v>
      </c>
      <c r="B288" s="1">
        <v>1</v>
      </c>
      <c r="C288" s="2">
        <v>46034</v>
      </c>
      <c r="D288" s="1">
        <v>210752</v>
      </c>
      <c r="E288" s="1" t="s">
        <v>65</v>
      </c>
      <c r="F288" s="1" t="s">
        <v>62</v>
      </c>
      <c r="G288" s="1" t="s">
        <v>66</v>
      </c>
      <c r="H288" s="1" t="s">
        <v>53</v>
      </c>
      <c r="I288" s="3">
        <v>124947523</v>
      </c>
      <c r="J288" s="1" t="s">
        <v>17</v>
      </c>
      <c r="K288" s="1">
        <v>1</v>
      </c>
      <c r="L288" s="35">
        <f>InventoryTY[[#This Row],[Landed Cost]]*InventoryTY[[#This Row],[Inventory Qty]]</f>
        <v>124947523</v>
      </c>
    </row>
    <row r="289" spans="1:12" x14ac:dyDescent="0.25">
      <c r="A289" s="1">
        <v>2026</v>
      </c>
      <c r="B289" s="1">
        <v>1</v>
      </c>
      <c r="C289" s="2">
        <v>46034</v>
      </c>
      <c r="D289" s="1">
        <v>210754</v>
      </c>
      <c r="E289" s="1" t="s">
        <v>65</v>
      </c>
      <c r="F289" s="1" t="s">
        <v>62</v>
      </c>
      <c r="G289" s="1" t="s">
        <v>66</v>
      </c>
      <c r="H289" s="1" t="s">
        <v>43</v>
      </c>
      <c r="I289" s="3">
        <v>126831154</v>
      </c>
      <c r="J289" s="1" t="s">
        <v>17</v>
      </c>
      <c r="K289" s="1">
        <v>1</v>
      </c>
      <c r="L289" s="35">
        <f>InventoryTY[[#This Row],[Landed Cost]]*InventoryTY[[#This Row],[Inventory Qty]]</f>
        <v>126831154</v>
      </c>
    </row>
    <row r="290" spans="1:12" x14ac:dyDescent="0.25">
      <c r="A290" s="1">
        <v>2026</v>
      </c>
      <c r="B290" s="1">
        <v>1</v>
      </c>
      <c r="C290" s="2">
        <v>46034</v>
      </c>
      <c r="D290" s="1">
        <v>210760</v>
      </c>
      <c r="E290" s="1" t="s">
        <v>65</v>
      </c>
      <c r="F290" s="1" t="s">
        <v>62</v>
      </c>
      <c r="G290" s="1" t="s">
        <v>66</v>
      </c>
      <c r="H290" s="1" t="s">
        <v>43</v>
      </c>
      <c r="I290" s="3">
        <v>51485915</v>
      </c>
      <c r="J290" s="1" t="s">
        <v>15</v>
      </c>
      <c r="K290" s="1">
        <v>1</v>
      </c>
      <c r="L290" s="35">
        <f>InventoryTY[[#This Row],[Landed Cost]]*InventoryTY[[#This Row],[Inventory Qty]]</f>
        <v>51485915</v>
      </c>
    </row>
    <row r="291" spans="1:12" x14ac:dyDescent="0.25">
      <c r="A291" s="1">
        <v>2026</v>
      </c>
      <c r="B291" s="1">
        <v>1</v>
      </c>
      <c r="C291" s="2">
        <v>46034</v>
      </c>
      <c r="D291" s="1">
        <v>210763</v>
      </c>
      <c r="E291" s="1" t="s">
        <v>65</v>
      </c>
      <c r="F291" s="1" t="s">
        <v>62</v>
      </c>
      <c r="G291" s="1" t="s">
        <v>66</v>
      </c>
      <c r="H291" s="1" t="s">
        <v>34</v>
      </c>
      <c r="I291" s="3">
        <v>85391271</v>
      </c>
      <c r="J291" s="1" t="s">
        <v>17</v>
      </c>
      <c r="K291" s="1">
        <v>1</v>
      </c>
      <c r="L291" s="35">
        <f>InventoryTY[[#This Row],[Landed Cost]]*InventoryTY[[#This Row],[Inventory Qty]]</f>
        <v>85391271</v>
      </c>
    </row>
    <row r="292" spans="1:12" x14ac:dyDescent="0.25">
      <c r="A292" s="1">
        <v>2026</v>
      </c>
      <c r="B292" s="1">
        <v>1</v>
      </c>
      <c r="C292" s="2">
        <v>46034</v>
      </c>
      <c r="D292" s="1">
        <v>210766</v>
      </c>
      <c r="E292" s="1" t="s">
        <v>59</v>
      </c>
      <c r="F292" s="1" t="s">
        <v>11</v>
      </c>
      <c r="G292" s="1" t="s">
        <v>63</v>
      </c>
      <c r="H292" s="1" t="s">
        <v>43</v>
      </c>
      <c r="I292" s="3">
        <v>21240375</v>
      </c>
      <c r="J292" s="1" t="s">
        <v>15</v>
      </c>
      <c r="K292" s="1">
        <v>1</v>
      </c>
      <c r="L292" s="35">
        <f>InventoryTY[[#This Row],[Landed Cost]]*InventoryTY[[#This Row],[Inventory Qty]]</f>
        <v>21240375</v>
      </c>
    </row>
    <row r="293" spans="1:12" x14ac:dyDescent="0.25">
      <c r="A293" s="1">
        <v>2026</v>
      </c>
      <c r="B293" s="1">
        <v>1</v>
      </c>
      <c r="C293" s="2">
        <v>46034</v>
      </c>
      <c r="D293" s="1">
        <v>210767</v>
      </c>
      <c r="E293" s="1" t="s">
        <v>59</v>
      </c>
      <c r="F293" s="1" t="s">
        <v>11</v>
      </c>
      <c r="G293" s="1" t="s">
        <v>63</v>
      </c>
      <c r="H293" s="1" t="s">
        <v>43</v>
      </c>
      <c r="I293" s="3">
        <v>21240375</v>
      </c>
      <c r="J293" s="1" t="s">
        <v>17</v>
      </c>
      <c r="K293" s="1">
        <v>1</v>
      </c>
      <c r="L293" s="35">
        <f>InventoryTY[[#This Row],[Landed Cost]]*InventoryTY[[#This Row],[Inventory Qty]]</f>
        <v>21240375</v>
      </c>
    </row>
    <row r="294" spans="1:12" x14ac:dyDescent="0.25">
      <c r="A294" s="1">
        <v>2026</v>
      </c>
      <c r="B294" s="1">
        <v>1</v>
      </c>
      <c r="C294" s="2">
        <v>46034</v>
      </c>
      <c r="D294" s="1">
        <v>210768</v>
      </c>
      <c r="E294" s="1" t="s">
        <v>59</v>
      </c>
      <c r="F294" s="1" t="s">
        <v>11</v>
      </c>
      <c r="G294" s="1" t="s">
        <v>63</v>
      </c>
      <c r="H294" s="1" t="s">
        <v>43</v>
      </c>
      <c r="I294" s="3">
        <v>28826223</v>
      </c>
      <c r="J294" s="1" t="s">
        <v>17</v>
      </c>
      <c r="K294" s="1">
        <v>1</v>
      </c>
      <c r="L294" s="35">
        <f>InventoryTY[[#This Row],[Landed Cost]]*InventoryTY[[#This Row],[Inventory Qty]]</f>
        <v>28826223</v>
      </c>
    </row>
    <row r="295" spans="1:12" x14ac:dyDescent="0.25">
      <c r="A295" s="1">
        <v>2026</v>
      </c>
      <c r="B295" s="1">
        <v>1</v>
      </c>
      <c r="C295" s="2">
        <v>46034</v>
      </c>
      <c r="D295" s="1">
        <v>210770</v>
      </c>
      <c r="E295" s="1" t="s">
        <v>59</v>
      </c>
      <c r="F295" s="1" t="s">
        <v>11</v>
      </c>
      <c r="G295" s="1" t="s">
        <v>63</v>
      </c>
      <c r="H295" s="1" t="s">
        <v>43</v>
      </c>
      <c r="I295" s="3">
        <v>304811930</v>
      </c>
      <c r="J295" s="1" t="s">
        <v>17</v>
      </c>
      <c r="K295" s="1">
        <v>1</v>
      </c>
      <c r="L295" s="35">
        <f>InventoryTY[[#This Row],[Landed Cost]]*InventoryTY[[#This Row],[Inventory Qty]]</f>
        <v>304811930</v>
      </c>
    </row>
    <row r="296" spans="1:12" x14ac:dyDescent="0.25">
      <c r="A296" s="1">
        <v>2026</v>
      </c>
      <c r="B296" s="1">
        <v>1</v>
      </c>
      <c r="C296" s="2">
        <v>46034</v>
      </c>
      <c r="D296" s="1">
        <v>210771</v>
      </c>
      <c r="E296" s="1" t="s">
        <v>59</v>
      </c>
      <c r="F296" s="1" t="s">
        <v>11</v>
      </c>
      <c r="G296" s="1" t="s">
        <v>63</v>
      </c>
      <c r="H296" s="1" t="s">
        <v>43</v>
      </c>
      <c r="I296" s="3">
        <v>54618107</v>
      </c>
      <c r="J296" s="1" t="s">
        <v>17</v>
      </c>
      <c r="K296" s="1">
        <v>1</v>
      </c>
      <c r="L296" s="35">
        <f>InventoryTY[[#This Row],[Landed Cost]]*InventoryTY[[#This Row],[Inventory Qty]]</f>
        <v>54618107</v>
      </c>
    </row>
    <row r="297" spans="1:12" x14ac:dyDescent="0.25">
      <c r="A297" s="1">
        <v>2026</v>
      </c>
      <c r="B297" s="1">
        <v>1</v>
      </c>
      <c r="C297" s="2">
        <v>46034</v>
      </c>
      <c r="D297" s="1">
        <v>210940</v>
      </c>
      <c r="E297" s="1" t="s">
        <v>19</v>
      </c>
      <c r="F297" s="1" t="s">
        <v>62</v>
      </c>
      <c r="G297" s="1" t="s">
        <v>63</v>
      </c>
      <c r="H297" s="1" t="s">
        <v>53</v>
      </c>
      <c r="I297" s="3">
        <v>4732900</v>
      </c>
      <c r="J297" s="1" t="s">
        <v>17</v>
      </c>
      <c r="K297" s="1">
        <v>1</v>
      </c>
      <c r="L297" s="35">
        <f>InventoryTY[[#This Row],[Landed Cost]]*InventoryTY[[#This Row],[Inventory Qty]]</f>
        <v>4732900</v>
      </c>
    </row>
    <row r="298" spans="1:12" x14ac:dyDescent="0.25">
      <c r="A298" s="1">
        <v>2026</v>
      </c>
      <c r="B298" s="1">
        <v>1</v>
      </c>
      <c r="C298" s="2">
        <v>46034</v>
      </c>
      <c r="D298" s="1">
        <v>210941</v>
      </c>
      <c r="E298" s="1" t="s">
        <v>19</v>
      </c>
      <c r="F298" s="1" t="s">
        <v>62</v>
      </c>
      <c r="G298" s="1" t="s">
        <v>63</v>
      </c>
      <c r="H298" s="1" t="s">
        <v>37</v>
      </c>
      <c r="I298" s="3">
        <v>2467150</v>
      </c>
      <c r="J298" s="1" t="s">
        <v>17</v>
      </c>
      <c r="K298" s="1">
        <v>1</v>
      </c>
      <c r="L298" s="35">
        <f>InventoryTY[[#This Row],[Landed Cost]]*InventoryTY[[#This Row],[Inventory Qty]]</f>
        <v>2467150</v>
      </c>
    </row>
    <row r="299" spans="1:12" x14ac:dyDescent="0.25">
      <c r="A299" s="1">
        <v>2026</v>
      </c>
      <c r="B299" s="1">
        <v>1</v>
      </c>
      <c r="C299" s="2">
        <v>46034</v>
      </c>
      <c r="D299" s="1">
        <v>210943</v>
      </c>
      <c r="E299" s="1" t="s">
        <v>19</v>
      </c>
      <c r="F299" s="1" t="s">
        <v>62</v>
      </c>
      <c r="G299" s="1" t="s">
        <v>63</v>
      </c>
      <c r="H299" s="1" t="s">
        <v>37</v>
      </c>
      <c r="I299" s="3">
        <v>10120350</v>
      </c>
      <c r="J299" s="1" t="s">
        <v>15</v>
      </c>
      <c r="K299" s="1">
        <v>1</v>
      </c>
      <c r="L299" s="35">
        <f>InventoryTY[[#This Row],[Landed Cost]]*InventoryTY[[#This Row],[Inventory Qty]]</f>
        <v>10120350</v>
      </c>
    </row>
    <row r="300" spans="1:12" x14ac:dyDescent="0.25">
      <c r="A300" s="1">
        <v>2026</v>
      </c>
      <c r="B300" s="1">
        <v>1</v>
      </c>
      <c r="C300" s="2">
        <v>46034</v>
      </c>
      <c r="D300" s="1">
        <v>210946</v>
      </c>
      <c r="E300" s="1" t="s">
        <v>19</v>
      </c>
      <c r="F300" s="1" t="s">
        <v>62</v>
      </c>
      <c r="G300" s="1" t="s">
        <v>63</v>
      </c>
      <c r="H300" s="1" t="s">
        <v>37</v>
      </c>
      <c r="I300" s="3">
        <v>11228050</v>
      </c>
      <c r="J300" s="1" t="s">
        <v>15</v>
      </c>
      <c r="K300" s="1">
        <v>1</v>
      </c>
      <c r="L300" s="35">
        <f>InventoryTY[[#This Row],[Landed Cost]]*InventoryTY[[#This Row],[Inventory Qty]]</f>
        <v>11228050</v>
      </c>
    </row>
    <row r="301" spans="1:12" x14ac:dyDescent="0.25">
      <c r="A301" s="1">
        <v>2026</v>
      </c>
      <c r="B301" s="1">
        <v>1</v>
      </c>
      <c r="C301" s="2">
        <v>46034</v>
      </c>
      <c r="D301" s="1">
        <v>210946</v>
      </c>
      <c r="E301" s="1" t="s">
        <v>19</v>
      </c>
      <c r="F301" s="1" t="s">
        <v>62</v>
      </c>
      <c r="G301" s="1" t="s">
        <v>63</v>
      </c>
      <c r="H301" s="1" t="s">
        <v>37</v>
      </c>
      <c r="I301" s="3">
        <v>11228050</v>
      </c>
      <c r="J301" s="1" t="s">
        <v>17</v>
      </c>
      <c r="K301" s="1">
        <v>1</v>
      </c>
      <c r="L301" s="35">
        <f>InventoryTY[[#This Row],[Landed Cost]]*InventoryTY[[#This Row],[Inventory Qty]]</f>
        <v>11228050</v>
      </c>
    </row>
    <row r="302" spans="1:12" x14ac:dyDescent="0.25">
      <c r="A302" s="1">
        <v>2026</v>
      </c>
      <c r="B302" s="1">
        <v>1</v>
      </c>
      <c r="C302" s="2">
        <v>46034</v>
      </c>
      <c r="D302" s="1">
        <v>210951</v>
      </c>
      <c r="E302" s="1" t="s">
        <v>19</v>
      </c>
      <c r="F302" s="1" t="s">
        <v>62</v>
      </c>
      <c r="G302" s="1" t="s">
        <v>63</v>
      </c>
      <c r="H302" s="1" t="s">
        <v>43</v>
      </c>
      <c r="I302" s="3">
        <v>17924600</v>
      </c>
      <c r="J302" s="1" t="s">
        <v>17</v>
      </c>
      <c r="K302" s="1">
        <v>1</v>
      </c>
      <c r="L302" s="35">
        <f>InventoryTY[[#This Row],[Landed Cost]]*InventoryTY[[#This Row],[Inventory Qty]]</f>
        <v>17924600</v>
      </c>
    </row>
    <row r="303" spans="1:12" x14ac:dyDescent="0.25">
      <c r="A303" s="1">
        <v>2026</v>
      </c>
      <c r="B303" s="1">
        <v>1</v>
      </c>
      <c r="C303" s="2">
        <v>46034</v>
      </c>
      <c r="D303" s="1">
        <v>211112</v>
      </c>
      <c r="E303" s="1" t="s">
        <v>65</v>
      </c>
      <c r="F303" s="1" t="s">
        <v>62</v>
      </c>
      <c r="G303" s="1" t="s">
        <v>66</v>
      </c>
      <c r="H303" s="1" t="s">
        <v>53</v>
      </c>
      <c r="I303" s="3">
        <v>66554962</v>
      </c>
      <c r="J303" s="1" t="s">
        <v>15</v>
      </c>
      <c r="K303" s="1">
        <v>1</v>
      </c>
      <c r="L303" s="35">
        <f>InventoryTY[[#This Row],[Landed Cost]]*InventoryTY[[#This Row],[Inventory Qty]]</f>
        <v>66554962</v>
      </c>
    </row>
    <row r="304" spans="1:12" x14ac:dyDescent="0.25">
      <c r="A304" s="1">
        <v>2026</v>
      </c>
      <c r="B304" s="1">
        <v>1</v>
      </c>
      <c r="C304" s="2">
        <v>46034</v>
      </c>
      <c r="D304" s="1">
        <v>211113</v>
      </c>
      <c r="E304" s="1" t="s">
        <v>65</v>
      </c>
      <c r="F304" s="1" t="s">
        <v>62</v>
      </c>
      <c r="G304" s="1" t="s">
        <v>66</v>
      </c>
      <c r="H304" s="1" t="s">
        <v>34</v>
      </c>
      <c r="I304" s="3">
        <v>48346529</v>
      </c>
      <c r="J304" s="1" t="s">
        <v>17</v>
      </c>
      <c r="K304" s="1">
        <v>1</v>
      </c>
      <c r="L304" s="35">
        <f>InventoryTY[[#This Row],[Landed Cost]]*InventoryTY[[#This Row],[Inventory Qty]]</f>
        <v>48346529</v>
      </c>
    </row>
    <row r="305" spans="1:12" x14ac:dyDescent="0.25">
      <c r="A305" s="1">
        <v>2026</v>
      </c>
      <c r="B305" s="1">
        <v>1</v>
      </c>
      <c r="C305" s="2">
        <v>46034</v>
      </c>
      <c r="D305" s="1">
        <v>211114</v>
      </c>
      <c r="E305" s="1" t="s">
        <v>65</v>
      </c>
      <c r="F305" s="1" t="s">
        <v>62</v>
      </c>
      <c r="G305" s="1" t="s">
        <v>66</v>
      </c>
      <c r="H305" s="1" t="s">
        <v>53</v>
      </c>
      <c r="I305" s="3">
        <v>66554962</v>
      </c>
      <c r="J305" s="1" t="s">
        <v>17</v>
      </c>
      <c r="K305" s="1">
        <v>1</v>
      </c>
      <c r="L305" s="35">
        <f>InventoryTY[[#This Row],[Landed Cost]]*InventoryTY[[#This Row],[Inventory Qty]]</f>
        <v>66554962</v>
      </c>
    </row>
    <row r="306" spans="1:12" x14ac:dyDescent="0.25">
      <c r="A306" s="1">
        <v>2026</v>
      </c>
      <c r="B306" s="1">
        <v>1</v>
      </c>
      <c r="C306" s="2">
        <v>46034</v>
      </c>
      <c r="D306" s="1">
        <v>211115</v>
      </c>
      <c r="E306" s="1" t="s">
        <v>65</v>
      </c>
      <c r="F306" s="1" t="s">
        <v>62</v>
      </c>
      <c r="G306" s="1" t="s">
        <v>66</v>
      </c>
      <c r="H306" s="1" t="s">
        <v>37</v>
      </c>
      <c r="I306" s="3">
        <v>31393850</v>
      </c>
      <c r="J306" s="1" t="s">
        <v>17</v>
      </c>
      <c r="K306" s="1">
        <v>1</v>
      </c>
      <c r="L306" s="35">
        <f>InventoryTY[[#This Row],[Landed Cost]]*InventoryTY[[#This Row],[Inventory Qty]]</f>
        <v>31393850</v>
      </c>
    </row>
    <row r="307" spans="1:12" x14ac:dyDescent="0.25">
      <c r="A307" s="1">
        <v>2026</v>
      </c>
      <c r="B307" s="1">
        <v>1</v>
      </c>
      <c r="C307" s="2">
        <v>46034</v>
      </c>
      <c r="D307" s="1">
        <v>211117</v>
      </c>
      <c r="E307" s="1" t="s">
        <v>65</v>
      </c>
      <c r="F307" s="1" t="s">
        <v>62</v>
      </c>
      <c r="G307" s="1" t="s">
        <v>66</v>
      </c>
      <c r="H307" s="1" t="s">
        <v>34</v>
      </c>
      <c r="I307" s="3">
        <v>96693059</v>
      </c>
      <c r="J307" s="1" t="s">
        <v>15</v>
      </c>
      <c r="K307" s="1">
        <v>1</v>
      </c>
      <c r="L307" s="35">
        <f>InventoryTY[[#This Row],[Landed Cost]]*InventoryTY[[#This Row],[Inventory Qty]]</f>
        <v>96693059</v>
      </c>
    </row>
    <row r="308" spans="1:12" x14ac:dyDescent="0.25">
      <c r="A308" s="1">
        <v>2026</v>
      </c>
      <c r="B308" s="1">
        <v>1</v>
      </c>
      <c r="C308" s="2">
        <v>46034</v>
      </c>
      <c r="D308" s="1">
        <v>211118</v>
      </c>
      <c r="E308" s="1" t="s">
        <v>65</v>
      </c>
      <c r="F308" s="1" t="s">
        <v>62</v>
      </c>
      <c r="G308" s="1" t="s">
        <v>66</v>
      </c>
      <c r="H308" s="1" t="s">
        <v>53</v>
      </c>
      <c r="I308" s="3">
        <v>182084331</v>
      </c>
      <c r="J308" s="1" t="s">
        <v>15</v>
      </c>
      <c r="K308" s="1">
        <v>1</v>
      </c>
      <c r="L308" s="35">
        <f>InventoryTY[[#This Row],[Landed Cost]]*InventoryTY[[#This Row],[Inventory Qty]]</f>
        <v>182084331</v>
      </c>
    </row>
    <row r="309" spans="1:12" x14ac:dyDescent="0.25">
      <c r="A309" s="1">
        <v>2026</v>
      </c>
      <c r="B309" s="1">
        <v>1</v>
      </c>
      <c r="C309" s="2">
        <v>46034</v>
      </c>
      <c r="D309" s="1">
        <v>211131</v>
      </c>
      <c r="E309" s="1" t="s">
        <v>47</v>
      </c>
      <c r="F309" s="1" t="s">
        <v>62</v>
      </c>
      <c r="G309" s="1" t="s">
        <v>66</v>
      </c>
      <c r="H309" s="1" t="s">
        <v>37</v>
      </c>
      <c r="I309" s="3">
        <v>1121000</v>
      </c>
      <c r="J309" s="1" t="s">
        <v>21</v>
      </c>
      <c r="K309" s="1">
        <v>1</v>
      </c>
      <c r="L309" s="35">
        <f>InventoryTY[[#This Row],[Landed Cost]]*InventoryTY[[#This Row],[Inventory Qty]]</f>
        <v>1121000</v>
      </c>
    </row>
    <row r="310" spans="1:12" x14ac:dyDescent="0.25">
      <c r="A310" s="1">
        <v>2026</v>
      </c>
      <c r="B310" s="1">
        <v>1</v>
      </c>
      <c r="C310" s="2">
        <v>46034</v>
      </c>
      <c r="D310" s="1">
        <v>211133</v>
      </c>
      <c r="E310" s="1" t="s">
        <v>47</v>
      </c>
      <c r="F310" s="1" t="s">
        <v>62</v>
      </c>
      <c r="G310" s="1" t="s">
        <v>66</v>
      </c>
      <c r="H310" s="1" t="s">
        <v>37</v>
      </c>
      <c r="I310" s="3">
        <v>2124000</v>
      </c>
      <c r="J310" s="1" t="s">
        <v>21</v>
      </c>
      <c r="K310" s="1">
        <v>1</v>
      </c>
      <c r="L310" s="35">
        <f>InventoryTY[[#This Row],[Landed Cost]]*InventoryTY[[#This Row],[Inventory Qty]]</f>
        <v>2124000</v>
      </c>
    </row>
    <row r="311" spans="1:12" x14ac:dyDescent="0.25">
      <c r="A311" s="1">
        <v>2026</v>
      </c>
      <c r="B311" s="1">
        <v>1</v>
      </c>
      <c r="C311" s="2">
        <v>46034</v>
      </c>
      <c r="D311" s="1">
        <v>211136</v>
      </c>
      <c r="E311" s="1" t="s">
        <v>47</v>
      </c>
      <c r="F311" s="1" t="s">
        <v>62</v>
      </c>
      <c r="G311" s="1" t="s">
        <v>66</v>
      </c>
      <c r="H311" s="1" t="s">
        <v>37</v>
      </c>
      <c r="I311" s="3">
        <v>737500</v>
      </c>
      <c r="J311" s="1" t="s">
        <v>21</v>
      </c>
      <c r="K311" s="1">
        <v>2</v>
      </c>
      <c r="L311" s="35">
        <f>InventoryTY[[#This Row],[Landed Cost]]*InventoryTY[[#This Row],[Inventory Qty]]</f>
        <v>1475000</v>
      </c>
    </row>
    <row r="312" spans="1:12" x14ac:dyDescent="0.25">
      <c r="A312" s="1">
        <v>2026</v>
      </c>
      <c r="B312" s="1">
        <v>1</v>
      </c>
      <c r="C312" s="2">
        <v>46034</v>
      </c>
      <c r="D312" s="1">
        <v>211136</v>
      </c>
      <c r="E312" s="1" t="s">
        <v>47</v>
      </c>
      <c r="F312" s="1" t="s">
        <v>62</v>
      </c>
      <c r="G312" s="1" t="s">
        <v>66</v>
      </c>
      <c r="H312" s="1" t="s">
        <v>37</v>
      </c>
      <c r="I312" s="3">
        <v>737500</v>
      </c>
      <c r="J312" s="1" t="s">
        <v>28</v>
      </c>
      <c r="K312" s="1">
        <v>1</v>
      </c>
      <c r="L312" s="35">
        <f>InventoryTY[[#This Row],[Landed Cost]]*InventoryTY[[#This Row],[Inventory Qty]]</f>
        <v>737500</v>
      </c>
    </row>
    <row r="313" spans="1:12" x14ac:dyDescent="0.25">
      <c r="A313" s="1">
        <v>2026</v>
      </c>
      <c r="B313" s="1">
        <v>1</v>
      </c>
      <c r="C313" s="2">
        <v>46034</v>
      </c>
      <c r="D313" s="1">
        <v>211137</v>
      </c>
      <c r="E313" s="1" t="s">
        <v>47</v>
      </c>
      <c r="F313" s="1" t="s">
        <v>62</v>
      </c>
      <c r="G313" s="1" t="s">
        <v>66</v>
      </c>
      <c r="H313" s="1" t="s">
        <v>37</v>
      </c>
      <c r="I313" s="3">
        <v>737500</v>
      </c>
      <c r="J313" s="1" t="s">
        <v>21</v>
      </c>
      <c r="K313" s="1">
        <v>1</v>
      </c>
      <c r="L313" s="35">
        <f>InventoryTY[[#This Row],[Landed Cost]]*InventoryTY[[#This Row],[Inventory Qty]]</f>
        <v>737500</v>
      </c>
    </row>
    <row r="314" spans="1:12" x14ac:dyDescent="0.25">
      <c r="A314" s="1">
        <v>2026</v>
      </c>
      <c r="B314" s="1">
        <v>1</v>
      </c>
      <c r="C314" s="2">
        <v>46034</v>
      </c>
      <c r="D314" s="1">
        <v>211137</v>
      </c>
      <c r="E314" s="1" t="s">
        <v>47</v>
      </c>
      <c r="F314" s="1" t="s">
        <v>62</v>
      </c>
      <c r="G314" s="1" t="s">
        <v>66</v>
      </c>
      <c r="H314" s="1" t="s">
        <v>37</v>
      </c>
      <c r="I314" s="3">
        <v>737500</v>
      </c>
      <c r="J314" s="1" t="s">
        <v>28</v>
      </c>
      <c r="K314" s="1">
        <v>1</v>
      </c>
      <c r="L314" s="35">
        <f>InventoryTY[[#This Row],[Landed Cost]]*InventoryTY[[#This Row],[Inventory Qty]]</f>
        <v>737500</v>
      </c>
    </row>
    <row r="315" spans="1:12" x14ac:dyDescent="0.25">
      <c r="A315" s="1">
        <v>2026</v>
      </c>
      <c r="B315" s="1">
        <v>1</v>
      </c>
      <c r="C315" s="2">
        <v>46034</v>
      </c>
      <c r="D315" s="1">
        <v>211138</v>
      </c>
      <c r="E315" s="1" t="s">
        <v>47</v>
      </c>
      <c r="F315" s="1" t="s">
        <v>62</v>
      </c>
      <c r="G315" s="1" t="s">
        <v>66</v>
      </c>
      <c r="H315" s="1" t="s">
        <v>37</v>
      </c>
      <c r="I315" s="3">
        <v>737500</v>
      </c>
      <c r="J315" s="1" t="s">
        <v>28</v>
      </c>
      <c r="K315" s="1">
        <v>1</v>
      </c>
      <c r="L315" s="35">
        <f>InventoryTY[[#This Row],[Landed Cost]]*InventoryTY[[#This Row],[Inventory Qty]]</f>
        <v>737500</v>
      </c>
    </row>
    <row r="316" spans="1:12" x14ac:dyDescent="0.25">
      <c r="A316" s="1">
        <v>2026</v>
      </c>
      <c r="B316" s="1">
        <v>1</v>
      </c>
      <c r="C316" s="2">
        <v>46034</v>
      </c>
      <c r="D316" s="1">
        <v>211139</v>
      </c>
      <c r="E316" s="1" t="s">
        <v>47</v>
      </c>
      <c r="F316" s="1" t="s">
        <v>62</v>
      </c>
      <c r="G316" s="1" t="s">
        <v>66</v>
      </c>
      <c r="H316" s="1" t="s">
        <v>37</v>
      </c>
      <c r="I316" s="3">
        <v>737500</v>
      </c>
      <c r="J316" s="1" t="s">
        <v>21</v>
      </c>
      <c r="K316" s="1">
        <v>1</v>
      </c>
      <c r="L316" s="35">
        <f>InventoryTY[[#This Row],[Landed Cost]]*InventoryTY[[#This Row],[Inventory Qty]]</f>
        <v>737500</v>
      </c>
    </row>
    <row r="317" spans="1:12" x14ac:dyDescent="0.25">
      <c r="A317" s="1">
        <v>2026</v>
      </c>
      <c r="B317" s="1">
        <v>1</v>
      </c>
      <c r="C317" s="2">
        <v>46034</v>
      </c>
      <c r="D317" s="1">
        <v>211140</v>
      </c>
      <c r="E317" s="1" t="s">
        <v>47</v>
      </c>
      <c r="F317" s="1" t="s">
        <v>62</v>
      </c>
      <c r="G317" s="1" t="s">
        <v>66</v>
      </c>
      <c r="H317" s="1" t="s">
        <v>37</v>
      </c>
      <c r="I317" s="3">
        <v>737500</v>
      </c>
      <c r="J317" s="1" t="s">
        <v>28</v>
      </c>
      <c r="K317" s="1">
        <v>1</v>
      </c>
      <c r="L317" s="35">
        <f>InventoryTY[[#This Row],[Landed Cost]]*InventoryTY[[#This Row],[Inventory Qty]]</f>
        <v>737500</v>
      </c>
    </row>
    <row r="318" spans="1:12" x14ac:dyDescent="0.25">
      <c r="A318" s="1">
        <v>2026</v>
      </c>
      <c r="B318" s="1">
        <v>1</v>
      </c>
      <c r="C318" s="2">
        <v>46034</v>
      </c>
      <c r="D318" s="1">
        <v>211141</v>
      </c>
      <c r="E318" s="1" t="s">
        <v>47</v>
      </c>
      <c r="F318" s="1" t="s">
        <v>62</v>
      </c>
      <c r="G318" s="1" t="s">
        <v>66</v>
      </c>
      <c r="H318" s="1" t="s">
        <v>37</v>
      </c>
      <c r="I318" s="3">
        <v>737500</v>
      </c>
      <c r="J318" s="1" t="s">
        <v>21</v>
      </c>
      <c r="K318" s="1">
        <v>1</v>
      </c>
      <c r="L318" s="35">
        <f>InventoryTY[[#This Row],[Landed Cost]]*InventoryTY[[#This Row],[Inventory Qty]]</f>
        <v>737500</v>
      </c>
    </row>
    <row r="319" spans="1:12" x14ac:dyDescent="0.25">
      <c r="A319" s="1">
        <v>2026</v>
      </c>
      <c r="B319" s="1">
        <v>1</v>
      </c>
      <c r="C319" s="2">
        <v>46034</v>
      </c>
      <c r="D319" s="1">
        <v>211141</v>
      </c>
      <c r="E319" s="1" t="s">
        <v>47</v>
      </c>
      <c r="F319" s="1" t="s">
        <v>62</v>
      </c>
      <c r="G319" s="1" t="s">
        <v>66</v>
      </c>
      <c r="H319" s="1" t="s">
        <v>37</v>
      </c>
      <c r="I319" s="3">
        <v>737500</v>
      </c>
      <c r="J319" s="1" t="s">
        <v>28</v>
      </c>
      <c r="K319" s="1">
        <v>1</v>
      </c>
      <c r="L319" s="35">
        <f>InventoryTY[[#This Row],[Landed Cost]]*InventoryTY[[#This Row],[Inventory Qty]]</f>
        <v>737500</v>
      </c>
    </row>
    <row r="320" spans="1:12" x14ac:dyDescent="0.25">
      <c r="A320" s="1">
        <v>2026</v>
      </c>
      <c r="B320" s="1">
        <v>1</v>
      </c>
      <c r="C320" s="2">
        <v>46034</v>
      </c>
      <c r="D320" s="1">
        <v>211142</v>
      </c>
      <c r="E320" s="1" t="s">
        <v>47</v>
      </c>
      <c r="F320" s="1" t="s">
        <v>62</v>
      </c>
      <c r="G320" s="1" t="s">
        <v>66</v>
      </c>
      <c r="H320" s="1" t="s">
        <v>37</v>
      </c>
      <c r="I320" s="3">
        <v>737500</v>
      </c>
      <c r="J320" s="1" t="s">
        <v>21</v>
      </c>
      <c r="K320" s="1">
        <v>2</v>
      </c>
      <c r="L320" s="35">
        <f>InventoryTY[[#This Row],[Landed Cost]]*InventoryTY[[#This Row],[Inventory Qty]]</f>
        <v>1475000</v>
      </c>
    </row>
    <row r="321" spans="1:12" x14ac:dyDescent="0.25">
      <c r="A321" s="1">
        <v>2026</v>
      </c>
      <c r="B321" s="1">
        <v>1</v>
      </c>
      <c r="C321" s="2">
        <v>46034</v>
      </c>
      <c r="D321" s="1">
        <v>211189</v>
      </c>
      <c r="E321" s="1" t="s">
        <v>65</v>
      </c>
      <c r="F321" s="1" t="s">
        <v>62</v>
      </c>
      <c r="G321" s="1" t="s">
        <v>66</v>
      </c>
      <c r="H321" s="1" t="s">
        <v>43</v>
      </c>
      <c r="I321" s="3">
        <v>103978986</v>
      </c>
      <c r="J321" s="1" t="s">
        <v>15</v>
      </c>
      <c r="K321" s="1">
        <v>1</v>
      </c>
      <c r="L321" s="35">
        <f>InventoryTY[[#This Row],[Landed Cost]]*InventoryTY[[#This Row],[Inventory Qty]]</f>
        <v>103978986</v>
      </c>
    </row>
    <row r="322" spans="1:12" x14ac:dyDescent="0.25">
      <c r="A322" s="1">
        <v>2026</v>
      </c>
      <c r="B322" s="1">
        <v>1</v>
      </c>
      <c r="C322" s="2">
        <v>46034</v>
      </c>
      <c r="D322" s="1">
        <v>211192</v>
      </c>
      <c r="E322" s="1" t="s">
        <v>65</v>
      </c>
      <c r="F322" s="1" t="s">
        <v>62</v>
      </c>
      <c r="G322" s="1" t="s">
        <v>66</v>
      </c>
      <c r="H322" s="1" t="s">
        <v>34</v>
      </c>
      <c r="I322" s="3">
        <v>127016245</v>
      </c>
      <c r="J322" s="1" t="s">
        <v>15</v>
      </c>
      <c r="K322" s="1">
        <v>1</v>
      </c>
      <c r="L322" s="35">
        <f>InventoryTY[[#This Row],[Landed Cost]]*InventoryTY[[#This Row],[Inventory Qty]]</f>
        <v>127016245</v>
      </c>
    </row>
    <row r="323" spans="1:12" x14ac:dyDescent="0.25">
      <c r="A323" s="1">
        <v>2026</v>
      </c>
      <c r="B323" s="1">
        <v>1</v>
      </c>
      <c r="C323" s="2">
        <v>46034</v>
      </c>
      <c r="D323" s="1">
        <v>211193</v>
      </c>
      <c r="E323" s="1" t="s">
        <v>65</v>
      </c>
      <c r="F323" s="1" t="s">
        <v>62</v>
      </c>
      <c r="G323" s="1" t="s">
        <v>66</v>
      </c>
      <c r="H323" s="1" t="s">
        <v>43</v>
      </c>
      <c r="I323" s="3">
        <v>191769623</v>
      </c>
      <c r="J323" s="1" t="s">
        <v>13</v>
      </c>
      <c r="K323" s="1">
        <v>1</v>
      </c>
      <c r="L323" s="35">
        <f>InventoryTY[[#This Row],[Landed Cost]]*InventoryTY[[#This Row],[Inventory Qty]]</f>
        <v>191769623</v>
      </c>
    </row>
    <row r="324" spans="1:12" x14ac:dyDescent="0.25">
      <c r="A324" s="1">
        <v>2026</v>
      </c>
      <c r="B324" s="1">
        <v>1</v>
      </c>
      <c r="C324" s="2">
        <v>46034</v>
      </c>
      <c r="D324" s="1">
        <v>211194</v>
      </c>
      <c r="E324" s="1" t="s">
        <v>65</v>
      </c>
      <c r="F324" s="1" t="s">
        <v>62</v>
      </c>
      <c r="G324" s="1" t="s">
        <v>66</v>
      </c>
      <c r="H324" s="1" t="s">
        <v>34</v>
      </c>
      <c r="I324" s="3">
        <v>261504033</v>
      </c>
      <c r="J324" s="1" t="s">
        <v>13</v>
      </c>
      <c r="K324" s="1">
        <v>1</v>
      </c>
      <c r="L324" s="35">
        <f>InventoryTY[[#This Row],[Landed Cost]]*InventoryTY[[#This Row],[Inventory Qty]]</f>
        <v>261504033</v>
      </c>
    </row>
    <row r="325" spans="1:12" x14ac:dyDescent="0.25">
      <c r="A325" s="1">
        <v>2026</v>
      </c>
      <c r="B325" s="1">
        <v>1</v>
      </c>
      <c r="C325" s="2">
        <v>46034</v>
      </c>
      <c r="D325" s="1">
        <v>211195</v>
      </c>
      <c r="E325" s="1" t="s">
        <v>65</v>
      </c>
      <c r="F325" s="1" t="s">
        <v>62</v>
      </c>
      <c r="G325" s="1" t="s">
        <v>66</v>
      </c>
      <c r="H325" s="1" t="s">
        <v>43</v>
      </c>
      <c r="I325" s="3">
        <v>143204590</v>
      </c>
      <c r="J325" s="1" t="s">
        <v>13</v>
      </c>
      <c r="K325" s="1">
        <v>1</v>
      </c>
      <c r="L325" s="35">
        <f>InventoryTY[[#This Row],[Landed Cost]]*InventoryTY[[#This Row],[Inventory Qty]]</f>
        <v>143204590</v>
      </c>
    </row>
    <row r="326" spans="1:12" x14ac:dyDescent="0.25">
      <c r="A326" s="1">
        <v>2026</v>
      </c>
      <c r="B326" s="1">
        <v>1</v>
      </c>
      <c r="C326" s="2">
        <v>46034</v>
      </c>
      <c r="D326" s="1">
        <v>211196</v>
      </c>
      <c r="E326" s="1" t="s">
        <v>65</v>
      </c>
      <c r="F326" s="1" t="s">
        <v>62</v>
      </c>
      <c r="G326" s="1" t="s">
        <v>66</v>
      </c>
      <c r="H326" s="1" t="s">
        <v>34</v>
      </c>
      <c r="I326" s="3">
        <v>193014882</v>
      </c>
      <c r="J326" s="1" t="s">
        <v>13</v>
      </c>
      <c r="K326" s="1">
        <v>1</v>
      </c>
      <c r="L326" s="35">
        <f>InventoryTY[[#This Row],[Landed Cost]]*InventoryTY[[#This Row],[Inventory Qty]]</f>
        <v>193014882</v>
      </c>
    </row>
    <row r="327" spans="1:12" x14ac:dyDescent="0.25">
      <c r="A327" s="1">
        <v>2026</v>
      </c>
      <c r="B327" s="1">
        <v>1</v>
      </c>
      <c r="C327" s="2">
        <v>46034</v>
      </c>
      <c r="D327" s="1">
        <v>211204</v>
      </c>
      <c r="E327" s="1" t="s">
        <v>65</v>
      </c>
      <c r="F327" s="1" t="s">
        <v>62</v>
      </c>
      <c r="G327" s="1" t="s">
        <v>66</v>
      </c>
      <c r="H327" s="1" t="s">
        <v>53</v>
      </c>
      <c r="I327" s="3">
        <v>72224924</v>
      </c>
      <c r="J327" s="1" t="s">
        <v>15</v>
      </c>
      <c r="K327" s="1">
        <v>1</v>
      </c>
      <c r="L327" s="35">
        <f>InventoryTY[[#This Row],[Landed Cost]]*InventoryTY[[#This Row],[Inventory Qty]]</f>
        <v>72224924</v>
      </c>
    </row>
    <row r="328" spans="1:12" x14ac:dyDescent="0.25">
      <c r="A328" s="1">
        <v>2026</v>
      </c>
      <c r="B328" s="1">
        <v>1</v>
      </c>
      <c r="C328" s="2">
        <v>46034</v>
      </c>
      <c r="D328" s="1">
        <v>211205</v>
      </c>
      <c r="E328" s="1" t="s">
        <v>65</v>
      </c>
      <c r="F328" s="1" t="s">
        <v>62</v>
      </c>
      <c r="G328" s="1" t="s">
        <v>66</v>
      </c>
      <c r="H328" s="1" t="s">
        <v>53</v>
      </c>
      <c r="I328" s="3">
        <v>82186983</v>
      </c>
      <c r="J328" s="1" t="s">
        <v>17</v>
      </c>
      <c r="K328" s="1">
        <v>1</v>
      </c>
      <c r="L328" s="35">
        <f>InventoryTY[[#This Row],[Landed Cost]]*InventoryTY[[#This Row],[Inventory Qty]]</f>
        <v>82186983</v>
      </c>
    </row>
    <row r="329" spans="1:12" x14ac:dyDescent="0.25">
      <c r="A329" s="1">
        <v>2026</v>
      </c>
      <c r="B329" s="1">
        <v>1</v>
      </c>
      <c r="C329" s="2">
        <v>46034</v>
      </c>
      <c r="D329" s="1">
        <v>211206</v>
      </c>
      <c r="E329" s="1" t="s">
        <v>65</v>
      </c>
      <c r="F329" s="1" t="s">
        <v>62</v>
      </c>
      <c r="G329" s="1" t="s">
        <v>66</v>
      </c>
      <c r="H329" s="1" t="s">
        <v>53</v>
      </c>
      <c r="I329" s="3">
        <v>88413270</v>
      </c>
      <c r="J329" s="1" t="s">
        <v>17</v>
      </c>
      <c r="K329" s="1">
        <v>1</v>
      </c>
      <c r="L329" s="35">
        <f>InventoryTY[[#This Row],[Landed Cost]]*InventoryTY[[#This Row],[Inventory Qty]]</f>
        <v>88413270</v>
      </c>
    </row>
    <row r="330" spans="1:12" x14ac:dyDescent="0.25">
      <c r="A330" s="1">
        <v>2026</v>
      </c>
      <c r="B330" s="1">
        <v>1</v>
      </c>
      <c r="C330" s="2">
        <v>46034</v>
      </c>
      <c r="D330" s="1">
        <v>211207</v>
      </c>
      <c r="E330" s="1" t="s">
        <v>65</v>
      </c>
      <c r="F330" s="1" t="s">
        <v>62</v>
      </c>
      <c r="G330" s="1" t="s">
        <v>66</v>
      </c>
      <c r="H330" s="1" t="s">
        <v>34</v>
      </c>
      <c r="I330" s="3">
        <v>51055550</v>
      </c>
      <c r="J330" s="1" t="s">
        <v>17</v>
      </c>
      <c r="K330" s="1">
        <v>1</v>
      </c>
      <c r="L330" s="35">
        <f>InventoryTY[[#This Row],[Landed Cost]]*InventoryTY[[#This Row],[Inventory Qty]]</f>
        <v>51055550</v>
      </c>
    </row>
    <row r="331" spans="1:12" x14ac:dyDescent="0.25">
      <c r="A331" s="1">
        <v>2026</v>
      </c>
      <c r="B331" s="1">
        <v>1</v>
      </c>
      <c r="C331" s="2">
        <v>46034</v>
      </c>
      <c r="D331" s="1">
        <v>211208</v>
      </c>
      <c r="E331" s="1" t="s">
        <v>65</v>
      </c>
      <c r="F331" s="1" t="s">
        <v>62</v>
      </c>
      <c r="G331" s="1" t="s">
        <v>66</v>
      </c>
      <c r="H331" s="1" t="s">
        <v>37</v>
      </c>
      <c r="I331" s="3">
        <v>307578554</v>
      </c>
      <c r="J331" s="1" t="s">
        <v>17</v>
      </c>
      <c r="K331" s="1">
        <v>1</v>
      </c>
      <c r="L331" s="35">
        <f>InventoryTY[[#This Row],[Landed Cost]]*InventoryTY[[#This Row],[Inventory Qty]]</f>
        <v>307578554</v>
      </c>
    </row>
    <row r="332" spans="1:12" x14ac:dyDescent="0.25">
      <c r="A332" s="1">
        <v>2026</v>
      </c>
      <c r="B332" s="1">
        <v>1</v>
      </c>
      <c r="C332" s="2">
        <v>46034</v>
      </c>
      <c r="D332" s="1">
        <v>211209</v>
      </c>
      <c r="E332" s="1" t="s">
        <v>65</v>
      </c>
      <c r="F332" s="1" t="s">
        <v>62</v>
      </c>
      <c r="G332" s="1" t="s">
        <v>66</v>
      </c>
      <c r="H332" s="1" t="s">
        <v>43</v>
      </c>
      <c r="I332" s="3">
        <v>72847552</v>
      </c>
      <c r="J332" s="1" t="s">
        <v>17</v>
      </c>
      <c r="K332" s="1">
        <v>1</v>
      </c>
      <c r="L332" s="35">
        <f>InventoryTY[[#This Row],[Landed Cost]]*InventoryTY[[#This Row],[Inventory Qty]]</f>
        <v>72847552</v>
      </c>
    </row>
    <row r="333" spans="1:12" x14ac:dyDescent="0.25">
      <c r="A333" s="1">
        <v>2026</v>
      </c>
      <c r="B333" s="1">
        <v>1</v>
      </c>
      <c r="C333" s="2">
        <v>46034</v>
      </c>
      <c r="D333" s="1">
        <v>211210</v>
      </c>
      <c r="E333" s="1" t="s">
        <v>65</v>
      </c>
      <c r="F333" s="1" t="s">
        <v>62</v>
      </c>
      <c r="G333" s="1" t="s">
        <v>66</v>
      </c>
      <c r="H333" s="1" t="s">
        <v>43</v>
      </c>
      <c r="I333" s="3">
        <v>72847552</v>
      </c>
      <c r="J333" s="1" t="s">
        <v>17</v>
      </c>
      <c r="K333" s="1">
        <v>1</v>
      </c>
      <c r="L333" s="35">
        <f>InventoryTY[[#This Row],[Landed Cost]]*InventoryTY[[#This Row],[Inventory Qty]]</f>
        <v>72847552</v>
      </c>
    </row>
    <row r="334" spans="1:12" x14ac:dyDescent="0.25">
      <c r="A334" s="1">
        <v>2026</v>
      </c>
      <c r="B334" s="1">
        <v>1</v>
      </c>
      <c r="C334" s="2">
        <v>46034</v>
      </c>
      <c r="D334" s="1">
        <v>211211</v>
      </c>
      <c r="E334" s="1" t="s">
        <v>65</v>
      </c>
      <c r="F334" s="1" t="s">
        <v>62</v>
      </c>
      <c r="G334" s="1" t="s">
        <v>66</v>
      </c>
      <c r="H334" s="1" t="s">
        <v>43</v>
      </c>
      <c r="I334" s="3">
        <v>72847552</v>
      </c>
      <c r="J334" s="1" t="s">
        <v>15</v>
      </c>
      <c r="K334" s="1">
        <v>1</v>
      </c>
      <c r="L334" s="35">
        <f>InventoryTY[[#This Row],[Landed Cost]]*InventoryTY[[#This Row],[Inventory Qty]]</f>
        <v>72847552</v>
      </c>
    </row>
    <row r="335" spans="1:12" x14ac:dyDescent="0.25">
      <c r="A335" s="1">
        <v>2026</v>
      </c>
      <c r="B335" s="1">
        <v>1</v>
      </c>
      <c r="C335" s="2">
        <v>46034</v>
      </c>
      <c r="D335" s="1">
        <v>211213</v>
      </c>
      <c r="E335" s="1" t="s">
        <v>65</v>
      </c>
      <c r="F335" s="1" t="s">
        <v>62</v>
      </c>
      <c r="G335" s="1" t="s">
        <v>66</v>
      </c>
      <c r="H335" s="1" t="s">
        <v>43</v>
      </c>
      <c r="I335" s="3">
        <v>76583325</v>
      </c>
      <c r="J335" s="1" t="s">
        <v>17</v>
      </c>
      <c r="K335" s="1">
        <v>1</v>
      </c>
      <c r="L335" s="35">
        <f>InventoryTY[[#This Row],[Landed Cost]]*InventoryTY[[#This Row],[Inventory Qty]]</f>
        <v>76583325</v>
      </c>
    </row>
    <row r="336" spans="1:12" x14ac:dyDescent="0.25">
      <c r="A336" s="1">
        <v>2026</v>
      </c>
      <c r="B336" s="1">
        <v>1</v>
      </c>
      <c r="C336" s="2">
        <v>46034</v>
      </c>
      <c r="D336" s="1">
        <v>211214</v>
      </c>
      <c r="E336" s="1" t="s">
        <v>65</v>
      </c>
      <c r="F336" s="1" t="s">
        <v>62</v>
      </c>
      <c r="G336" s="1" t="s">
        <v>66</v>
      </c>
      <c r="H336" s="1" t="s">
        <v>43</v>
      </c>
      <c r="I336" s="3">
        <v>76583325</v>
      </c>
      <c r="J336" s="1" t="s">
        <v>17</v>
      </c>
      <c r="K336" s="1">
        <v>1</v>
      </c>
      <c r="L336" s="35">
        <f>InventoryTY[[#This Row],[Landed Cost]]*InventoryTY[[#This Row],[Inventory Qty]]</f>
        <v>76583325</v>
      </c>
    </row>
    <row r="337" spans="1:12" x14ac:dyDescent="0.25">
      <c r="A337" s="1">
        <v>2026</v>
      </c>
      <c r="B337" s="1">
        <v>1</v>
      </c>
      <c r="C337" s="2">
        <v>46034</v>
      </c>
      <c r="D337" s="1">
        <v>211219</v>
      </c>
      <c r="E337" s="1" t="s">
        <v>65</v>
      </c>
      <c r="F337" s="1" t="s">
        <v>62</v>
      </c>
      <c r="G337" s="1" t="s">
        <v>66</v>
      </c>
      <c r="H337" s="1" t="s">
        <v>37</v>
      </c>
      <c r="I337" s="3">
        <v>98375327</v>
      </c>
      <c r="J337" s="1" t="s">
        <v>17</v>
      </c>
      <c r="K337" s="1">
        <v>1</v>
      </c>
      <c r="L337" s="35">
        <f>InventoryTY[[#This Row],[Landed Cost]]*InventoryTY[[#This Row],[Inventory Qty]]</f>
        <v>98375327</v>
      </c>
    </row>
    <row r="338" spans="1:12" x14ac:dyDescent="0.25">
      <c r="A338" s="1">
        <v>2026</v>
      </c>
      <c r="B338" s="1">
        <v>1</v>
      </c>
      <c r="C338" s="2">
        <v>46034</v>
      </c>
      <c r="D338" s="1">
        <v>211220</v>
      </c>
      <c r="E338" s="1" t="s">
        <v>65</v>
      </c>
      <c r="F338" s="1" t="s">
        <v>62</v>
      </c>
      <c r="G338" s="1" t="s">
        <v>66</v>
      </c>
      <c r="H338" s="1" t="s">
        <v>37</v>
      </c>
      <c r="I338" s="3">
        <v>98375327</v>
      </c>
      <c r="J338" s="1" t="s">
        <v>15</v>
      </c>
      <c r="K338" s="1">
        <v>1</v>
      </c>
      <c r="L338" s="35">
        <f>InventoryTY[[#This Row],[Landed Cost]]*InventoryTY[[#This Row],[Inventory Qty]]</f>
        <v>98375327</v>
      </c>
    </row>
    <row r="339" spans="1:12" x14ac:dyDescent="0.25">
      <c r="A339" s="1">
        <v>2026</v>
      </c>
      <c r="B339" s="1">
        <v>1</v>
      </c>
      <c r="C339" s="2">
        <v>46034</v>
      </c>
      <c r="D339" s="1">
        <v>211660</v>
      </c>
      <c r="E339" s="1" t="s">
        <v>65</v>
      </c>
      <c r="F339" s="1" t="s">
        <v>62</v>
      </c>
      <c r="G339" s="1" t="s">
        <v>66</v>
      </c>
      <c r="H339" s="1" t="s">
        <v>43</v>
      </c>
      <c r="I339" s="3">
        <v>53210735</v>
      </c>
      <c r="J339" s="1" t="s">
        <v>17</v>
      </c>
      <c r="K339" s="1">
        <v>1</v>
      </c>
      <c r="L339" s="35">
        <f>InventoryTY[[#This Row],[Landed Cost]]*InventoryTY[[#This Row],[Inventory Qty]]</f>
        <v>53210735</v>
      </c>
    </row>
    <row r="340" spans="1:12" x14ac:dyDescent="0.25">
      <c r="A340" s="1">
        <v>2026</v>
      </c>
      <c r="B340" s="1">
        <v>1</v>
      </c>
      <c r="C340" s="2">
        <v>46034</v>
      </c>
      <c r="D340" s="1">
        <v>211662</v>
      </c>
      <c r="E340" s="1" t="s">
        <v>65</v>
      </c>
      <c r="F340" s="1" t="s">
        <v>62</v>
      </c>
      <c r="G340" s="1" t="s">
        <v>66</v>
      </c>
      <c r="H340" s="1" t="s">
        <v>34</v>
      </c>
      <c r="I340" s="3">
        <v>90334504</v>
      </c>
      <c r="J340" s="1" t="s">
        <v>17</v>
      </c>
      <c r="K340" s="1">
        <v>1</v>
      </c>
      <c r="L340" s="35">
        <f>InventoryTY[[#This Row],[Landed Cost]]*InventoryTY[[#This Row],[Inventory Qty]]</f>
        <v>90334504</v>
      </c>
    </row>
    <row r="341" spans="1:12" x14ac:dyDescent="0.25">
      <c r="A341" s="1">
        <v>2026</v>
      </c>
      <c r="B341" s="1">
        <v>1</v>
      </c>
      <c r="C341" s="2">
        <v>46034</v>
      </c>
      <c r="D341" s="1">
        <v>214556</v>
      </c>
      <c r="E341" s="1" t="s">
        <v>40</v>
      </c>
      <c r="F341" s="1" t="s">
        <v>62</v>
      </c>
      <c r="G341" s="1" t="s">
        <v>66</v>
      </c>
      <c r="H341" s="1" t="s">
        <v>34</v>
      </c>
      <c r="I341" s="3">
        <v>45050000</v>
      </c>
      <c r="J341" s="1" t="s">
        <v>15</v>
      </c>
      <c r="K341" s="1">
        <v>1</v>
      </c>
      <c r="L341" s="35">
        <f>InventoryTY[[#This Row],[Landed Cost]]*InventoryTY[[#This Row],[Inventory Qty]]</f>
        <v>45050000</v>
      </c>
    </row>
    <row r="342" spans="1:12" x14ac:dyDescent="0.25">
      <c r="A342" s="1">
        <v>2026</v>
      </c>
      <c r="B342" s="1">
        <v>1</v>
      </c>
      <c r="C342" s="2">
        <v>46034</v>
      </c>
      <c r="D342" s="1">
        <v>214561</v>
      </c>
      <c r="E342" s="1" t="s">
        <v>40</v>
      </c>
      <c r="F342" s="1" t="s">
        <v>62</v>
      </c>
      <c r="G342" s="1" t="s">
        <v>66</v>
      </c>
      <c r="H342" s="1" t="s">
        <v>34</v>
      </c>
      <c r="I342" s="3">
        <v>90100000</v>
      </c>
      <c r="J342" s="1" t="s">
        <v>15</v>
      </c>
      <c r="K342" s="1">
        <v>1</v>
      </c>
      <c r="L342" s="35">
        <f>InventoryTY[[#This Row],[Landed Cost]]*InventoryTY[[#This Row],[Inventory Qty]]</f>
        <v>90100000</v>
      </c>
    </row>
    <row r="343" spans="1:12" x14ac:dyDescent="0.25">
      <c r="A343" s="1">
        <v>2026</v>
      </c>
      <c r="B343" s="1">
        <v>1</v>
      </c>
      <c r="C343" s="2">
        <v>46034</v>
      </c>
      <c r="D343" s="1">
        <v>214562</v>
      </c>
      <c r="E343" s="1" t="s">
        <v>40</v>
      </c>
      <c r="F343" s="1" t="s">
        <v>62</v>
      </c>
      <c r="G343" s="1" t="s">
        <v>66</v>
      </c>
      <c r="H343" s="1" t="s">
        <v>34</v>
      </c>
      <c r="I343" s="3">
        <v>47700000</v>
      </c>
      <c r="J343" s="1" t="s">
        <v>15</v>
      </c>
      <c r="K343" s="1">
        <v>1</v>
      </c>
      <c r="L343" s="35">
        <f>InventoryTY[[#This Row],[Landed Cost]]*InventoryTY[[#This Row],[Inventory Qty]]</f>
        <v>47700000</v>
      </c>
    </row>
    <row r="344" spans="1:12" x14ac:dyDescent="0.25">
      <c r="A344" s="1">
        <v>2026</v>
      </c>
      <c r="B344" s="1">
        <v>1</v>
      </c>
      <c r="C344" s="2">
        <v>46034</v>
      </c>
      <c r="D344" s="1">
        <v>214563</v>
      </c>
      <c r="E344" s="1" t="s">
        <v>40</v>
      </c>
      <c r="F344" s="1" t="s">
        <v>62</v>
      </c>
      <c r="G344" s="1" t="s">
        <v>66</v>
      </c>
      <c r="H344" s="1" t="s">
        <v>37</v>
      </c>
      <c r="I344" s="3">
        <v>22525000</v>
      </c>
      <c r="J344" s="1" t="s">
        <v>15</v>
      </c>
      <c r="K344" s="1">
        <v>1</v>
      </c>
      <c r="L344" s="35">
        <f>InventoryTY[[#This Row],[Landed Cost]]*InventoryTY[[#This Row],[Inventory Qty]]</f>
        <v>22525000</v>
      </c>
    </row>
    <row r="345" spans="1:12" x14ac:dyDescent="0.25">
      <c r="A345" s="1">
        <v>2026</v>
      </c>
      <c r="B345" s="1">
        <v>1</v>
      </c>
      <c r="C345" s="2">
        <v>46034</v>
      </c>
      <c r="D345" s="1">
        <v>214563</v>
      </c>
      <c r="E345" s="1" t="s">
        <v>40</v>
      </c>
      <c r="F345" s="1" t="s">
        <v>62</v>
      </c>
      <c r="G345" s="1" t="s">
        <v>66</v>
      </c>
      <c r="H345" s="1" t="s">
        <v>37</v>
      </c>
      <c r="I345" s="3">
        <v>22525000</v>
      </c>
      <c r="J345" s="1" t="s">
        <v>17</v>
      </c>
      <c r="K345" s="1">
        <v>1</v>
      </c>
      <c r="L345" s="35">
        <f>InventoryTY[[#This Row],[Landed Cost]]*InventoryTY[[#This Row],[Inventory Qty]]</f>
        <v>22525000</v>
      </c>
    </row>
    <row r="346" spans="1:12" x14ac:dyDescent="0.25">
      <c r="A346" s="1">
        <v>2026</v>
      </c>
      <c r="B346" s="1">
        <v>1</v>
      </c>
      <c r="C346" s="2">
        <v>46034</v>
      </c>
      <c r="D346" s="1">
        <v>214573</v>
      </c>
      <c r="E346" s="1" t="s">
        <v>40</v>
      </c>
      <c r="F346" s="1" t="s">
        <v>62</v>
      </c>
      <c r="G346" s="1" t="s">
        <v>66</v>
      </c>
      <c r="H346" s="1" t="s">
        <v>37</v>
      </c>
      <c r="I346" s="3">
        <v>60950000</v>
      </c>
      <c r="J346" s="1" t="s">
        <v>15</v>
      </c>
      <c r="K346" s="1">
        <v>1</v>
      </c>
      <c r="L346" s="35">
        <f>InventoryTY[[#This Row],[Landed Cost]]*InventoryTY[[#This Row],[Inventory Qty]]</f>
        <v>60950000</v>
      </c>
    </row>
    <row r="347" spans="1:12" x14ac:dyDescent="0.25">
      <c r="A347" s="1">
        <v>2026</v>
      </c>
      <c r="B347" s="1">
        <v>1</v>
      </c>
      <c r="C347" s="2">
        <v>46034</v>
      </c>
      <c r="D347" s="1">
        <v>214592</v>
      </c>
      <c r="E347" s="1" t="s">
        <v>58</v>
      </c>
      <c r="F347" s="1" t="s">
        <v>62</v>
      </c>
      <c r="G347" s="1" t="s">
        <v>66</v>
      </c>
      <c r="H347" s="1" t="s">
        <v>49</v>
      </c>
      <c r="I347" s="3">
        <v>5954610</v>
      </c>
      <c r="J347" s="1" t="s">
        <v>15</v>
      </c>
      <c r="K347" s="1">
        <v>1</v>
      </c>
      <c r="L347" s="35">
        <f>InventoryTY[[#This Row],[Landed Cost]]*InventoryTY[[#This Row],[Inventory Qty]]</f>
        <v>5954610</v>
      </c>
    </row>
    <row r="348" spans="1:12" x14ac:dyDescent="0.25">
      <c r="A348" s="1">
        <v>2026</v>
      </c>
      <c r="B348" s="1">
        <v>1</v>
      </c>
      <c r="C348" s="2">
        <v>46034</v>
      </c>
      <c r="D348" s="1">
        <v>214593</v>
      </c>
      <c r="E348" s="1" t="s">
        <v>58</v>
      </c>
      <c r="F348" s="1" t="s">
        <v>62</v>
      </c>
      <c r="G348" s="1" t="s">
        <v>66</v>
      </c>
      <c r="H348" s="1" t="s">
        <v>49</v>
      </c>
      <c r="I348" s="3">
        <v>20494935</v>
      </c>
      <c r="J348" s="1" t="s">
        <v>15</v>
      </c>
      <c r="K348" s="1">
        <v>1</v>
      </c>
      <c r="L348" s="35">
        <f>InventoryTY[[#This Row],[Landed Cost]]*InventoryTY[[#This Row],[Inventory Qty]]</f>
        <v>20494935</v>
      </c>
    </row>
    <row r="349" spans="1:12" x14ac:dyDescent="0.25">
      <c r="A349" s="1">
        <v>2026</v>
      </c>
      <c r="B349" s="1">
        <v>1</v>
      </c>
      <c r="C349" s="2">
        <v>46034</v>
      </c>
      <c r="D349" s="1">
        <v>214596</v>
      </c>
      <c r="E349" s="1" t="s">
        <v>58</v>
      </c>
      <c r="F349" s="1" t="s">
        <v>62</v>
      </c>
      <c r="G349" s="1" t="s">
        <v>66</v>
      </c>
      <c r="H349" s="1" t="s">
        <v>37</v>
      </c>
      <c r="I349" s="3">
        <v>20716502</v>
      </c>
      <c r="J349" s="1" t="s">
        <v>15</v>
      </c>
      <c r="K349" s="1">
        <v>1</v>
      </c>
      <c r="L349" s="35">
        <f>InventoryTY[[#This Row],[Landed Cost]]*InventoryTY[[#This Row],[Inventory Qty]]</f>
        <v>20716502</v>
      </c>
    </row>
    <row r="350" spans="1:12" x14ac:dyDescent="0.25">
      <c r="A350" s="1">
        <v>2026</v>
      </c>
      <c r="B350" s="1">
        <v>1</v>
      </c>
      <c r="C350" s="2">
        <v>46034</v>
      </c>
      <c r="D350" s="1">
        <v>214597</v>
      </c>
      <c r="E350" s="1" t="s">
        <v>58</v>
      </c>
      <c r="F350" s="1" t="s">
        <v>62</v>
      </c>
      <c r="G350" s="1" t="s">
        <v>66</v>
      </c>
      <c r="H350" s="1" t="s">
        <v>37</v>
      </c>
      <c r="I350" s="3">
        <v>12795487</v>
      </c>
      <c r="J350" s="1" t="s">
        <v>15</v>
      </c>
      <c r="K350" s="1">
        <v>1</v>
      </c>
      <c r="L350" s="35">
        <f>InventoryTY[[#This Row],[Landed Cost]]*InventoryTY[[#This Row],[Inventory Qty]]</f>
        <v>12795487</v>
      </c>
    </row>
    <row r="351" spans="1:12" x14ac:dyDescent="0.25">
      <c r="A351" s="1">
        <v>2026</v>
      </c>
      <c r="B351" s="1">
        <v>1</v>
      </c>
      <c r="C351" s="2">
        <v>46034</v>
      </c>
      <c r="D351" s="1">
        <v>214600</v>
      </c>
      <c r="E351" s="1" t="s">
        <v>58</v>
      </c>
      <c r="F351" s="1" t="s">
        <v>62</v>
      </c>
      <c r="G351" s="1" t="s">
        <v>66</v>
      </c>
      <c r="H351" s="1" t="s">
        <v>34</v>
      </c>
      <c r="I351" s="3">
        <v>78434670</v>
      </c>
      <c r="J351" s="1" t="s">
        <v>17</v>
      </c>
      <c r="K351" s="1">
        <v>1</v>
      </c>
      <c r="L351" s="35">
        <f>InventoryTY[[#This Row],[Landed Cost]]*InventoryTY[[#This Row],[Inventory Qty]]</f>
        <v>78434670</v>
      </c>
    </row>
    <row r="352" spans="1:12" x14ac:dyDescent="0.25">
      <c r="A352" s="1">
        <v>2026</v>
      </c>
      <c r="B352" s="1">
        <v>1</v>
      </c>
      <c r="C352" s="2">
        <v>46034</v>
      </c>
      <c r="D352" s="1">
        <v>214601</v>
      </c>
      <c r="E352" s="1" t="s">
        <v>58</v>
      </c>
      <c r="F352" s="1" t="s">
        <v>62</v>
      </c>
      <c r="G352" s="1" t="s">
        <v>66</v>
      </c>
      <c r="H352" s="1" t="s">
        <v>34</v>
      </c>
      <c r="I352" s="3">
        <v>20162586</v>
      </c>
      <c r="J352" s="1" t="s">
        <v>17</v>
      </c>
      <c r="K352" s="1">
        <v>1</v>
      </c>
      <c r="L352" s="35">
        <f>InventoryTY[[#This Row],[Landed Cost]]*InventoryTY[[#This Row],[Inventory Qty]]</f>
        <v>20162586</v>
      </c>
    </row>
    <row r="353" spans="1:12" x14ac:dyDescent="0.25">
      <c r="A353" s="1">
        <v>2026</v>
      </c>
      <c r="B353" s="1">
        <v>1</v>
      </c>
      <c r="C353" s="2">
        <v>46034</v>
      </c>
      <c r="D353" s="1">
        <v>216109</v>
      </c>
      <c r="E353" s="1" t="s">
        <v>65</v>
      </c>
      <c r="F353" s="1" t="s">
        <v>62</v>
      </c>
      <c r="G353" s="1" t="s">
        <v>66</v>
      </c>
      <c r="H353" s="1" t="s">
        <v>34</v>
      </c>
      <c r="I353" s="3">
        <v>78077718</v>
      </c>
      <c r="J353" s="1" t="s">
        <v>17</v>
      </c>
      <c r="K353" s="1">
        <v>1</v>
      </c>
      <c r="L353" s="35">
        <f>InventoryTY[[#This Row],[Landed Cost]]*InventoryTY[[#This Row],[Inventory Qty]]</f>
        <v>78077718</v>
      </c>
    </row>
    <row r="354" spans="1:12" x14ac:dyDescent="0.25">
      <c r="A354" s="1">
        <v>2026</v>
      </c>
      <c r="B354" s="1">
        <v>1</v>
      </c>
      <c r="C354" s="2">
        <v>46034</v>
      </c>
      <c r="D354" s="1">
        <v>216110</v>
      </c>
      <c r="E354" s="1" t="s">
        <v>65</v>
      </c>
      <c r="F354" s="1" t="s">
        <v>62</v>
      </c>
      <c r="G354" s="1" t="s">
        <v>66</v>
      </c>
      <c r="H354" s="1" t="s">
        <v>34</v>
      </c>
      <c r="I354" s="3">
        <v>84177540</v>
      </c>
      <c r="J354" s="1" t="s">
        <v>17</v>
      </c>
      <c r="K354" s="1">
        <v>1</v>
      </c>
      <c r="L354" s="35">
        <f>InventoryTY[[#This Row],[Landed Cost]]*InventoryTY[[#This Row],[Inventory Qty]]</f>
        <v>84177540</v>
      </c>
    </row>
    <row r="355" spans="1:12" x14ac:dyDescent="0.25">
      <c r="A355" s="1">
        <v>2026</v>
      </c>
      <c r="B355" s="1">
        <v>1</v>
      </c>
      <c r="C355" s="2">
        <v>46034</v>
      </c>
      <c r="D355" s="1">
        <v>216111</v>
      </c>
      <c r="E355" s="1" t="s">
        <v>65</v>
      </c>
      <c r="F355" s="1" t="s">
        <v>62</v>
      </c>
      <c r="G355" s="1" t="s">
        <v>66</v>
      </c>
      <c r="H355" s="1" t="s">
        <v>34</v>
      </c>
      <c r="I355" s="3">
        <v>347689838</v>
      </c>
      <c r="J355" s="1" t="s">
        <v>17</v>
      </c>
      <c r="K355" s="1">
        <v>1</v>
      </c>
      <c r="L355" s="35">
        <f>InventoryTY[[#This Row],[Landed Cost]]*InventoryTY[[#This Row],[Inventory Qty]]</f>
        <v>347689838</v>
      </c>
    </row>
    <row r="356" spans="1:12" x14ac:dyDescent="0.25">
      <c r="A356" s="1">
        <v>2026</v>
      </c>
      <c r="B356" s="1">
        <v>1</v>
      </c>
      <c r="C356" s="2">
        <v>46034</v>
      </c>
      <c r="D356" s="1">
        <v>216114</v>
      </c>
      <c r="E356" s="1" t="s">
        <v>65</v>
      </c>
      <c r="F356" s="1" t="s">
        <v>62</v>
      </c>
      <c r="G356" s="1" t="s">
        <v>66</v>
      </c>
      <c r="H356" s="1" t="s">
        <v>34</v>
      </c>
      <c r="I356" s="3">
        <v>475786095</v>
      </c>
      <c r="J356" s="1" t="s">
        <v>13</v>
      </c>
      <c r="K356" s="1">
        <v>1</v>
      </c>
      <c r="L356" s="35">
        <f>InventoryTY[[#This Row],[Landed Cost]]*InventoryTY[[#This Row],[Inventory Qty]]</f>
        <v>475786095</v>
      </c>
    </row>
    <row r="357" spans="1:12" x14ac:dyDescent="0.25">
      <c r="A357" s="1">
        <v>2026</v>
      </c>
      <c r="B357" s="1">
        <v>1</v>
      </c>
      <c r="C357" s="2">
        <v>46034</v>
      </c>
      <c r="D357" s="1">
        <v>217091</v>
      </c>
      <c r="E357" s="1" t="s">
        <v>58</v>
      </c>
      <c r="F357" s="1" t="s">
        <v>62</v>
      </c>
      <c r="G357" s="1" t="s">
        <v>69</v>
      </c>
      <c r="H357" s="1" t="s">
        <v>37</v>
      </c>
      <c r="I357" s="3">
        <v>132860916</v>
      </c>
      <c r="J357" s="1" t="s">
        <v>17</v>
      </c>
      <c r="K357" s="1">
        <v>1</v>
      </c>
      <c r="L357" s="35">
        <f>InventoryTY[[#This Row],[Landed Cost]]*InventoryTY[[#This Row],[Inventory Qty]]</f>
        <v>132860916</v>
      </c>
    </row>
    <row r="358" spans="1:12" x14ac:dyDescent="0.25">
      <c r="A358" s="1">
        <v>2026</v>
      </c>
      <c r="B358" s="1">
        <v>1</v>
      </c>
      <c r="C358" s="2">
        <v>46034</v>
      </c>
      <c r="D358" s="1">
        <v>217092</v>
      </c>
      <c r="E358" s="1" t="s">
        <v>58</v>
      </c>
      <c r="F358" s="1" t="s">
        <v>62</v>
      </c>
      <c r="G358" s="1" t="s">
        <v>69</v>
      </c>
      <c r="H358" s="1" t="s">
        <v>53</v>
      </c>
      <c r="I358" s="3">
        <v>71693684</v>
      </c>
      <c r="J358" s="1" t="s">
        <v>17</v>
      </c>
      <c r="K358" s="1">
        <v>1</v>
      </c>
      <c r="L358" s="35">
        <f>InventoryTY[[#This Row],[Landed Cost]]*InventoryTY[[#This Row],[Inventory Qty]]</f>
        <v>71693684</v>
      </c>
    </row>
    <row r="359" spans="1:12" x14ac:dyDescent="0.25">
      <c r="A359" s="1">
        <v>2026</v>
      </c>
      <c r="B359" s="1">
        <v>1</v>
      </c>
      <c r="C359" s="2">
        <v>46034</v>
      </c>
      <c r="D359" s="1">
        <v>217095</v>
      </c>
      <c r="E359" s="1" t="s">
        <v>58</v>
      </c>
      <c r="F359" s="1" t="s">
        <v>62</v>
      </c>
      <c r="G359" s="1" t="s">
        <v>69</v>
      </c>
      <c r="H359" s="1" t="s">
        <v>34</v>
      </c>
      <c r="I359" s="3">
        <v>23328897</v>
      </c>
      <c r="J359" s="1" t="s">
        <v>15</v>
      </c>
      <c r="K359" s="1">
        <v>1</v>
      </c>
      <c r="L359" s="35">
        <f>InventoryTY[[#This Row],[Landed Cost]]*InventoryTY[[#This Row],[Inventory Qty]]</f>
        <v>23328897</v>
      </c>
    </row>
    <row r="360" spans="1:12" x14ac:dyDescent="0.25">
      <c r="A360" s="1">
        <v>2026</v>
      </c>
      <c r="B360" s="1">
        <v>1</v>
      </c>
      <c r="C360" s="2">
        <v>46034</v>
      </c>
      <c r="D360" s="1">
        <v>217096</v>
      </c>
      <c r="E360" s="1" t="s">
        <v>58</v>
      </c>
      <c r="F360" s="1" t="s">
        <v>62</v>
      </c>
      <c r="G360" s="1" t="s">
        <v>69</v>
      </c>
      <c r="H360" s="1" t="s">
        <v>34</v>
      </c>
      <c r="I360" s="3">
        <v>23897895</v>
      </c>
      <c r="J360" s="1" t="s">
        <v>17</v>
      </c>
      <c r="K360" s="1">
        <v>1</v>
      </c>
      <c r="L360" s="35">
        <f>InventoryTY[[#This Row],[Landed Cost]]*InventoryTY[[#This Row],[Inventory Qty]]</f>
        <v>23897895</v>
      </c>
    </row>
    <row r="361" spans="1:12" x14ac:dyDescent="0.25">
      <c r="A361" s="1">
        <v>2026</v>
      </c>
      <c r="B361" s="1">
        <v>1</v>
      </c>
      <c r="C361" s="2">
        <v>46034</v>
      </c>
      <c r="D361" s="1">
        <v>217100</v>
      </c>
      <c r="E361" s="1" t="s">
        <v>58</v>
      </c>
      <c r="F361" s="1" t="s">
        <v>62</v>
      </c>
      <c r="G361" s="1" t="s">
        <v>69</v>
      </c>
      <c r="H361" s="1" t="s">
        <v>34</v>
      </c>
      <c r="I361" s="3">
        <v>111381260</v>
      </c>
      <c r="J361" s="1" t="s">
        <v>15</v>
      </c>
      <c r="K361" s="1">
        <v>1</v>
      </c>
      <c r="L361" s="35">
        <f>InventoryTY[[#This Row],[Landed Cost]]*InventoryTY[[#This Row],[Inventory Qty]]</f>
        <v>111381260</v>
      </c>
    </row>
    <row r="362" spans="1:12" x14ac:dyDescent="0.25">
      <c r="A362" s="1">
        <v>2026</v>
      </c>
      <c r="B362" s="1">
        <v>1</v>
      </c>
      <c r="C362" s="2">
        <v>46034</v>
      </c>
      <c r="D362" s="1">
        <v>217101</v>
      </c>
      <c r="E362" s="1" t="s">
        <v>58</v>
      </c>
      <c r="F362" s="1" t="s">
        <v>62</v>
      </c>
      <c r="G362" s="1" t="s">
        <v>69</v>
      </c>
      <c r="H362" s="1" t="s">
        <v>43</v>
      </c>
      <c r="I362" s="3">
        <v>100826356</v>
      </c>
      <c r="J362" s="1" t="s">
        <v>17</v>
      </c>
      <c r="K362" s="1">
        <v>1</v>
      </c>
      <c r="L362" s="35">
        <f>InventoryTY[[#This Row],[Landed Cost]]*InventoryTY[[#This Row],[Inventory Qty]]</f>
        <v>100826356</v>
      </c>
    </row>
    <row r="363" spans="1:12" x14ac:dyDescent="0.25">
      <c r="A363" s="1">
        <v>2026</v>
      </c>
      <c r="B363" s="1">
        <v>1</v>
      </c>
      <c r="C363" s="2">
        <v>46034</v>
      </c>
      <c r="D363" s="1">
        <v>217102</v>
      </c>
      <c r="E363" s="1" t="s">
        <v>58</v>
      </c>
      <c r="F363" s="1" t="s">
        <v>62</v>
      </c>
      <c r="G363" s="1" t="s">
        <v>69</v>
      </c>
      <c r="H363" s="1" t="s">
        <v>37</v>
      </c>
      <c r="I363" s="3">
        <v>19516614</v>
      </c>
      <c r="J363" s="1" t="s">
        <v>15</v>
      </c>
      <c r="K363" s="1">
        <v>1</v>
      </c>
      <c r="L363" s="35">
        <f>InventoryTY[[#This Row],[Landed Cost]]*InventoryTY[[#This Row],[Inventory Qty]]</f>
        <v>19516614</v>
      </c>
    </row>
    <row r="364" spans="1:12" x14ac:dyDescent="0.25">
      <c r="A364" s="1">
        <v>2026</v>
      </c>
      <c r="B364" s="1">
        <v>1</v>
      </c>
      <c r="C364" s="2">
        <v>46034</v>
      </c>
      <c r="D364" s="1">
        <v>217277</v>
      </c>
      <c r="E364" s="1" t="s">
        <v>50</v>
      </c>
      <c r="F364" s="1" t="s">
        <v>62</v>
      </c>
      <c r="G364" s="1" t="s">
        <v>69</v>
      </c>
      <c r="H364" s="1" t="s">
        <v>53</v>
      </c>
      <c r="I364" s="3">
        <v>4857277</v>
      </c>
      <c r="J364" s="1" t="s">
        <v>15</v>
      </c>
      <c r="K364" s="1">
        <v>1</v>
      </c>
      <c r="L364" s="35">
        <f>InventoryTY[[#This Row],[Landed Cost]]*InventoryTY[[#This Row],[Inventory Qty]]</f>
        <v>4857277</v>
      </c>
    </row>
    <row r="365" spans="1:12" x14ac:dyDescent="0.25">
      <c r="A365" s="1">
        <v>2026</v>
      </c>
      <c r="B365" s="1">
        <v>1</v>
      </c>
      <c r="C365" s="2">
        <v>46034</v>
      </c>
      <c r="D365" s="1">
        <v>217277</v>
      </c>
      <c r="E365" s="1" t="s">
        <v>50</v>
      </c>
      <c r="F365" s="1" t="s">
        <v>62</v>
      </c>
      <c r="G365" s="1" t="s">
        <v>69</v>
      </c>
      <c r="H365" s="1" t="s">
        <v>53</v>
      </c>
      <c r="I365" s="3">
        <v>4857277</v>
      </c>
      <c r="J365" s="1" t="s">
        <v>17</v>
      </c>
      <c r="K365" s="1">
        <v>1</v>
      </c>
      <c r="L365" s="35">
        <f>InventoryTY[[#This Row],[Landed Cost]]*InventoryTY[[#This Row],[Inventory Qty]]</f>
        <v>4857277</v>
      </c>
    </row>
    <row r="366" spans="1:12" x14ac:dyDescent="0.25">
      <c r="A366" s="1">
        <v>2026</v>
      </c>
      <c r="B366" s="1">
        <v>1</v>
      </c>
      <c r="C366" s="2">
        <v>46034</v>
      </c>
      <c r="D366" s="1">
        <v>217278</v>
      </c>
      <c r="E366" s="1" t="s">
        <v>50</v>
      </c>
      <c r="F366" s="1" t="s">
        <v>62</v>
      </c>
      <c r="G366" s="1" t="s">
        <v>69</v>
      </c>
      <c r="H366" s="1" t="s">
        <v>37</v>
      </c>
      <c r="I366" s="3">
        <v>14645054</v>
      </c>
      <c r="J366" s="1" t="s">
        <v>17</v>
      </c>
      <c r="K366" s="1">
        <v>1</v>
      </c>
      <c r="L366" s="35">
        <f>InventoryTY[[#This Row],[Landed Cost]]*InventoryTY[[#This Row],[Inventory Qty]]</f>
        <v>14645054</v>
      </c>
    </row>
    <row r="367" spans="1:12" x14ac:dyDescent="0.25">
      <c r="A367" s="1">
        <v>2026</v>
      </c>
      <c r="B367" s="1">
        <v>1</v>
      </c>
      <c r="C367" s="2">
        <v>46034</v>
      </c>
      <c r="D367" s="1">
        <v>217279</v>
      </c>
      <c r="E367" s="1" t="s">
        <v>50</v>
      </c>
      <c r="F367" s="1" t="s">
        <v>62</v>
      </c>
      <c r="G367" s="1" t="s">
        <v>69</v>
      </c>
      <c r="H367" s="1" t="s">
        <v>37</v>
      </c>
      <c r="I367" s="3">
        <v>3951573</v>
      </c>
      <c r="J367" s="1" t="s">
        <v>17</v>
      </c>
      <c r="K367" s="1">
        <v>2</v>
      </c>
      <c r="L367" s="35">
        <f>InventoryTY[[#This Row],[Landed Cost]]*InventoryTY[[#This Row],[Inventory Qty]]</f>
        <v>7903146</v>
      </c>
    </row>
    <row r="368" spans="1:12" x14ac:dyDescent="0.25">
      <c r="A368" s="1">
        <v>2026</v>
      </c>
      <c r="B368" s="1">
        <v>1</v>
      </c>
      <c r="C368" s="2">
        <v>46034</v>
      </c>
      <c r="D368" s="1">
        <v>217280</v>
      </c>
      <c r="E368" s="1" t="s">
        <v>50</v>
      </c>
      <c r="F368" s="1" t="s">
        <v>62</v>
      </c>
      <c r="G368" s="1" t="s">
        <v>69</v>
      </c>
      <c r="H368" s="1" t="s">
        <v>37</v>
      </c>
      <c r="I368" s="3">
        <v>10251538</v>
      </c>
      <c r="J368" s="1" t="s">
        <v>17</v>
      </c>
      <c r="K368" s="1">
        <v>1</v>
      </c>
      <c r="L368" s="35">
        <f>InventoryTY[[#This Row],[Landed Cost]]*InventoryTY[[#This Row],[Inventory Qty]]</f>
        <v>10251538</v>
      </c>
    </row>
    <row r="369" spans="1:12" x14ac:dyDescent="0.25">
      <c r="A369" s="1">
        <v>2026</v>
      </c>
      <c r="B369" s="1">
        <v>1</v>
      </c>
      <c r="C369" s="2">
        <v>46034</v>
      </c>
      <c r="D369" s="1">
        <v>217281</v>
      </c>
      <c r="E369" s="1" t="s">
        <v>50</v>
      </c>
      <c r="F369" s="1" t="s">
        <v>62</v>
      </c>
      <c r="G369" s="1" t="s">
        <v>69</v>
      </c>
      <c r="H369" s="1" t="s">
        <v>37</v>
      </c>
      <c r="I369" s="3">
        <v>13424633</v>
      </c>
      <c r="J369" s="1" t="s">
        <v>17</v>
      </c>
      <c r="K369" s="1">
        <v>1</v>
      </c>
      <c r="L369" s="35">
        <f>InventoryTY[[#This Row],[Landed Cost]]*InventoryTY[[#This Row],[Inventory Qty]]</f>
        <v>13424633</v>
      </c>
    </row>
    <row r="370" spans="1:12" x14ac:dyDescent="0.25">
      <c r="A370" s="1">
        <v>2026</v>
      </c>
      <c r="B370" s="1">
        <v>1</v>
      </c>
      <c r="C370" s="2">
        <v>46034</v>
      </c>
      <c r="D370" s="1">
        <v>217282</v>
      </c>
      <c r="E370" s="1" t="s">
        <v>50</v>
      </c>
      <c r="F370" s="1" t="s">
        <v>62</v>
      </c>
      <c r="G370" s="1" t="s">
        <v>69</v>
      </c>
      <c r="H370" s="1" t="s">
        <v>37</v>
      </c>
      <c r="I370" s="3">
        <v>5058014</v>
      </c>
      <c r="J370" s="1" t="s">
        <v>17</v>
      </c>
      <c r="K370" s="1">
        <v>1</v>
      </c>
      <c r="L370" s="35">
        <f>InventoryTY[[#This Row],[Landed Cost]]*InventoryTY[[#This Row],[Inventory Qty]]</f>
        <v>5058014</v>
      </c>
    </row>
    <row r="371" spans="1:12" x14ac:dyDescent="0.25">
      <c r="A371" s="1">
        <v>2026</v>
      </c>
      <c r="B371" s="1">
        <v>1</v>
      </c>
      <c r="C371" s="2">
        <v>46034</v>
      </c>
      <c r="D371" s="1">
        <v>217283</v>
      </c>
      <c r="E371" s="1" t="s">
        <v>50</v>
      </c>
      <c r="F371" s="1" t="s">
        <v>62</v>
      </c>
      <c r="G371" s="1" t="s">
        <v>69</v>
      </c>
      <c r="H371" s="1" t="s">
        <v>37</v>
      </c>
      <c r="I371" s="3">
        <v>5247811</v>
      </c>
      <c r="J371" s="1" t="s">
        <v>15</v>
      </c>
      <c r="K371" s="1">
        <v>1</v>
      </c>
      <c r="L371" s="35">
        <f>InventoryTY[[#This Row],[Landed Cost]]*InventoryTY[[#This Row],[Inventory Qty]]</f>
        <v>5247811</v>
      </c>
    </row>
    <row r="372" spans="1:12" x14ac:dyDescent="0.25">
      <c r="A372" s="1">
        <v>2026</v>
      </c>
      <c r="B372" s="1">
        <v>1</v>
      </c>
      <c r="C372" s="2">
        <v>46034</v>
      </c>
      <c r="D372" s="1">
        <v>217284</v>
      </c>
      <c r="E372" s="1" t="s">
        <v>50</v>
      </c>
      <c r="F372" s="1" t="s">
        <v>62</v>
      </c>
      <c r="G372" s="1" t="s">
        <v>69</v>
      </c>
      <c r="H372" s="1" t="s">
        <v>37</v>
      </c>
      <c r="I372" s="3">
        <v>3905348</v>
      </c>
      <c r="J372" s="1" t="s">
        <v>17</v>
      </c>
      <c r="K372" s="1">
        <v>1</v>
      </c>
      <c r="L372" s="35">
        <f>InventoryTY[[#This Row],[Landed Cost]]*InventoryTY[[#This Row],[Inventory Qty]]</f>
        <v>3905348</v>
      </c>
    </row>
    <row r="373" spans="1:12" x14ac:dyDescent="0.25">
      <c r="A373" s="1">
        <v>2026</v>
      </c>
      <c r="B373" s="1">
        <v>1</v>
      </c>
      <c r="C373" s="2">
        <v>46034</v>
      </c>
      <c r="D373" s="1">
        <v>217284</v>
      </c>
      <c r="E373" s="1" t="s">
        <v>50</v>
      </c>
      <c r="F373" s="1" t="s">
        <v>62</v>
      </c>
      <c r="G373" s="1" t="s">
        <v>69</v>
      </c>
      <c r="H373" s="1" t="s">
        <v>37</v>
      </c>
      <c r="I373" s="3">
        <v>3905348</v>
      </c>
      <c r="J373" s="1" t="s">
        <v>28</v>
      </c>
      <c r="K373" s="1">
        <v>1</v>
      </c>
      <c r="L373" s="35">
        <f>InventoryTY[[#This Row],[Landed Cost]]*InventoryTY[[#This Row],[Inventory Qty]]</f>
        <v>3905348</v>
      </c>
    </row>
    <row r="374" spans="1:12" x14ac:dyDescent="0.25">
      <c r="A374" s="1">
        <v>2026</v>
      </c>
      <c r="B374" s="1">
        <v>1</v>
      </c>
      <c r="C374" s="2">
        <v>46034</v>
      </c>
      <c r="D374" s="1">
        <v>217286</v>
      </c>
      <c r="E374" s="1" t="s">
        <v>50</v>
      </c>
      <c r="F374" s="1" t="s">
        <v>62</v>
      </c>
      <c r="G374" s="1" t="s">
        <v>69</v>
      </c>
      <c r="H374" s="1" t="s">
        <v>37</v>
      </c>
      <c r="I374" s="3">
        <v>3635447</v>
      </c>
      <c r="J374" s="1" t="s">
        <v>15</v>
      </c>
      <c r="K374" s="1">
        <v>1</v>
      </c>
      <c r="L374" s="35">
        <f>InventoryTY[[#This Row],[Landed Cost]]*InventoryTY[[#This Row],[Inventory Qty]]</f>
        <v>3635447</v>
      </c>
    </row>
    <row r="375" spans="1:12" x14ac:dyDescent="0.25">
      <c r="A375" s="1">
        <v>2026</v>
      </c>
      <c r="B375" s="1">
        <v>1</v>
      </c>
      <c r="C375" s="2">
        <v>46034</v>
      </c>
      <c r="D375" s="1">
        <v>217287</v>
      </c>
      <c r="E375" s="1" t="s">
        <v>50</v>
      </c>
      <c r="F375" s="1" t="s">
        <v>62</v>
      </c>
      <c r="G375" s="1" t="s">
        <v>69</v>
      </c>
      <c r="H375" s="1" t="s">
        <v>53</v>
      </c>
      <c r="I375" s="3">
        <v>5369853</v>
      </c>
      <c r="J375" s="1" t="s">
        <v>17</v>
      </c>
      <c r="K375" s="1">
        <v>1</v>
      </c>
      <c r="L375" s="35">
        <f>InventoryTY[[#This Row],[Landed Cost]]*InventoryTY[[#This Row],[Inventory Qty]]</f>
        <v>5369853</v>
      </c>
    </row>
    <row r="376" spans="1:12" x14ac:dyDescent="0.25">
      <c r="A376" s="1">
        <v>2026</v>
      </c>
      <c r="B376" s="1">
        <v>1</v>
      </c>
      <c r="C376" s="2">
        <v>46034</v>
      </c>
      <c r="D376" s="1">
        <v>217288</v>
      </c>
      <c r="E376" s="1" t="s">
        <v>50</v>
      </c>
      <c r="F376" s="1" t="s">
        <v>62</v>
      </c>
      <c r="G376" s="1" t="s">
        <v>69</v>
      </c>
      <c r="H376" s="1" t="s">
        <v>34</v>
      </c>
      <c r="I376" s="3">
        <v>3129646</v>
      </c>
      <c r="J376" s="1" t="s">
        <v>21</v>
      </c>
      <c r="K376" s="1">
        <v>1</v>
      </c>
      <c r="L376" s="35">
        <f>InventoryTY[[#This Row],[Landed Cost]]*InventoryTY[[#This Row],[Inventory Qty]]</f>
        <v>3129646</v>
      </c>
    </row>
    <row r="377" spans="1:12" x14ac:dyDescent="0.25">
      <c r="A377" s="1">
        <v>2026</v>
      </c>
      <c r="B377" s="1">
        <v>1</v>
      </c>
      <c r="C377" s="2">
        <v>46034</v>
      </c>
      <c r="D377" s="1">
        <v>217290</v>
      </c>
      <c r="E377" s="1" t="s">
        <v>50</v>
      </c>
      <c r="F377" s="1" t="s">
        <v>62</v>
      </c>
      <c r="G377" s="1" t="s">
        <v>69</v>
      </c>
      <c r="H377" s="1" t="s">
        <v>34</v>
      </c>
      <c r="I377" s="3">
        <v>4271474</v>
      </c>
      <c r="J377" s="1" t="s">
        <v>28</v>
      </c>
      <c r="K377" s="1">
        <v>1</v>
      </c>
      <c r="L377" s="35">
        <f>InventoryTY[[#This Row],[Landed Cost]]*InventoryTY[[#This Row],[Inventory Qty]]</f>
        <v>4271474</v>
      </c>
    </row>
    <row r="378" spans="1:12" x14ac:dyDescent="0.25">
      <c r="A378" s="1">
        <v>2026</v>
      </c>
      <c r="B378" s="1">
        <v>1</v>
      </c>
      <c r="C378" s="2">
        <v>46034</v>
      </c>
      <c r="D378" s="1">
        <v>217291</v>
      </c>
      <c r="E378" s="1" t="s">
        <v>50</v>
      </c>
      <c r="F378" s="1" t="s">
        <v>62</v>
      </c>
      <c r="G378" s="1" t="s">
        <v>69</v>
      </c>
      <c r="H378" s="1" t="s">
        <v>37</v>
      </c>
      <c r="I378" s="3">
        <v>5980064</v>
      </c>
      <c r="J378" s="1" t="s">
        <v>17</v>
      </c>
      <c r="K378" s="1">
        <v>1</v>
      </c>
      <c r="L378" s="35">
        <f>InventoryTY[[#This Row],[Landed Cost]]*InventoryTY[[#This Row],[Inventory Qty]]</f>
        <v>5980064</v>
      </c>
    </row>
    <row r="379" spans="1:12" x14ac:dyDescent="0.25">
      <c r="A379" s="1">
        <v>2026</v>
      </c>
      <c r="B379" s="1">
        <v>1</v>
      </c>
      <c r="C379" s="2">
        <v>46034</v>
      </c>
      <c r="D379" s="1">
        <v>217295</v>
      </c>
      <c r="E379" s="1" t="s">
        <v>65</v>
      </c>
      <c r="F379" s="1" t="s">
        <v>62</v>
      </c>
      <c r="G379" s="1" t="s">
        <v>69</v>
      </c>
      <c r="H379" s="1" t="s">
        <v>43</v>
      </c>
      <c r="I379" s="3">
        <v>132343092</v>
      </c>
      <c r="J379" s="1" t="s">
        <v>17</v>
      </c>
      <c r="K379" s="1">
        <v>1</v>
      </c>
      <c r="L379" s="35">
        <f>InventoryTY[[#This Row],[Landed Cost]]*InventoryTY[[#This Row],[Inventory Qty]]</f>
        <v>132343092</v>
      </c>
    </row>
    <row r="380" spans="1:12" x14ac:dyDescent="0.25">
      <c r="A380" s="1">
        <v>2026</v>
      </c>
      <c r="B380" s="1">
        <v>1</v>
      </c>
      <c r="C380" s="2">
        <v>46034</v>
      </c>
      <c r="D380" s="1">
        <v>217296</v>
      </c>
      <c r="E380" s="1" t="s">
        <v>65</v>
      </c>
      <c r="F380" s="1" t="s">
        <v>62</v>
      </c>
      <c r="G380" s="1" t="s">
        <v>69</v>
      </c>
      <c r="H380" s="1" t="s">
        <v>43</v>
      </c>
      <c r="I380" s="3">
        <v>156584154</v>
      </c>
      <c r="J380" s="1" t="s">
        <v>17</v>
      </c>
      <c r="K380" s="1">
        <v>1</v>
      </c>
      <c r="L380" s="35">
        <f>InventoryTY[[#This Row],[Landed Cost]]*InventoryTY[[#This Row],[Inventory Qty]]</f>
        <v>156584154</v>
      </c>
    </row>
    <row r="381" spans="1:12" x14ac:dyDescent="0.25">
      <c r="A381" s="1">
        <v>2026</v>
      </c>
      <c r="B381" s="1">
        <v>1</v>
      </c>
      <c r="C381" s="2">
        <v>46034</v>
      </c>
      <c r="D381" s="1">
        <v>217297</v>
      </c>
      <c r="E381" s="1" t="s">
        <v>65</v>
      </c>
      <c r="F381" s="1" t="s">
        <v>62</v>
      </c>
      <c r="G381" s="1" t="s">
        <v>69</v>
      </c>
      <c r="H381" s="1" t="s">
        <v>34</v>
      </c>
      <c r="I381" s="3">
        <v>174273577</v>
      </c>
      <c r="J381" s="1" t="s">
        <v>17</v>
      </c>
      <c r="K381" s="1">
        <v>1</v>
      </c>
      <c r="L381" s="35">
        <f>InventoryTY[[#This Row],[Landed Cost]]*InventoryTY[[#This Row],[Inventory Qty]]</f>
        <v>174273577</v>
      </c>
    </row>
    <row r="382" spans="1:12" x14ac:dyDescent="0.25">
      <c r="A382" s="1">
        <v>2026</v>
      </c>
      <c r="B382" s="1">
        <v>1</v>
      </c>
      <c r="C382" s="2">
        <v>46034</v>
      </c>
      <c r="D382" s="1">
        <v>217298</v>
      </c>
      <c r="E382" s="1" t="s">
        <v>65</v>
      </c>
      <c r="F382" s="1" t="s">
        <v>62</v>
      </c>
      <c r="G382" s="1" t="s">
        <v>69</v>
      </c>
      <c r="H382" s="1" t="s">
        <v>43</v>
      </c>
      <c r="I382" s="3">
        <v>273858478</v>
      </c>
      <c r="J382" s="1" t="s">
        <v>17</v>
      </c>
      <c r="K382" s="1">
        <v>1</v>
      </c>
      <c r="L382" s="35">
        <f>InventoryTY[[#This Row],[Landed Cost]]*InventoryTY[[#This Row],[Inventory Qty]]</f>
        <v>273858478</v>
      </c>
    </row>
    <row r="383" spans="1:12" x14ac:dyDescent="0.25">
      <c r="A383" s="1">
        <v>2026</v>
      </c>
      <c r="B383" s="1">
        <v>1</v>
      </c>
      <c r="C383" s="2">
        <v>46034</v>
      </c>
      <c r="D383" s="1">
        <v>217299</v>
      </c>
      <c r="E383" s="1" t="s">
        <v>65</v>
      </c>
      <c r="F383" s="1" t="s">
        <v>62</v>
      </c>
      <c r="G383" s="1" t="s">
        <v>69</v>
      </c>
      <c r="H383" s="1" t="s">
        <v>43</v>
      </c>
      <c r="I383" s="3">
        <v>55033761</v>
      </c>
      <c r="J383" s="1" t="s">
        <v>17</v>
      </c>
      <c r="K383" s="1">
        <v>1</v>
      </c>
      <c r="L383" s="35">
        <f>InventoryTY[[#This Row],[Landed Cost]]*InventoryTY[[#This Row],[Inventory Qty]]</f>
        <v>55033761</v>
      </c>
    </row>
    <row r="384" spans="1:12" x14ac:dyDescent="0.25">
      <c r="A384" s="1">
        <v>2026</v>
      </c>
      <c r="B384" s="1">
        <v>1</v>
      </c>
      <c r="C384" s="2">
        <v>46034</v>
      </c>
      <c r="D384" s="1">
        <v>217303</v>
      </c>
      <c r="E384" s="1" t="s">
        <v>65</v>
      </c>
      <c r="F384" s="1" t="s">
        <v>62</v>
      </c>
      <c r="G384" s="1" t="s">
        <v>69</v>
      </c>
      <c r="H384" s="1" t="s">
        <v>34</v>
      </c>
      <c r="I384" s="3">
        <v>113998504</v>
      </c>
      <c r="J384" s="1" t="s">
        <v>17</v>
      </c>
      <c r="K384" s="1">
        <v>1</v>
      </c>
      <c r="L384" s="35">
        <f>InventoryTY[[#This Row],[Landed Cost]]*InventoryTY[[#This Row],[Inventory Qty]]</f>
        <v>113998504</v>
      </c>
    </row>
    <row r="385" spans="1:12" x14ac:dyDescent="0.25">
      <c r="A385" s="1">
        <v>2026</v>
      </c>
      <c r="B385" s="1">
        <v>1</v>
      </c>
      <c r="C385" s="2">
        <v>46034</v>
      </c>
      <c r="D385" s="1">
        <v>217304</v>
      </c>
      <c r="E385" s="1" t="s">
        <v>65</v>
      </c>
      <c r="F385" s="1" t="s">
        <v>62</v>
      </c>
      <c r="G385" s="1" t="s">
        <v>69</v>
      </c>
      <c r="H385" s="1" t="s">
        <v>34</v>
      </c>
      <c r="I385" s="3">
        <v>75999003</v>
      </c>
      <c r="J385" s="1" t="s">
        <v>17</v>
      </c>
      <c r="K385" s="1">
        <v>1</v>
      </c>
      <c r="L385" s="35">
        <f>InventoryTY[[#This Row],[Landed Cost]]*InventoryTY[[#This Row],[Inventory Qty]]</f>
        <v>75999003</v>
      </c>
    </row>
    <row r="386" spans="1:12" x14ac:dyDescent="0.25">
      <c r="A386" s="1">
        <v>2026</v>
      </c>
      <c r="B386" s="1">
        <v>1</v>
      </c>
      <c r="C386" s="2">
        <v>46034</v>
      </c>
      <c r="D386" s="1">
        <v>217305</v>
      </c>
      <c r="E386" s="1" t="s">
        <v>65</v>
      </c>
      <c r="F386" s="1" t="s">
        <v>62</v>
      </c>
      <c r="G386" s="1" t="s">
        <v>69</v>
      </c>
      <c r="H386" s="1" t="s">
        <v>53</v>
      </c>
      <c r="I386" s="3">
        <v>172963248</v>
      </c>
      <c r="J386" s="1" t="s">
        <v>15</v>
      </c>
      <c r="K386" s="1">
        <v>1</v>
      </c>
      <c r="L386" s="35">
        <f>InventoryTY[[#This Row],[Landed Cost]]*InventoryTY[[#This Row],[Inventory Qty]]</f>
        <v>172963248</v>
      </c>
    </row>
    <row r="387" spans="1:12" x14ac:dyDescent="0.25">
      <c r="A387" s="1">
        <v>2026</v>
      </c>
      <c r="B387" s="1">
        <v>1</v>
      </c>
      <c r="C387" s="2">
        <v>46034</v>
      </c>
      <c r="D387" s="1">
        <v>217306</v>
      </c>
      <c r="E387" s="1" t="s">
        <v>65</v>
      </c>
      <c r="F387" s="1" t="s">
        <v>62</v>
      </c>
      <c r="G387" s="1" t="s">
        <v>69</v>
      </c>
      <c r="H387" s="1" t="s">
        <v>37</v>
      </c>
      <c r="I387" s="3">
        <v>134963747</v>
      </c>
      <c r="J387" s="1" t="s">
        <v>22</v>
      </c>
      <c r="K387" s="1">
        <v>1</v>
      </c>
      <c r="L387" s="35">
        <f>InventoryTY[[#This Row],[Landed Cost]]*InventoryTY[[#This Row],[Inventory Qty]]</f>
        <v>134963747</v>
      </c>
    </row>
    <row r="388" spans="1:12" x14ac:dyDescent="0.25">
      <c r="A388" s="1">
        <v>2026</v>
      </c>
      <c r="B388" s="1">
        <v>1</v>
      </c>
      <c r="C388" s="2">
        <v>46034</v>
      </c>
      <c r="D388" s="1">
        <v>217308</v>
      </c>
      <c r="E388" s="1" t="s">
        <v>65</v>
      </c>
      <c r="F388" s="1" t="s">
        <v>62</v>
      </c>
      <c r="G388" s="1" t="s">
        <v>69</v>
      </c>
      <c r="H388" s="1" t="s">
        <v>34</v>
      </c>
      <c r="I388" s="3">
        <v>98274573</v>
      </c>
      <c r="J388" s="1" t="s">
        <v>17</v>
      </c>
      <c r="K388" s="1">
        <v>1</v>
      </c>
      <c r="L388" s="35">
        <f>InventoryTY[[#This Row],[Landed Cost]]*InventoryTY[[#This Row],[Inventory Qty]]</f>
        <v>98274573</v>
      </c>
    </row>
    <row r="389" spans="1:12" x14ac:dyDescent="0.25">
      <c r="A389" s="1">
        <v>2026</v>
      </c>
      <c r="B389" s="1">
        <v>1</v>
      </c>
      <c r="C389" s="2">
        <v>46034</v>
      </c>
      <c r="D389" s="1">
        <v>217310</v>
      </c>
      <c r="E389" s="1" t="s">
        <v>65</v>
      </c>
      <c r="F389" s="1" t="s">
        <v>62</v>
      </c>
      <c r="G389" s="1" t="s">
        <v>69</v>
      </c>
      <c r="H389" s="1" t="s">
        <v>43</v>
      </c>
      <c r="I389" s="3">
        <v>188687181</v>
      </c>
      <c r="J389" s="1" t="s">
        <v>17</v>
      </c>
      <c r="K389" s="1">
        <v>1</v>
      </c>
      <c r="L389" s="35">
        <f>InventoryTY[[#This Row],[Landed Cost]]*InventoryTY[[#This Row],[Inventory Qty]]</f>
        <v>188687181</v>
      </c>
    </row>
    <row r="390" spans="1:12" x14ac:dyDescent="0.25">
      <c r="A390" s="1">
        <v>2026</v>
      </c>
      <c r="B390" s="1">
        <v>1</v>
      </c>
      <c r="C390" s="2">
        <v>46034</v>
      </c>
      <c r="D390" s="1">
        <v>217313</v>
      </c>
      <c r="E390" s="1" t="s">
        <v>65</v>
      </c>
      <c r="F390" s="1" t="s">
        <v>62</v>
      </c>
      <c r="G390" s="1" t="s">
        <v>69</v>
      </c>
      <c r="H390" s="1" t="s">
        <v>43</v>
      </c>
      <c r="I390" s="3">
        <v>76654167</v>
      </c>
      <c r="J390" s="1" t="s">
        <v>17</v>
      </c>
      <c r="K390" s="1">
        <v>1</v>
      </c>
      <c r="L390" s="35">
        <f>InventoryTY[[#This Row],[Landed Cost]]*InventoryTY[[#This Row],[Inventory Qty]]</f>
        <v>76654167</v>
      </c>
    </row>
    <row r="391" spans="1:12" x14ac:dyDescent="0.25">
      <c r="A391" s="1">
        <v>2026</v>
      </c>
      <c r="B391" s="1">
        <v>1</v>
      </c>
      <c r="C391" s="2">
        <v>46034</v>
      </c>
      <c r="D391" s="1">
        <v>217315</v>
      </c>
      <c r="E391" s="1" t="s">
        <v>65</v>
      </c>
      <c r="F391" s="1" t="s">
        <v>62</v>
      </c>
      <c r="G391" s="1" t="s">
        <v>69</v>
      </c>
      <c r="H391" s="1" t="s">
        <v>61</v>
      </c>
      <c r="I391" s="3">
        <v>1310328</v>
      </c>
      <c r="J391" s="1" t="s">
        <v>17</v>
      </c>
      <c r="K391" s="1">
        <v>1</v>
      </c>
      <c r="L391" s="35">
        <f>InventoryTY[[#This Row],[Landed Cost]]*InventoryTY[[#This Row],[Inventory Qty]]</f>
        <v>1310328</v>
      </c>
    </row>
    <row r="392" spans="1:12" x14ac:dyDescent="0.25">
      <c r="A392" s="1">
        <v>2026</v>
      </c>
      <c r="B392" s="1">
        <v>1</v>
      </c>
      <c r="C392" s="2">
        <v>46034</v>
      </c>
      <c r="D392" s="1">
        <v>217316</v>
      </c>
      <c r="E392" s="1" t="s">
        <v>65</v>
      </c>
      <c r="F392" s="1" t="s">
        <v>62</v>
      </c>
      <c r="G392" s="1" t="s">
        <v>69</v>
      </c>
      <c r="H392" s="1" t="s">
        <v>43</v>
      </c>
      <c r="I392" s="3">
        <v>77309331</v>
      </c>
      <c r="J392" s="1" t="s">
        <v>15</v>
      </c>
      <c r="K392" s="1">
        <v>1</v>
      </c>
      <c r="L392" s="35">
        <f>InventoryTY[[#This Row],[Landed Cost]]*InventoryTY[[#This Row],[Inventory Qty]]</f>
        <v>77309331</v>
      </c>
    </row>
    <row r="393" spans="1:12" x14ac:dyDescent="0.25">
      <c r="A393" s="1">
        <v>2026</v>
      </c>
      <c r="B393" s="1">
        <v>1</v>
      </c>
      <c r="C393" s="2">
        <v>46034</v>
      </c>
      <c r="D393" s="1">
        <v>217317</v>
      </c>
      <c r="E393" s="1" t="s">
        <v>65</v>
      </c>
      <c r="F393" s="1" t="s">
        <v>62</v>
      </c>
      <c r="G393" s="1" t="s">
        <v>69</v>
      </c>
      <c r="H393" s="1" t="s">
        <v>43</v>
      </c>
      <c r="I393" s="3">
        <v>360340103</v>
      </c>
      <c r="J393" s="1" t="s">
        <v>17</v>
      </c>
      <c r="K393" s="1">
        <v>1</v>
      </c>
      <c r="L393" s="35">
        <f>InventoryTY[[#This Row],[Landed Cost]]*InventoryTY[[#This Row],[Inventory Qty]]</f>
        <v>360340103</v>
      </c>
    </row>
    <row r="394" spans="1:12" x14ac:dyDescent="0.25">
      <c r="A394" s="1">
        <v>2026</v>
      </c>
      <c r="B394" s="1">
        <v>1</v>
      </c>
      <c r="C394" s="2">
        <v>46034</v>
      </c>
      <c r="D394" s="1">
        <v>217457</v>
      </c>
      <c r="E394" s="1" t="s">
        <v>55</v>
      </c>
      <c r="F394" s="1" t="s">
        <v>62</v>
      </c>
      <c r="G394" s="1" t="s">
        <v>69</v>
      </c>
      <c r="H394" s="1" t="s">
        <v>34</v>
      </c>
      <c r="I394" s="3">
        <v>91230646</v>
      </c>
      <c r="J394" s="1" t="s">
        <v>17</v>
      </c>
      <c r="K394" s="1">
        <v>1</v>
      </c>
      <c r="L394" s="35">
        <f>InventoryTY[[#This Row],[Landed Cost]]*InventoryTY[[#This Row],[Inventory Qty]]</f>
        <v>91230646</v>
      </c>
    </row>
    <row r="395" spans="1:12" x14ac:dyDescent="0.25">
      <c r="A395" s="1">
        <v>2026</v>
      </c>
      <c r="B395" s="1">
        <v>1</v>
      </c>
      <c r="C395" s="2">
        <v>46034</v>
      </c>
      <c r="D395" s="1">
        <v>217458</v>
      </c>
      <c r="E395" s="1" t="s">
        <v>55</v>
      </c>
      <c r="F395" s="1" t="s">
        <v>62</v>
      </c>
      <c r="G395" s="1" t="s">
        <v>69</v>
      </c>
      <c r="H395" s="1" t="s">
        <v>34</v>
      </c>
      <c r="I395" s="3">
        <v>162223891</v>
      </c>
      <c r="J395" s="1" t="s">
        <v>15</v>
      </c>
      <c r="K395" s="1">
        <v>1</v>
      </c>
      <c r="L395" s="35">
        <f>InventoryTY[[#This Row],[Landed Cost]]*InventoryTY[[#This Row],[Inventory Qty]]</f>
        <v>162223891</v>
      </c>
    </row>
    <row r="396" spans="1:12" x14ac:dyDescent="0.25">
      <c r="A396" s="1">
        <v>2026</v>
      </c>
      <c r="B396" s="1">
        <v>1</v>
      </c>
      <c r="C396" s="2">
        <v>46034</v>
      </c>
      <c r="D396" s="1">
        <v>217460</v>
      </c>
      <c r="E396" s="1" t="s">
        <v>55</v>
      </c>
      <c r="F396" s="1" t="s">
        <v>62</v>
      </c>
      <c r="G396" s="1" t="s">
        <v>69</v>
      </c>
      <c r="H396" s="1" t="s">
        <v>43</v>
      </c>
      <c r="I396" s="3">
        <v>98427371</v>
      </c>
      <c r="J396" s="1" t="s">
        <v>17</v>
      </c>
      <c r="K396" s="1">
        <v>1</v>
      </c>
      <c r="L396" s="35">
        <f>InventoryTY[[#This Row],[Landed Cost]]*InventoryTY[[#This Row],[Inventory Qty]]</f>
        <v>98427371</v>
      </c>
    </row>
    <row r="397" spans="1:12" x14ac:dyDescent="0.25">
      <c r="A397" s="1">
        <v>2026</v>
      </c>
      <c r="B397" s="1">
        <v>1</v>
      </c>
      <c r="C397" s="2">
        <v>46034</v>
      </c>
      <c r="D397" s="1">
        <v>217461</v>
      </c>
      <c r="E397" s="1" t="s">
        <v>55</v>
      </c>
      <c r="F397" s="1" t="s">
        <v>62</v>
      </c>
      <c r="G397" s="1" t="s">
        <v>69</v>
      </c>
      <c r="H397" s="1" t="s">
        <v>43</v>
      </c>
      <c r="I397" s="3">
        <v>92258750</v>
      </c>
      <c r="J397" s="1" t="s">
        <v>17</v>
      </c>
      <c r="K397" s="1">
        <v>1</v>
      </c>
      <c r="L397" s="35">
        <f>InventoryTY[[#This Row],[Landed Cost]]*InventoryTY[[#This Row],[Inventory Qty]]</f>
        <v>92258750</v>
      </c>
    </row>
    <row r="398" spans="1:12" x14ac:dyDescent="0.25">
      <c r="A398" s="1">
        <v>2026</v>
      </c>
      <c r="B398" s="1">
        <v>1</v>
      </c>
      <c r="C398" s="2">
        <v>46034</v>
      </c>
      <c r="D398" s="1">
        <v>217462</v>
      </c>
      <c r="E398" s="1" t="s">
        <v>55</v>
      </c>
      <c r="F398" s="1" t="s">
        <v>62</v>
      </c>
      <c r="G398" s="1" t="s">
        <v>69</v>
      </c>
      <c r="H398" s="1" t="s">
        <v>43</v>
      </c>
      <c r="I398" s="3">
        <v>76891310</v>
      </c>
      <c r="J398" s="1" t="s">
        <v>17</v>
      </c>
      <c r="K398" s="1">
        <v>1</v>
      </c>
      <c r="L398" s="35">
        <f>InventoryTY[[#This Row],[Landed Cost]]*InventoryTY[[#This Row],[Inventory Qty]]</f>
        <v>76891310</v>
      </c>
    </row>
    <row r="399" spans="1:12" x14ac:dyDescent="0.25">
      <c r="A399" s="1">
        <v>2026</v>
      </c>
      <c r="B399" s="1">
        <v>1</v>
      </c>
      <c r="C399" s="2">
        <v>46034</v>
      </c>
      <c r="D399" s="1">
        <v>217463</v>
      </c>
      <c r="E399" s="1" t="s">
        <v>55</v>
      </c>
      <c r="F399" s="1" t="s">
        <v>62</v>
      </c>
      <c r="G399" s="1" t="s">
        <v>69</v>
      </c>
      <c r="H399" s="1" t="s">
        <v>43</v>
      </c>
      <c r="I399" s="3">
        <v>30437271</v>
      </c>
      <c r="J399" s="1" t="s">
        <v>17</v>
      </c>
      <c r="K399" s="1">
        <v>1</v>
      </c>
      <c r="L399" s="35">
        <f>InventoryTY[[#This Row],[Landed Cost]]*InventoryTY[[#This Row],[Inventory Qty]]</f>
        <v>30437271</v>
      </c>
    </row>
    <row r="400" spans="1:12" x14ac:dyDescent="0.25">
      <c r="A400" s="1">
        <v>2026</v>
      </c>
      <c r="B400" s="1">
        <v>1</v>
      </c>
      <c r="C400" s="2">
        <v>46034</v>
      </c>
      <c r="D400" s="1">
        <v>219143</v>
      </c>
      <c r="E400" s="1" t="s">
        <v>70</v>
      </c>
      <c r="F400" s="1" t="s">
        <v>14</v>
      </c>
      <c r="G400" s="1" t="s">
        <v>69</v>
      </c>
      <c r="H400" s="1" t="s">
        <v>37</v>
      </c>
      <c r="I400" s="3">
        <v>15036518</v>
      </c>
      <c r="J400" s="1" t="s">
        <v>15</v>
      </c>
      <c r="K400" s="1">
        <v>1</v>
      </c>
      <c r="L400" s="35">
        <f>InventoryTY[[#This Row],[Landed Cost]]*InventoryTY[[#This Row],[Inventory Qty]]</f>
        <v>15036518</v>
      </c>
    </row>
    <row r="401" spans="1:12" x14ac:dyDescent="0.25">
      <c r="A401" s="1">
        <v>2026</v>
      </c>
      <c r="B401" s="1">
        <v>1</v>
      </c>
      <c r="C401" s="2">
        <v>46034</v>
      </c>
      <c r="D401" s="1">
        <v>219143</v>
      </c>
      <c r="E401" s="1" t="s">
        <v>70</v>
      </c>
      <c r="F401" s="1" t="s">
        <v>14</v>
      </c>
      <c r="G401" s="1" t="s">
        <v>69</v>
      </c>
      <c r="H401" s="1" t="s">
        <v>37</v>
      </c>
      <c r="I401" s="3">
        <v>15036518</v>
      </c>
      <c r="J401" s="1" t="s">
        <v>13</v>
      </c>
      <c r="K401" s="1">
        <v>1</v>
      </c>
      <c r="L401" s="35">
        <f>InventoryTY[[#This Row],[Landed Cost]]*InventoryTY[[#This Row],[Inventory Qty]]</f>
        <v>15036518</v>
      </c>
    </row>
    <row r="402" spans="1:12" x14ac:dyDescent="0.25">
      <c r="A402" s="1">
        <v>2026</v>
      </c>
      <c r="B402" s="1">
        <v>1</v>
      </c>
      <c r="C402" s="2">
        <v>46034</v>
      </c>
      <c r="D402" s="1">
        <v>219145</v>
      </c>
      <c r="E402" s="1" t="s">
        <v>70</v>
      </c>
      <c r="F402" s="1" t="s">
        <v>14</v>
      </c>
      <c r="G402" s="1" t="s">
        <v>69</v>
      </c>
      <c r="H402" s="1" t="s">
        <v>43</v>
      </c>
      <c r="I402" s="3">
        <v>14656807</v>
      </c>
      <c r="J402" s="1" t="s">
        <v>15</v>
      </c>
      <c r="K402" s="1">
        <v>1</v>
      </c>
      <c r="L402" s="35">
        <f>InventoryTY[[#This Row],[Landed Cost]]*InventoryTY[[#This Row],[Inventory Qty]]</f>
        <v>14656807</v>
      </c>
    </row>
    <row r="403" spans="1:12" x14ac:dyDescent="0.25">
      <c r="A403" s="1">
        <v>2026</v>
      </c>
      <c r="B403" s="1">
        <v>1</v>
      </c>
      <c r="C403" s="2">
        <v>46034</v>
      </c>
      <c r="D403" s="1">
        <v>219146</v>
      </c>
      <c r="E403" s="1" t="s">
        <v>70</v>
      </c>
      <c r="F403" s="1" t="s">
        <v>14</v>
      </c>
      <c r="G403" s="1" t="s">
        <v>69</v>
      </c>
      <c r="H403" s="1" t="s">
        <v>43</v>
      </c>
      <c r="I403" s="3">
        <v>14656807</v>
      </c>
      <c r="J403" s="1" t="s">
        <v>15</v>
      </c>
      <c r="K403" s="1">
        <v>1</v>
      </c>
      <c r="L403" s="35">
        <f>InventoryTY[[#This Row],[Landed Cost]]*InventoryTY[[#This Row],[Inventory Qty]]</f>
        <v>14656807</v>
      </c>
    </row>
    <row r="404" spans="1:12" x14ac:dyDescent="0.25">
      <c r="A404" s="1">
        <v>2026</v>
      </c>
      <c r="B404" s="1">
        <v>1</v>
      </c>
      <c r="C404" s="2">
        <v>46034</v>
      </c>
      <c r="D404" s="1">
        <v>219151</v>
      </c>
      <c r="E404" s="1" t="s">
        <v>70</v>
      </c>
      <c r="F404" s="1" t="s">
        <v>14</v>
      </c>
      <c r="G404" s="1" t="s">
        <v>69</v>
      </c>
      <c r="H404" s="1" t="s">
        <v>43</v>
      </c>
      <c r="I404" s="3">
        <v>7518259</v>
      </c>
      <c r="J404" s="1" t="s">
        <v>15</v>
      </c>
      <c r="K404" s="1">
        <v>1</v>
      </c>
      <c r="L404" s="35">
        <f>InventoryTY[[#This Row],[Landed Cost]]*InventoryTY[[#This Row],[Inventory Qty]]</f>
        <v>7518259</v>
      </c>
    </row>
    <row r="405" spans="1:12" x14ac:dyDescent="0.25">
      <c r="A405" s="1">
        <v>2026</v>
      </c>
      <c r="B405" s="1">
        <v>1</v>
      </c>
      <c r="C405" s="2">
        <v>46034</v>
      </c>
      <c r="D405" s="1">
        <v>219157</v>
      </c>
      <c r="E405" s="1" t="s">
        <v>70</v>
      </c>
      <c r="F405" s="1" t="s">
        <v>14</v>
      </c>
      <c r="G405" s="1" t="s">
        <v>69</v>
      </c>
      <c r="H405" s="1" t="s">
        <v>37</v>
      </c>
      <c r="I405" s="3">
        <v>28098543</v>
      </c>
      <c r="J405" s="1" t="s">
        <v>15</v>
      </c>
      <c r="K405" s="1">
        <v>1</v>
      </c>
      <c r="L405" s="35">
        <f>InventoryTY[[#This Row],[Landed Cost]]*InventoryTY[[#This Row],[Inventory Qty]]</f>
        <v>28098543</v>
      </c>
    </row>
    <row r="406" spans="1:12" x14ac:dyDescent="0.25">
      <c r="A406" s="1">
        <v>2026</v>
      </c>
      <c r="B406" s="1">
        <v>1</v>
      </c>
      <c r="C406" s="2">
        <v>46034</v>
      </c>
      <c r="D406" s="1">
        <v>219158</v>
      </c>
      <c r="E406" s="1" t="s">
        <v>70</v>
      </c>
      <c r="F406" s="1" t="s">
        <v>14</v>
      </c>
      <c r="G406" s="1" t="s">
        <v>69</v>
      </c>
      <c r="H406" s="1" t="s">
        <v>37</v>
      </c>
      <c r="I406" s="3">
        <v>11087533</v>
      </c>
      <c r="J406" s="1" t="s">
        <v>15</v>
      </c>
      <c r="K406" s="1">
        <v>1</v>
      </c>
      <c r="L406" s="35">
        <f>InventoryTY[[#This Row],[Landed Cost]]*InventoryTY[[#This Row],[Inventory Qty]]</f>
        <v>11087533</v>
      </c>
    </row>
    <row r="407" spans="1:12" x14ac:dyDescent="0.25">
      <c r="A407" s="1">
        <v>2026</v>
      </c>
      <c r="B407" s="1">
        <v>1</v>
      </c>
      <c r="C407" s="2">
        <v>46034</v>
      </c>
      <c r="D407" s="1">
        <v>219160</v>
      </c>
      <c r="E407" s="1" t="s">
        <v>70</v>
      </c>
      <c r="F407" s="1" t="s">
        <v>14</v>
      </c>
      <c r="G407" s="1" t="s">
        <v>69</v>
      </c>
      <c r="H407" s="1" t="s">
        <v>43</v>
      </c>
      <c r="I407" s="3">
        <v>45565204</v>
      </c>
      <c r="J407" s="1" t="s">
        <v>15</v>
      </c>
      <c r="K407" s="1">
        <v>1</v>
      </c>
      <c r="L407" s="35">
        <f>InventoryTY[[#This Row],[Landed Cost]]*InventoryTY[[#This Row],[Inventory Qty]]</f>
        <v>45565204</v>
      </c>
    </row>
    <row r="408" spans="1:12" x14ac:dyDescent="0.25">
      <c r="A408" s="1">
        <v>2026</v>
      </c>
      <c r="B408" s="1">
        <v>1</v>
      </c>
      <c r="C408" s="2">
        <v>46034</v>
      </c>
      <c r="D408" s="1">
        <v>219163</v>
      </c>
      <c r="E408" s="1" t="s">
        <v>70</v>
      </c>
      <c r="F408" s="1" t="s">
        <v>14</v>
      </c>
      <c r="G408" s="1" t="s">
        <v>69</v>
      </c>
      <c r="H408" s="1" t="s">
        <v>53</v>
      </c>
      <c r="I408" s="3">
        <v>30376803</v>
      </c>
      <c r="J408" s="1" t="s">
        <v>15</v>
      </c>
      <c r="K408" s="1">
        <v>1</v>
      </c>
      <c r="L408" s="35">
        <f>InventoryTY[[#This Row],[Landed Cost]]*InventoryTY[[#This Row],[Inventory Qty]]</f>
        <v>30376803</v>
      </c>
    </row>
    <row r="409" spans="1:12" x14ac:dyDescent="0.25">
      <c r="A409" s="1">
        <v>2026</v>
      </c>
      <c r="B409" s="1">
        <v>1</v>
      </c>
      <c r="C409" s="2">
        <v>46034</v>
      </c>
      <c r="D409" s="1">
        <v>219166</v>
      </c>
      <c r="E409" s="1" t="s">
        <v>70</v>
      </c>
      <c r="F409" s="1" t="s">
        <v>14</v>
      </c>
      <c r="G409" s="1" t="s">
        <v>69</v>
      </c>
      <c r="H409" s="1" t="s">
        <v>37</v>
      </c>
      <c r="I409" s="3">
        <v>54678245</v>
      </c>
      <c r="J409" s="1" t="s">
        <v>15</v>
      </c>
      <c r="K409" s="1">
        <v>1</v>
      </c>
      <c r="L409" s="35">
        <f>InventoryTY[[#This Row],[Landed Cost]]*InventoryTY[[#This Row],[Inventory Qty]]</f>
        <v>54678245</v>
      </c>
    </row>
    <row r="410" spans="1:12" x14ac:dyDescent="0.25">
      <c r="A410" s="1">
        <v>2026</v>
      </c>
      <c r="B410" s="1">
        <v>1</v>
      </c>
      <c r="C410" s="2">
        <v>46034</v>
      </c>
      <c r="D410" s="1">
        <v>219166</v>
      </c>
      <c r="E410" s="1" t="s">
        <v>70</v>
      </c>
      <c r="F410" s="1" t="s">
        <v>14</v>
      </c>
      <c r="G410" s="1" t="s">
        <v>69</v>
      </c>
      <c r="H410" s="1" t="s">
        <v>37</v>
      </c>
      <c r="I410" s="3">
        <v>54678245</v>
      </c>
      <c r="J410" s="1" t="s">
        <v>17</v>
      </c>
      <c r="K410" s="1">
        <v>1</v>
      </c>
      <c r="L410" s="35">
        <f>InventoryTY[[#This Row],[Landed Cost]]*InventoryTY[[#This Row],[Inventory Qty]]</f>
        <v>54678245</v>
      </c>
    </row>
    <row r="411" spans="1:12" x14ac:dyDescent="0.25">
      <c r="A411" s="1">
        <v>2026</v>
      </c>
      <c r="B411" s="1">
        <v>1</v>
      </c>
      <c r="C411" s="2">
        <v>46034</v>
      </c>
      <c r="D411" s="1">
        <v>219781</v>
      </c>
      <c r="E411" s="1" t="s">
        <v>58</v>
      </c>
      <c r="F411" s="1" t="s">
        <v>62</v>
      </c>
      <c r="G411" s="1" t="s">
        <v>69</v>
      </c>
      <c r="H411" s="1" t="s">
        <v>43</v>
      </c>
      <c r="I411" s="3">
        <v>32928000</v>
      </c>
      <c r="J411" s="1" t="s">
        <v>15</v>
      </c>
      <c r="K411" s="1">
        <v>1</v>
      </c>
      <c r="L411" s="35">
        <f>InventoryTY[[#This Row],[Landed Cost]]*InventoryTY[[#This Row],[Inventory Qty]]</f>
        <v>32928000</v>
      </c>
    </row>
    <row r="412" spans="1:12" x14ac:dyDescent="0.25">
      <c r="A412" s="1">
        <v>2026</v>
      </c>
      <c r="B412" s="1">
        <v>1</v>
      </c>
      <c r="C412" s="2">
        <v>46034</v>
      </c>
      <c r="D412" s="1">
        <v>221612</v>
      </c>
      <c r="E412" s="1" t="s">
        <v>40</v>
      </c>
      <c r="F412" s="1" t="s">
        <v>62</v>
      </c>
      <c r="G412" s="1" t="s">
        <v>71</v>
      </c>
      <c r="H412" s="1" t="s">
        <v>34</v>
      </c>
      <c r="I412" s="3">
        <v>70200000</v>
      </c>
      <c r="J412" s="1" t="s">
        <v>15</v>
      </c>
      <c r="K412" s="1">
        <v>1</v>
      </c>
      <c r="L412" s="35">
        <f>InventoryTY[[#This Row],[Landed Cost]]*InventoryTY[[#This Row],[Inventory Qty]]</f>
        <v>70200000</v>
      </c>
    </row>
    <row r="413" spans="1:12" x14ac:dyDescent="0.25">
      <c r="A413" s="1">
        <v>2026</v>
      </c>
      <c r="B413" s="1">
        <v>1</v>
      </c>
      <c r="C413" s="2">
        <v>46034</v>
      </c>
      <c r="D413" s="1">
        <v>221613</v>
      </c>
      <c r="E413" s="1" t="s">
        <v>40</v>
      </c>
      <c r="F413" s="1" t="s">
        <v>62</v>
      </c>
      <c r="G413" s="1" t="s">
        <v>71</v>
      </c>
      <c r="H413" s="1" t="s">
        <v>34</v>
      </c>
      <c r="I413" s="3">
        <v>81000000</v>
      </c>
      <c r="J413" s="1" t="s">
        <v>17</v>
      </c>
      <c r="K413" s="1">
        <v>1</v>
      </c>
      <c r="L413" s="35">
        <f>InventoryTY[[#This Row],[Landed Cost]]*InventoryTY[[#This Row],[Inventory Qty]]</f>
        <v>81000000</v>
      </c>
    </row>
    <row r="414" spans="1:12" x14ac:dyDescent="0.25">
      <c r="A414" s="1">
        <v>2026</v>
      </c>
      <c r="B414" s="1">
        <v>1</v>
      </c>
      <c r="C414" s="2">
        <v>46034</v>
      </c>
      <c r="D414" s="1">
        <v>221617</v>
      </c>
      <c r="E414" s="1" t="s">
        <v>40</v>
      </c>
      <c r="F414" s="1" t="s">
        <v>62</v>
      </c>
      <c r="G414" s="1" t="s">
        <v>71</v>
      </c>
      <c r="H414" s="1" t="s">
        <v>34</v>
      </c>
      <c r="I414" s="3">
        <v>48600000</v>
      </c>
      <c r="J414" s="1" t="s">
        <v>17</v>
      </c>
      <c r="K414" s="1">
        <v>1</v>
      </c>
      <c r="L414" s="35">
        <f>InventoryTY[[#This Row],[Landed Cost]]*InventoryTY[[#This Row],[Inventory Qty]]</f>
        <v>48600000</v>
      </c>
    </row>
    <row r="415" spans="1:12" x14ac:dyDescent="0.25">
      <c r="A415" s="1">
        <v>2026</v>
      </c>
      <c r="B415" s="1">
        <v>1</v>
      </c>
      <c r="C415" s="2">
        <v>46034</v>
      </c>
      <c r="D415" s="1">
        <v>221618</v>
      </c>
      <c r="E415" s="1" t="s">
        <v>40</v>
      </c>
      <c r="F415" s="1" t="s">
        <v>62</v>
      </c>
      <c r="G415" s="1" t="s">
        <v>71</v>
      </c>
      <c r="H415" s="1" t="s">
        <v>34</v>
      </c>
      <c r="I415" s="3">
        <v>29700000</v>
      </c>
      <c r="J415" s="1" t="s">
        <v>15</v>
      </c>
      <c r="K415" s="1">
        <v>1</v>
      </c>
      <c r="L415" s="35">
        <f>InventoryTY[[#This Row],[Landed Cost]]*InventoryTY[[#This Row],[Inventory Qty]]</f>
        <v>29700000</v>
      </c>
    </row>
    <row r="416" spans="1:12" x14ac:dyDescent="0.25">
      <c r="A416" s="1">
        <v>2026</v>
      </c>
      <c r="B416" s="1">
        <v>1</v>
      </c>
      <c r="C416" s="2">
        <v>46034</v>
      </c>
      <c r="D416" s="1">
        <v>221619</v>
      </c>
      <c r="E416" s="1" t="s">
        <v>40</v>
      </c>
      <c r="F416" s="1" t="s">
        <v>62</v>
      </c>
      <c r="G416" s="1" t="s">
        <v>71</v>
      </c>
      <c r="H416" s="1" t="s">
        <v>34</v>
      </c>
      <c r="I416" s="3">
        <v>29700000</v>
      </c>
      <c r="J416" s="1" t="s">
        <v>15</v>
      </c>
      <c r="K416" s="1">
        <v>1</v>
      </c>
      <c r="L416" s="35">
        <f>InventoryTY[[#This Row],[Landed Cost]]*InventoryTY[[#This Row],[Inventory Qty]]</f>
        <v>29700000</v>
      </c>
    </row>
    <row r="417" spans="1:12" x14ac:dyDescent="0.25">
      <c r="A417" s="1">
        <v>2026</v>
      </c>
      <c r="B417" s="1">
        <v>1</v>
      </c>
      <c r="C417" s="2">
        <v>46034</v>
      </c>
      <c r="D417" s="1">
        <v>221620</v>
      </c>
      <c r="E417" s="1" t="s">
        <v>40</v>
      </c>
      <c r="F417" s="1" t="s">
        <v>62</v>
      </c>
      <c r="G417" s="1" t="s">
        <v>71</v>
      </c>
      <c r="H417" s="1" t="s">
        <v>34</v>
      </c>
      <c r="I417" s="3">
        <v>72900000</v>
      </c>
      <c r="J417" s="1" t="s">
        <v>15</v>
      </c>
      <c r="K417" s="1">
        <v>1</v>
      </c>
      <c r="L417" s="35">
        <f>InventoryTY[[#This Row],[Landed Cost]]*InventoryTY[[#This Row],[Inventory Qty]]</f>
        <v>72900000</v>
      </c>
    </row>
    <row r="418" spans="1:12" x14ac:dyDescent="0.25">
      <c r="A418" s="1">
        <v>2026</v>
      </c>
      <c r="B418" s="1">
        <v>1</v>
      </c>
      <c r="C418" s="2">
        <v>46034</v>
      </c>
      <c r="D418" s="1">
        <v>221624</v>
      </c>
      <c r="E418" s="1" t="s">
        <v>40</v>
      </c>
      <c r="F418" s="1" t="s">
        <v>62</v>
      </c>
      <c r="G418" s="1" t="s">
        <v>71</v>
      </c>
      <c r="H418" s="1" t="s">
        <v>34</v>
      </c>
      <c r="I418" s="3">
        <v>113400000</v>
      </c>
      <c r="J418" s="1" t="s">
        <v>17</v>
      </c>
      <c r="K418" s="1">
        <v>1</v>
      </c>
      <c r="L418" s="35">
        <f>InventoryTY[[#This Row],[Landed Cost]]*InventoryTY[[#This Row],[Inventory Qty]]</f>
        <v>113400000</v>
      </c>
    </row>
    <row r="419" spans="1:12" x14ac:dyDescent="0.25">
      <c r="A419" s="1">
        <v>2026</v>
      </c>
      <c r="B419" s="1">
        <v>1</v>
      </c>
      <c r="C419" s="2">
        <v>46034</v>
      </c>
      <c r="D419" s="1">
        <v>221627</v>
      </c>
      <c r="E419" s="1" t="s">
        <v>40</v>
      </c>
      <c r="F419" s="1" t="s">
        <v>62</v>
      </c>
      <c r="G419" s="1" t="s">
        <v>71</v>
      </c>
      <c r="H419" s="1" t="s">
        <v>34</v>
      </c>
      <c r="I419" s="3">
        <v>64800000</v>
      </c>
      <c r="J419" s="1" t="s">
        <v>15</v>
      </c>
      <c r="K419" s="1">
        <v>1</v>
      </c>
      <c r="L419" s="35">
        <f>InventoryTY[[#This Row],[Landed Cost]]*InventoryTY[[#This Row],[Inventory Qty]]</f>
        <v>64800000</v>
      </c>
    </row>
    <row r="420" spans="1:12" x14ac:dyDescent="0.25">
      <c r="A420" s="1">
        <v>2026</v>
      </c>
      <c r="B420" s="1">
        <v>1</v>
      </c>
      <c r="C420" s="2">
        <v>46034</v>
      </c>
      <c r="D420" s="1">
        <v>221628</v>
      </c>
      <c r="E420" s="1" t="s">
        <v>40</v>
      </c>
      <c r="F420" s="1" t="s">
        <v>62</v>
      </c>
      <c r="G420" s="1" t="s">
        <v>71</v>
      </c>
      <c r="H420" s="1" t="s">
        <v>34</v>
      </c>
      <c r="I420" s="3">
        <v>59400000</v>
      </c>
      <c r="J420" s="1" t="s">
        <v>15</v>
      </c>
      <c r="K420" s="1">
        <v>1</v>
      </c>
      <c r="L420" s="35">
        <f>InventoryTY[[#This Row],[Landed Cost]]*InventoryTY[[#This Row],[Inventory Qty]]</f>
        <v>59400000</v>
      </c>
    </row>
    <row r="421" spans="1:12" x14ac:dyDescent="0.25">
      <c r="A421" s="1">
        <v>2026</v>
      </c>
      <c r="B421" s="1">
        <v>1</v>
      </c>
      <c r="C421" s="2">
        <v>46034</v>
      </c>
      <c r="D421" s="1">
        <v>221630</v>
      </c>
      <c r="E421" s="1" t="s">
        <v>40</v>
      </c>
      <c r="F421" s="1" t="s">
        <v>62</v>
      </c>
      <c r="G421" s="1" t="s">
        <v>71</v>
      </c>
      <c r="H421" s="1" t="s">
        <v>34</v>
      </c>
      <c r="I421" s="3">
        <v>24300000</v>
      </c>
      <c r="J421" s="1" t="s">
        <v>15</v>
      </c>
      <c r="K421" s="1">
        <v>1</v>
      </c>
      <c r="L421" s="35">
        <f>InventoryTY[[#This Row],[Landed Cost]]*InventoryTY[[#This Row],[Inventory Qty]]</f>
        <v>24300000</v>
      </c>
    </row>
    <row r="422" spans="1:12" x14ac:dyDescent="0.25">
      <c r="A422" s="1">
        <v>2026</v>
      </c>
      <c r="B422" s="1">
        <v>1</v>
      </c>
      <c r="C422" s="2">
        <v>46034</v>
      </c>
      <c r="D422" s="1">
        <v>221634</v>
      </c>
      <c r="E422" s="1" t="s">
        <v>40</v>
      </c>
      <c r="F422" s="1" t="s">
        <v>62</v>
      </c>
      <c r="G422" s="1" t="s">
        <v>71</v>
      </c>
      <c r="H422" s="1" t="s">
        <v>37</v>
      </c>
      <c r="I422" s="3">
        <v>59400000</v>
      </c>
      <c r="J422" s="1" t="s">
        <v>15</v>
      </c>
      <c r="K422" s="1">
        <v>1</v>
      </c>
      <c r="L422" s="35">
        <f>InventoryTY[[#This Row],[Landed Cost]]*InventoryTY[[#This Row],[Inventory Qty]]</f>
        <v>59400000</v>
      </c>
    </row>
    <row r="423" spans="1:12" x14ac:dyDescent="0.25">
      <c r="A423" s="1">
        <v>2026</v>
      </c>
      <c r="B423" s="1">
        <v>1</v>
      </c>
      <c r="C423" s="2">
        <v>46034</v>
      </c>
      <c r="D423" s="1">
        <v>221636</v>
      </c>
      <c r="E423" s="1" t="s">
        <v>40</v>
      </c>
      <c r="F423" s="1" t="s">
        <v>62</v>
      </c>
      <c r="G423" s="1" t="s">
        <v>71</v>
      </c>
      <c r="H423" s="1" t="s">
        <v>37</v>
      </c>
      <c r="I423" s="3">
        <v>81000000</v>
      </c>
      <c r="J423" s="1" t="s">
        <v>15</v>
      </c>
      <c r="K423" s="1">
        <v>1</v>
      </c>
      <c r="L423" s="35">
        <f>InventoryTY[[#This Row],[Landed Cost]]*InventoryTY[[#This Row],[Inventory Qty]]</f>
        <v>81000000</v>
      </c>
    </row>
    <row r="424" spans="1:12" x14ac:dyDescent="0.25">
      <c r="A424" s="1">
        <v>2026</v>
      </c>
      <c r="B424" s="1">
        <v>1</v>
      </c>
      <c r="C424" s="2">
        <v>46034</v>
      </c>
      <c r="D424" s="1">
        <v>221645</v>
      </c>
      <c r="E424" s="1" t="s">
        <v>40</v>
      </c>
      <c r="F424" s="1" t="s">
        <v>62</v>
      </c>
      <c r="G424" s="1" t="s">
        <v>71</v>
      </c>
      <c r="H424" s="1" t="s">
        <v>34</v>
      </c>
      <c r="I424" s="3">
        <v>59400000</v>
      </c>
      <c r="J424" s="1" t="s">
        <v>17</v>
      </c>
      <c r="K424" s="1">
        <v>1</v>
      </c>
      <c r="L424" s="35">
        <f>InventoryTY[[#This Row],[Landed Cost]]*InventoryTY[[#This Row],[Inventory Qty]]</f>
        <v>59400000</v>
      </c>
    </row>
    <row r="425" spans="1:12" x14ac:dyDescent="0.25">
      <c r="A425" s="1">
        <v>2026</v>
      </c>
      <c r="B425" s="1">
        <v>1</v>
      </c>
      <c r="C425" s="2">
        <v>46034</v>
      </c>
      <c r="D425" s="1">
        <v>221652</v>
      </c>
      <c r="E425" s="1" t="s">
        <v>40</v>
      </c>
      <c r="F425" s="1" t="s">
        <v>62</v>
      </c>
      <c r="G425" s="1" t="s">
        <v>71</v>
      </c>
      <c r="H425" s="1" t="s">
        <v>34</v>
      </c>
      <c r="I425" s="3">
        <v>24300000</v>
      </c>
      <c r="J425" s="1" t="s">
        <v>13</v>
      </c>
      <c r="K425" s="1">
        <v>1</v>
      </c>
      <c r="L425" s="35">
        <f>InventoryTY[[#This Row],[Landed Cost]]*InventoryTY[[#This Row],[Inventory Qty]]</f>
        <v>24300000</v>
      </c>
    </row>
    <row r="426" spans="1:12" x14ac:dyDescent="0.25">
      <c r="A426" s="1">
        <v>2026</v>
      </c>
      <c r="B426" s="1">
        <v>1</v>
      </c>
      <c r="C426" s="2">
        <v>46034</v>
      </c>
      <c r="D426" s="1">
        <v>222104</v>
      </c>
      <c r="E426" s="1" t="s">
        <v>40</v>
      </c>
      <c r="F426" s="1" t="s">
        <v>62</v>
      </c>
      <c r="G426" s="1" t="s">
        <v>71</v>
      </c>
      <c r="H426" s="1" t="s">
        <v>37</v>
      </c>
      <c r="I426" s="3">
        <v>137500000</v>
      </c>
      <c r="J426" s="1" t="s">
        <v>15</v>
      </c>
      <c r="K426" s="1">
        <v>1</v>
      </c>
      <c r="L426" s="35">
        <f>InventoryTY[[#This Row],[Landed Cost]]*InventoryTY[[#This Row],[Inventory Qty]]</f>
        <v>137500000</v>
      </c>
    </row>
    <row r="427" spans="1:12" x14ac:dyDescent="0.25">
      <c r="A427" s="1">
        <v>2026</v>
      </c>
      <c r="B427" s="1">
        <v>1</v>
      </c>
      <c r="C427" s="2">
        <v>46034</v>
      </c>
      <c r="D427" s="1">
        <v>222516</v>
      </c>
      <c r="E427" s="1" t="s">
        <v>65</v>
      </c>
      <c r="F427" s="1" t="s">
        <v>62</v>
      </c>
      <c r="G427" s="1" t="s">
        <v>71</v>
      </c>
      <c r="H427" s="1" t="s">
        <v>43</v>
      </c>
      <c r="I427" s="3">
        <v>57896601</v>
      </c>
      <c r="J427" s="1" t="s">
        <v>17</v>
      </c>
      <c r="K427" s="1">
        <v>1</v>
      </c>
      <c r="L427" s="35">
        <f>InventoryTY[[#This Row],[Landed Cost]]*InventoryTY[[#This Row],[Inventory Qty]]</f>
        <v>57896601</v>
      </c>
    </row>
    <row r="428" spans="1:12" x14ac:dyDescent="0.25">
      <c r="A428" s="1">
        <v>2026</v>
      </c>
      <c r="B428" s="1">
        <v>1</v>
      </c>
      <c r="C428" s="2">
        <v>46034</v>
      </c>
      <c r="D428" s="1">
        <v>222517</v>
      </c>
      <c r="E428" s="1" t="s">
        <v>65</v>
      </c>
      <c r="F428" s="1" t="s">
        <v>62</v>
      </c>
      <c r="G428" s="1" t="s">
        <v>71</v>
      </c>
      <c r="H428" s="1" t="s">
        <v>43</v>
      </c>
      <c r="I428" s="3">
        <v>65975075</v>
      </c>
      <c r="J428" s="1" t="s">
        <v>17</v>
      </c>
      <c r="K428" s="1">
        <v>1</v>
      </c>
      <c r="L428" s="35">
        <f>InventoryTY[[#This Row],[Landed Cost]]*InventoryTY[[#This Row],[Inventory Qty]]</f>
        <v>65975075</v>
      </c>
    </row>
    <row r="429" spans="1:12" x14ac:dyDescent="0.25">
      <c r="A429" s="1">
        <v>2026</v>
      </c>
      <c r="B429" s="1">
        <v>1</v>
      </c>
      <c r="C429" s="2">
        <v>46034</v>
      </c>
      <c r="D429" s="1">
        <v>222518</v>
      </c>
      <c r="E429" s="1" t="s">
        <v>65</v>
      </c>
      <c r="F429" s="1" t="s">
        <v>62</v>
      </c>
      <c r="G429" s="1" t="s">
        <v>71</v>
      </c>
      <c r="H429" s="1" t="s">
        <v>43</v>
      </c>
      <c r="I429" s="3">
        <v>65975075</v>
      </c>
      <c r="J429" s="1" t="s">
        <v>17</v>
      </c>
      <c r="K429" s="1">
        <v>1</v>
      </c>
      <c r="L429" s="35">
        <f>InventoryTY[[#This Row],[Landed Cost]]*InventoryTY[[#This Row],[Inventory Qty]]</f>
        <v>65975075</v>
      </c>
    </row>
    <row r="430" spans="1:12" x14ac:dyDescent="0.25">
      <c r="A430" s="1">
        <v>2026</v>
      </c>
      <c r="B430" s="1">
        <v>1</v>
      </c>
      <c r="C430" s="2">
        <v>46034</v>
      </c>
      <c r="D430" s="1">
        <v>222519</v>
      </c>
      <c r="E430" s="1" t="s">
        <v>65</v>
      </c>
      <c r="F430" s="1" t="s">
        <v>62</v>
      </c>
      <c r="G430" s="1" t="s">
        <v>71</v>
      </c>
      <c r="H430" s="1" t="s">
        <v>43</v>
      </c>
      <c r="I430" s="3">
        <v>66648560</v>
      </c>
      <c r="J430" s="1" t="s">
        <v>17</v>
      </c>
      <c r="K430" s="1">
        <v>1</v>
      </c>
      <c r="L430" s="35">
        <f>InventoryTY[[#This Row],[Landed Cost]]*InventoryTY[[#This Row],[Inventory Qty]]</f>
        <v>66648560</v>
      </c>
    </row>
    <row r="431" spans="1:12" x14ac:dyDescent="0.25">
      <c r="A431" s="1">
        <v>2026</v>
      </c>
      <c r="B431" s="1">
        <v>1</v>
      </c>
      <c r="C431" s="2">
        <v>46034</v>
      </c>
      <c r="D431" s="1">
        <v>222520</v>
      </c>
      <c r="E431" s="1" t="s">
        <v>65</v>
      </c>
      <c r="F431" s="1" t="s">
        <v>62</v>
      </c>
      <c r="G431" s="1" t="s">
        <v>71</v>
      </c>
      <c r="H431" s="1" t="s">
        <v>43</v>
      </c>
      <c r="I431" s="3">
        <v>321797237</v>
      </c>
      <c r="J431" s="1" t="s">
        <v>15</v>
      </c>
      <c r="K431" s="1">
        <v>1</v>
      </c>
      <c r="L431" s="35">
        <f>InventoryTY[[#This Row],[Landed Cost]]*InventoryTY[[#This Row],[Inventory Qty]]</f>
        <v>321797237</v>
      </c>
    </row>
    <row r="432" spans="1:12" x14ac:dyDescent="0.25">
      <c r="A432" s="1">
        <v>2026</v>
      </c>
      <c r="B432" s="1">
        <v>1</v>
      </c>
      <c r="C432" s="2">
        <v>46034</v>
      </c>
      <c r="D432" s="1">
        <v>222521</v>
      </c>
      <c r="E432" s="1" t="s">
        <v>65</v>
      </c>
      <c r="F432" s="1" t="s">
        <v>62</v>
      </c>
      <c r="G432" s="1" t="s">
        <v>71</v>
      </c>
      <c r="H432" s="1" t="s">
        <v>53</v>
      </c>
      <c r="I432" s="3">
        <v>160225469</v>
      </c>
      <c r="J432" s="1" t="s">
        <v>17</v>
      </c>
      <c r="K432" s="1">
        <v>1</v>
      </c>
      <c r="L432" s="35">
        <f>InventoryTY[[#This Row],[Landed Cost]]*InventoryTY[[#This Row],[Inventory Qty]]</f>
        <v>160225469</v>
      </c>
    </row>
    <row r="433" spans="1:12" x14ac:dyDescent="0.25">
      <c r="A433" s="1">
        <v>2026</v>
      </c>
      <c r="B433" s="1">
        <v>1</v>
      </c>
      <c r="C433" s="2">
        <v>46034</v>
      </c>
      <c r="D433" s="1">
        <v>222522</v>
      </c>
      <c r="E433" s="1" t="s">
        <v>65</v>
      </c>
      <c r="F433" s="1" t="s">
        <v>62</v>
      </c>
      <c r="G433" s="1" t="s">
        <v>71</v>
      </c>
      <c r="H433" s="1" t="s">
        <v>53</v>
      </c>
      <c r="I433" s="3">
        <v>179075346</v>
      </c>
      <c r="J433" s="1" t="s">
        <v>17</v>
      </c>
      <c r="K433" s="1">
        <v>1</v>
      </c>
      <c r="L433" s="35">
        <f>InventoryTY[[#This Row],[Landed Cost]]*InventoryTY[[#This Row],[Inventory Qty]]</f>
        <v>179075346</v>
      </c>
    </row>
    <row r="434" spans="1:12" x14ac:dyDescent="0.25">
      <c r="A434" s="1">
        <v>2026</v>
      </c>
      <c r="B434" s="1">
        <v>1</v>
      </c>
      <c r="C434" s="2">
        <v>46034</v>
      </c>
      <c r="D434" s="1">
        <v>222525</v>
      </c>
      <c r="E434" s="1" t="s">
        <v>65</v>
      </c>
      <c r="F434" s="1" t="s">
        <v>62</v>
      </c>
      <c r="G434" s="1" t="s">
        <v>71</v>
      </c>
      <c r="H434" s="1" t="s">
        <v>34</v>
      </c>
      <c r="I434" s="3">
        <v>84152138</v>
      </c>
      <c r="J434" s="1" t="s">
        <v>17</v>
      </c>
      <c r="K434" s="1">
        <v>1</v>
      </c>
      <c r="L434" s="35">
        <f>InventoryTY[[#This Row],[Landed Cost]]*InventoryTY[[#This Row],[Inventory Qty]]</f>
        <v>84152138</v>
      </c>
    </row>
    <row r="435" spans="1:12" x14ac:dyDescent="0.25">
      <c r="A435" s="1">
        <v>2026</v>
      </c>
      <c r="B435" s="1">
        <v>1</v>
      </c>
      <c r="C435" s="2">
        <v>46034</v>
      </c>
      <c r="D435" s="1">
        <v>222526</v>
      </c>
      <c r="E435" s="1" t="s">
        <v>65</v>
      </c>
      <c r="F435" s="1" t="s">
        <v>62</v>
      </c>
      <c r="G435" s="1" t="s">
        <v>71</v>
      </c>
      <c r="H435" s="1" t="s">
        <v>34</v>
      </c>
      <c r="I435" s="3">
        <v>85498437</v>
      </c>
      <c r="J435" s="1" t="s">
        <v>17</v>
      </c>
      <c r="K435" s="1">
        <v>1</v>
      </c>
      <c r="L435" s="35">
        <f>InventoryTY[[#This Row],[Landed Cost]]*InventoryTY[[#This Row],[Inventory Qty]]</f>
        <v>85498437</v>
      </c>
    </row>
    <row r="436" spans="1:12" x14ac:dyDescent="0.25">
      <c r="A436" s="1">
        <v>2026</v>
      </c>
      <c r="B436" s="1">
        <v>1</v>
      </c>
      <c r="C436" s="2">
        <v>46034</v>
      </c>
      <c r="D436" s="1">
        <v>222527</v>
      </c>
      <c r="E436" s="1" t="s">
        <v>65</v>
      </c>
      <c r="F436" s="1" t="s">
        <v>62</v>
      </c>
      <c r="G436" s="1" t="s">
        <v>71</v>
      </c>
      <c r="H436" s="1" t="s">
        <v>34</v>
      </c>
      <c r="I436" s="3">
        <v>288136383</v>
      </c>
      <c r="J436" s="1" t="s">
        <v>15</v>
      </c>
      <c r="K436" s="1">
        <v>1</v>
      </c>
      <c r="L436" s="35">
        <f>InventoryTY[[#This Row],[Landed Cost]]*InventoryTY[[#This Row],[Inventory Qty]]</f>
        <v>288136383</v>
      </c>
    </row>
    <row r="437" spans="1:12" x14ac:dyDescent="0.25">
      <c r="A437" s="1">
        <v>2026</v>
      </c>
      <c r="B437" s="1">
        <v>1</v>
      </c>
      <c r="C437" s="2">
        <v>46034</v>
      </c>
      <c r="D437" s="1">
        <v>222528</v>
      </c>
      <c r="E437" s="1" t="s">
        <v>65</v>
      </c>
      <c r="F437" s="1" t="s">
        <v>62</v>
      </c>
      <c r="G437" s="1" t="s">
        <v>71</v>
      </c>
      <c r="H437" s="1" t="s">
        <v>37</v>
      </c>
      <c r="I437" s="3">
        <v>2221612739</v>
      </c>
      <c r="J437" s="1" t="s">
        <v>15</v>
      </c>
      <c r="K437" s="1">
        <v>1</v>
      </c>
      <c r="L437" s="35">
        <f>InventoryTY[[#This Row],[Landed Cost]]*InventoryTY[[#This Row],[Inventory Qty]]</f>
        <v>2221612739</v>
      </c>
    </row>
    <row r="438" spans="1:12" x14ac:dyDescent="0.25">
      <c r="A438" s="1">
        <v>2026</v>
      </c>
      <c r="B438" s="1">
        <v>1</v>
      </c>
      <c r="C438" s="2">
        <v>46034</v>
      </c>
      <c r="D438" s="1">
        <v>222529</v>
      </c>
      <c r="E438" s="1" t="s">
        <v>65</v>
      </c>
      <c r="F438" s="1" t="s">
        <v>62</v>
      </c>
      <c r="G438" s="1" t="s">
        <v>71</v>
      </c>
      <c r="H438" s="1" t="s">
        <v>37</v>
      </c>
      <c r="I438" s="3">
        <v>996359630</v>
      </c>
      <c r="J438" s="1" t="s">
        <v>17</v>
      </c>
      <c r="K438" s="1">
        <v>1</v>
      </c>
      <c r="L438" s="35">
        <f>InventoryTY[[#This Row],[Landed Cost]]*InventoryTY[[#This Row],[Inventory Qty]]</f>
        <v>996359630</v>
      </c>
    </row>
    <row r="439" spans="1:12" x14ac:dyDescent="0.25">
      <c r="A439" s="1">
        <v>2026</v>
      </c>
      <c r="B439" s="1">
        <v>1</v>
      </c>
      <c r="C439" s="2">
        <v>46034</v>
      </c>
      <c r="D439" s="1">
        <v>222530</v>
      </c>
      <c r="E439" s="1" t="s">
        <v>65</v>
      </c>
      <c r="F439" s="1" t="s">
        <v>62</v>
      </c>
      <c r="G439" s="1" t="s">
        <v>71</v>
      </c>
      <c r="H439" s="1" t="s">
        <v>34</v>
      </c>
      <c r="I439" s="3">
        <v>257168462</v>
      </c>
      <c r="J439" s="1" t="s">
        <v>15</v>
      </c>
      <c r="K439" s="1">
        <v>1</v>
      </c>
      <c r="L439" s="35">
        <f>InventoryTY[[#This Row],[Landed Cost]]*InventoryTY[[#This Row],[Inventory Qty]]</f>
        <v>257168462</v>
      </c>
    </row>
    <row r="440" spans="1:12" x14ac:dyDescent="0.25">
      <c r="A440" s="1">
        <v>2026</v>
      </c>
      <c r="B440" s="1">
        <v>1</v>
      </c>
      <c r="C440" s="2">
        <v>46034</v>
      </c>
      <c r="D440" s="1">
        <v>222531</v>
      </c>
      <c r="E440" s="1" t="s">
        <v>65</v>
      </c>
      <c r="F440" s="1" t="s">
        <v>62</v>
      </c>
      <c r="G440" s="1" t="s">
        <v>71</v>
      </c>
      <c r="H440" s="1" t="s">
        <v>53</v>
      </c>
      <c r="I440" s="3">
        <v>127911250</v>
      </c>
      <c r="J440" s="1" t="s">
        <v>15</v>
      </c>
      <c r="K440" s="1">
        <v>1</v>
      </c>
      <c r="L440" s="35">
        <f>InventoryTY[[#This Row],[Landed Cost]]*InventoryTY[[#This Row],[Inventory Qty]]</f>
        <v>127911250</v>
      </c>
    </row>
    <row r="441" spans="1:12" x14ac:dyDescent="0.25">
      <c r="A441" s="1">
        <v>2026</v>
      </c>
      <c r="B441" s="1">
        <v>1</v>
      </c>
      <c r="C441" s="2">
        <v>46034</v>
      </c>
      <c r="D441" s="1">
        <v>222532</v>
      </c>
      <c r="E441" s="1" t="s">
        <v>65</v>
      </c>
      <c r="F441" s="1" t="s">
        <v>62</v>
      </c>
      <c r="G441" s="1" t="s">
        <v>71</v>
      </c>
      <c r="H441" s="1" t="s">
        <v>34</v>
      </c>
      <c r="I441" s="3">
        <v>40393026</v>
      </c>
      <c r="J441" s="1" t="s">
        <v>17</v>
      </c>
      <c r="K441" s="1">
        <v>1</v>
      </c>
      <c r="L441" s="35">
        <f>InventoryTY[[#This Row],[Landed Cost]]*InventoryTY[[#This Row],[Inventory Qty]]</f>
        <v>40393026</v>
      </c>
    </row>
    <row r="442" spans="1:12" x14ac:dyDescent="0.25">
      <c r="A442" s="1">
        <v>2026</v>
      </c>
      <c r="B442" s="1">
        <v>1</v>
      </c>
      <c r="C442" s="2">
        <v>46034</v>
      </c>
      <c r="D442" s="1">
        <v>223697</v>
      </c>
      <c r="E442" s="1" t="s">
        <v>70</v>
      </c>
      <c r="F442" s="1" t="s">
        <v>62</v>
      </c>
      <c r="G442" s="1" t="s">
        <v>71</v>
      </c>
      <c r="H442" s="1" t="s">
        <v>37</v>
      </c>
      <c r="I442" s="3">
        <v>12783777</v>
      </c>
      <c r="J442" s="1" t="s">
        <v>15</v>
      </c>
      <c r="K442" s="1">
        <v>1</v>
      </c>
      <c r="L442" s="35">
        <f>InventoryTY[[#This Row],[Landed Cost]]*InventoryTY[[#This Row],[Inventory Qty]]</f>
        <v>12783777</v>
      </c>
    </row>
    <row r="443" spans="1:12" x14ac:dyDescent="0.25">
      <c r="A443" s="1">
        <v>2026</v>
      </c>
      <c r="B443" s="1">
        <v>1</v>
      </c>
      <c r="C443" s="2">
        <v>46034</v>
      </c>
      <c r="D443" s="1">
        <v>223698</v>
      </c>
      <c r="E443" s="1" t="s">
        <v>70</v>
      </c>
      <c r="F443" s="1" t="s">
        <v>62</v>
      </c>
      <c r="G443" s="1" t="s">
        <v>71</v>
      </c>
      <c r="H443" s="1" t="s">
        <v>37</v>
      </c>
      <c r="I443" s="3">
        <v>23103211</v>
      </c>
      <c r="J443" s="1" t="s">
        <v>15</v>
      </c>
      <c r="K443" s="1">
        <v>1</v>
      </c>
      <c r="L443" s="35">
        <f>InventoryTY[[#This Row],[Landed Cost]]*InventoryTY[[#This Row],[Inventory Qty]]</f>
        <v>23103211</v>
      </c>
    </row>
    <row r="444" spans="1:12" x14ac:dyDescent="0.25">
      <c r="A444" s="1">
        <v>2026</v>
      </c>
      <c r="B444" s="1">
        <v>1</v>
      </c>
      <c r="C444" s="2">
        <v>46034</v>
      </c>
      <c r="D444" s="1">
        <v>223699</v>
      </c>
      <c r="E444" s="1" t="s">
        <v>70</v>
      </c>
      <c r="F444" s="1" t="s">
        <v>62</v>
      </c>
      <c r="G444" s="1" t="s">
        <v>71</v>
      </c>
      <c r="H444" s="1" t="s">
        <v>53</v>
      </c>
      <c r="I444" s="3">
        <v>6930963.5</v>
      </c>
      <c r="J444" s="1" t="s">
        <v>15</v>
      </c>
      <c r="K444" s="1">
        <v>1</v>
      </c>
      <c r="L444" s="35">
        <f>InventoryTY[[#This Row],[Landed Cost]]*InventoryTY[[#This Row],[Inventory Qty]]</f>
        <v>6930963.5</v>
      </c>
    </row>
    <row r="445" spans="1:12" x14ac:dyDescent="0.25">
      <c r="A445" s="1">
        <v>2026</v>
      </c>
      <c r="B445" s="1">
        <v>1</v>
      </c>
      <c r="C445" s="2">
        <v>46034</v>
      </c>
      <c r="D445" s="1">
        <v>223700</v>
      </c>
      <c r="E445" s="1" t="s">
        <v>70</v>
      </c>
      <c r="F445" s="1" t="s">
        <v>62</v>
      </c>
      <c r="G445" s="1" t="s">
        <v>71</v>
      </c>
      <c r="H445" s="1" t="s">
        <v>34</v>
      </c>
      <c r="I445" s="3">
        <v>8625198.333333334</v>
      </c>
      <c r="J445" s="1" t="s">
        <v>15</v>
      </c>
      <c r="K445" s="1">
        <v>1</v>
      </c>
      <c r="L445" s="35">
        <f>InventoryTY[[#This Row],[Landed Cost]]*InventoryTY[[#This Row],[Inventory Qty]]</f>
        <v>8625198.333333334</v>
      </c>
    </row>
    <row r="446" spans="1:12" x14ac:dyDescent="0.25">
      <c r="A446" s="1">
        <v>2026</v>
      </c>
      <c r="B446" s="1">
        <v>1</v>
      </c>
      <c r="C446" s="2">
        <v>46034</v>
      </c>
      <c r="D446" s="1">
        <v>223700</v>
      </c>
      <c r="E446" s="1" t="s">
        <v>70</v>
      </c>
      <c r="F446" s="1" t="s">
        <v>62</v>
      </c>
      <c r="G446" s="1" t="s">
        <v>71</v>
      </c>
      <c r="H446" s="1" t="s">
        <v>34</v>
      </c>
      <c r="I446" s="3">
        <v>8625198.333333334</v>
      </c>
      <c r="J446" s="1" t="s">
        <v>17</v>
      </c>
      <c r="K446" s="1">
        <v>1</v>
      </c>
      <c r="L446" s="35">
        <f>InventoryTY[[#This Row],[Landed Cost]]*InventoryTY[[#This Row],[Inventory Qty]]</f>
        <v>8625198.333333334</v>
      </c>
    </row>
    <row r="447" spans="1:12" x14ac:dyDescent="0.25">
      <c r="A447" s="1">
        <v>2026</v>
      </c>
      <c r="B447" s="1">
        <v>1</v>
      </c>
      <c r="C447" s="2">
        <v>46034</v>
      </c>
      <c r="D447" s="1">
        <v>223701</v>
      </c>
      <c r="E447" s="1" t="s">
        <v>70</v>
      </c>
      <c r="F447" s="1" t="s">
        <v>62</v>
      </c>
      <c r="G447" s="1" t="s">
        <v>71</v>
      </c>
      <c r="H447" s="1" t="s">
        <v>34</v>
      </c>
      <c r="I447" s="3">
        <v>6160855.5</v>
      </c>
      <c r="J447" s="1" t="s">
        <v>15</v>
      </c>
      <c r="K447" s="1">
        <v>1</v>
      </c>
      <c r="L447" s="35">
        <f>InventoryTY[[#This Row],[Landed Cost]]*InventoryTY[[#This Row],[Inventory Qty]]</f>
        <v>6160855.5</v>
      </c>
    </row>
    <row r="448" spans="1:12" x14ac:dyDescent="0.25">
      <c r="A448" s="1">
        <v>2026</v>
      </c>
      <c r="B448" s="1">
        <v>1</v>
      </c>
      <c r="C448" s="2">
        <v>46034</v>
      </c>
      <c r="D448" s="1">
        <v>223702</v>
      </c>
      <c r="E448" s="1" t="s">
        <v>70</v>
      </c>
      <c r="F448" s="1" t="s">
        <v>62</v>
      </c>
      <c r="G448" s="1" t="s">
        <v>71</v>
      </c>
      <c r="H448" s="1" t="s">
        <v>37</v>
      </c>
      <c r="I448" s="3">
        <v>8240145</v>
      </c>
      <c r="J448" s="1" t="s">
        <v>15</v>
      </c>
      <c r="K448" s="1">
        <v>3</v>
      </c>
      <c r="L448" s="35">
        <f>InventoryTY[[#This Row],[Landed Cost]]*InventoryTY[[#This Row],[Inventory Qty]]</f>
        <v>24720435</v>
      </c>
    </row>
    <row r="449" spans="1:12" x14ac:dyDescent="0.25">
      <c r="A449" s="1">
        <v>2026</v>
      </c>
      <c r="B449" s="1">
        <v>1</v>
      </c>
      <c r="C449" s="2">
        <v>46034</v>
      </c>
      <c r="D449" s="1">
        <v>223702</v>
      </c>
      <c r="E449" s="1" t="s">
        <v>70</v>
      </c>
      <c r="F449" s="1" t="s">
        <v>62</v>
      </c>
      <c r="G449" s="1" t="s">
        <v>71</v>
      </c>
      <c r="H449" s="1" t="s">
        <v>37</v>
      </c>
      <c r="I449" s="3">
        <v>8240145</v>
      </c>
      <c r="J449" s="1" t="s">
        <v>17</v>
      </c>
      <c r="K449" s="1">
        <v>1</v>
      </c>
      <c r="L449" s="35">
        <f>InventoryTY[[#This Row],[Landed Cost]]*InventoryTY[[#This Row],[Inventory Qty]]</f>
        <v>8240145</v>
      </c>
    </row>
    <row r="450" spans="1:12" x14ac:dyDescent="0.25">
      <c r="A450" s="1">
        <v>2026</v>
      </c>
      <c r="B450" s="1">
        <v>1</v>
      </c>
      <c r="C450" s="2">
        <v>46034</v>
      </c>
      <c r="D450" s="1">
        <v>223703</v>
      </c>
      <c r="E450" s="1" t="s">
        <v>70</v>
      </c>
      <c r="F450" s="1" t="s">
        <v>62</v>
      </c>
      <c r="G450" s="1" t="s">
        <v>71</v>
      </c>
      <c r="H450" s="1" t="s">
        <v>37</v>
      </c>
      <c r="I450" s="3">
        <v>39275457</v>
      </c>
      <c r="J450" s="1" t="s">
        <v>15</v>
      </c>
      <c r="K450" s="1">
        <v>1</v>
      </c>
      <c r="L450" s="35">
        <f>InventoryTY[[#This Row],[Landed Cost]]*InventoryTY[[#This Row],[Inventory Qty]]</f>
        <v>39275457</v>
      </c>
    </row>
    <row r="451" spans="1:12" x14ac:dyDescent="0.25">
      <c r="A451" s="1">
        <v>2026</v>
      </c>
      <c r="B451" s="1">
        <v>1</v>
      </c>
      <c r="C451" s="2">
        <v>46034</v>
      </c>
      <c r="D451" s="1">
        <v>223704</v>
      </c>
      <c r="E451" s="1" t="s">
        <v>70</v>
      </c>
      <c r="F451" s="1" t="s">
        <v>62</v>
      </c>
      <c r="G451" s="1" t="s">
        <v>71</v>
      </c>
      <c r="H451" s="1" t="s">
        <v>37</v>
      </c>
      <c r="I451" s="3">
        <v>27723851</v>
      </c>
      <c r="J451" s="1" t="s">
        <v>15</v>
      </c>
      <c r="K451" s="1">
        <v>1</v>
      </c>
      <c r="L451" s="35">
        <f>InventoryTY[[#This Row],[Landed Cost]]*InventoryTY[[#This Row],[Inventory Qty]]</f>
        <v>27723851</v>
      </c>
    </row>
    <row r="452" spans="1:12" x14ac:dyDescent="0.25">
      <c r="A452" s="1">
        <v>2026</v>
      </c>
      <c r="B452" s="1">
        <v>1</v>
      </c>
      <c r="C452" s="2">
        <v>46034</v>
      </c>
      <c r="D452" s="1">
        <v>223705</v>
      </c>
      <c r="E452" s="1" t="s">
        <v>70</v>
      </c>
      <c r="F452" s="1" t="s">
        <v>62</v>
      </c>
      <c r="G452" s="1" t="s">
        <v>71</v>
      </c>
      <c r="H452" s="1" t="s">
        <v>37</v>
      </c>
      <c r="I452" s="3">
        <v>21562996</v>
      </c>
      <c r="J452" s="1" t="s">
        <v>15</v>
      </c>
      <c r="K452" s="1">
        <v>1</v>
      </c>
      <c r="L452" s="35">
        <f>InventoryTY[[#This Row],[Landed Cost]]*InventoryTY[[#This Row],[Inventory Qty]]</f>
        <v>21562996</v>
      </c>
    </row>
    <row r="453" spans="1:12" x14ac:dyDescent="0.25">
      <c r="A453" s="1">
        <v>2026</v>
      </c>
      <c r="B453" s="1">
        <v>1</v>
      </c>
      <c r="C453" s="2">
        <v>46034</v>
      </c>
      <c r="D453" s="1">
        <v>223706</v>
      </c>
      <c r="E453" s="1" t="s">
        <v>70</v>
      </c>
      <c r="F453" s="1" t="s">
        <v>62</v>
      </c>
      <c r="G453" s="1" t="s">
        <v>71</v>
      </c>
      <c r="H453" s="1" t="s">
        <v>34</v>
      </c>
      <c r="I453" s="3">
        <v>24027338</v>
      </c>
      <c r="J453" s="1" t="s">
        <v>15</v>
      </c>
      <c r="K453" s="1">
        <v>1</v>
      </c>
      <c r="L453" s="35">
        <f>InventoryTY[[#This Row],[Landed Cost]]*InventoryTY[[#This Row],[Inventory Qty]]</f>
        <v>24027338</v>
      </c>
    </row>
    <row r="454" spans="1:12" x14ac:dyDescent="0.25">
      <c r="A454" s="1">
        <v>2026</v>
      </c>
      <c r="B454" s="1">
        <v>1</v>
      </c>
      <c r="C454" s="2">
        <v>46034</v>
      </c>
      <c r="D454" s="1">
        <v>223707</v>
      </c>
      <c r="E454" s="1" t="s">
        <v>70</v>
      </c>
      <c r="F454" s="1" t="s">
        <v>62</v>
      </c>
      <c r="G454" s="1" t="s">
        <v>71</v>
      </c>
      <c r="H454" s="1" t="s">
        <v>34</v>
      </c>
      <c r="I454" s="3">
        <v>24027339</v>
      </c>
      <c r="J454" s="1" t="s">
        <v>15</v>
      </c>
      <c r="K454" s="1">
        <v>1</v>
      </c>
      <c r="L454" s="35">
        <f>InventoryTY[[#This Row],[Landed Cost]]*InventoryTY[[#This Row],[Inventory Qty]]</f>
        <v>24027339</v>
      </c>
    </row>
    <row r="455" spans="1:12" x14ac:dyDescent="0.25">
      <c r="A455" s="1">
        <v>2026</v>
      </c>
      <c r="B455" s="1">
        <v>1</v>
      </c>
      <c r="C455" s="2">
        <v>46034</v>
      </c>
      <c r="D455" s="1">
        <v>223707</v>
      </c>
      <c r="E455" s="1" t="s">
        <v>70</v>
      </c>
      <c r="F455" s="1" t="s">
        <v>62</v>
      </c>
      <c r="G455" s="1" t="s">
        <v>71</v>
      </c>
      <c r="H455" s="1" t="s">
        <v>34</v>
      </c>
      <c r="I455" s="3">
        <v>24027339</v>
      </c>
      <c r="J455" s="1" t="s">
        <v>17</v>
      </c>
      <c r="K455" s="1">
        <v>1</v>
      </c>
      <c r="L455" s="35">
        <f>InventoryTY[[#This Row],[Landed Cost]]*InventoryTY[[#This Row],[Inventory Qty]]</f>
        <v>24027339</v>
      </c>
    </row>
    <row r="456" spans="1:12" x14ac:dyDescent="0.25">
      <c r="A456" s="1">
        <v>2026</v>
      </c>
      <c r="B456" s="1">
        <v>1</v>
      </c>
      <c r="C456" s="2">
        <v>46034</v>
      </c>
      <c r="D456" s="1">
        <v>223708</v>
      </c>
      <c r="E456" s="1" t="s">
        <v>70</v>
      </c>
      <c r="F456" s="1" t="s">
        <v>62</v>
      </c>
      <c r="G456" s="1" t="s">
        <v>71</v>
      </c>
      <c r="H456" s="1" t="s">
        <v>34</v>
      </c>
      <c r="I456" s="3">
        <v>10627476.800000001</v>
      </c>
      <c r="J456" s="1" t="s">
        <v>15</v>
      </c>
      <c r="K456" s="1">
        <v>3</v>
      </c>
      <c r="L456" s="35">
        <f>InventoryTY[[#This Row],[Landed Cost]]*InventoryTY[[#This Row],[Inventory Qty]]</f>
        <v>31882430.400000002</v>
      </c>
    </row>
    <row r="457" spans="1:12" x14ac:dyDescent="0.25">
      <c r="A457" s="1">
        <v>2026</v>
      </c>
      <c r="B457" s="1">
        <v>1</v>
      </c>
      <c r="C457" s="2">
        <v>46034</v>
      </c>
      <c r="D457" s="1">
        <v>223708</v>
      </c>
      <c r="E457" s="1" t="s">
        <v>70</v>
      </c>
      <c r="F457" s="1" t="s">
        <v>62</v>
      </c>
      <c r="G457" s="1" t="s">
        <v>71</v>
      </c>
      <c r="H457" s="1" t="s">
        <v>34</v>
      </c>
      <c r="I457" s="3">
        <v>10627476.800000001</v>
      </c>
      <c r="J457" s="1" t="s">
        <v>17</v>
      </c>
      <c r="K457" s="1">
        <v>2</v>
      </c>
      <c r="L457" s="35">
        <f>InventoryTY[[#This Row],[Landed Cost]]*InventoryTY[[#This Row],[Inventory Qty]]</f>
        <v>21254953.600000001</v>
      </c>
    </row>
    <row r="458" spans="1:12" x14ac:dyDescent="0.25">
      <c r="A458" s="1">
        <v>2026</v>
      </c>
      <c r="B458" s="1">
        <v>1</v>
      </c>
      <c r="C458" s="2">
        <v>46034</v>
      </c>
      <c r="D458" s="1">
        <v>223710</v>
      </c>
      <c r="E458" s="1" t="s">
        <v>70</v>
      </c>
      <c r="F458" s="1" t="s">
        <v>62</v>
      </c>
      <c r="G458" s="1" t="s">
        <v>71</v>
      </c>
      <c r="H458" s="1" t="s">
        <v>53</v>
      </c>
      <c r="I458" s="3">
        <v>16942354</v>
      </c>
      <c r="J458" s="1" t="s">
        <v>15</v>
      </c>
      <c r="K458" s="1">
        <v>1</v>
      </c>
      <c r="L458" s="35">
        <f>InventoryTY[[#This Row],[Landed Cost]]*InventoryTY[[#This Row],[Inventory Qty]]</f>
        <v>16942354</v>
      </c>
    </row>
    <row r="459" spans="1:12" x14ac:dyDescent="0.25">
      <c r="A459" s="1">
        <v>2026</v>
      </c>
      <c r="B459" s="1">
        <v>1</v>
      </c>
      <c r="C459" s="2">
        <v>46034</v>
      </c>
      <c r="D459" s="1">
        <v>223712</v>
      </c>
      <c r="E459" s="1" t="s">
        <v>70</v>
      </c>
      <c r="F459" s="1" t="s">
        <v>62</v>
      </c>
      <c r="G459" s="1" t="s">
        <v>71</v>
      </c>
      <c r="H459" s="1" t="s">
        <v>53</v>
      </c>
      <c r="I459" s="3">
        <v>9087263</v>
      </c>
      <c r="J459" s="1" t="s">
        <v>15</v>
      </c>
      <c r="K459" s="1">
        <v>1</v>
      </c>
      <c r="L459" s="35">
        <f>InventoryTY[[#This Row],[Landed Cost]]*InventoryTY[[#This Row],[Inventory Qty]]</f>
        <v>9087263</v>
      </c>
    </row>
    <row r="460" spans="1:12" x14ac:dyDescent="0.25">
      <c r="A460" s="1">
        <v>2026</v>
      </c>
      <c r="B460" s="1">
        <v>1</v>
      </c>
      <c r="C460" s="2">
        <v>46034</v>
      </c>
      <c r="D460" s="1">
        <v>223713</v>
      </c>
      <c r="E460" s="1" t="s">
        <v>70</v>
      </c>
      <c r="F460" s="1" t="s">
        <v>62</v>
      </c>
      <c r="G460" s="1" t="s">
        <v>71</v>
      </c>
      <c r="H460" s="1" t="s">
        <v>37</v>
      </c>
      <c r="I460" s="3">
        <v>33884708</v>
      </c>
      <c r="J460" s="1" t="s">
        <v>15</v>
      </c>
      <c r="K460" s="1">
        <v>1</v>
      </c>
      <c r="L460" s="35">
        <f>InventoryTY[[#This Row],[Landed Cost]]*InventoryTY[[#This Row],[Inventory Qty]]</f>
        <v>33884708</v>
      </c>
    </row>
    <row r="461" spans="1:12" x14ac:dyDescent="0.25">
      <c r="A461" s="1">
        <v>2026</v>
      </c>
      <c r="B461" s="1">
        <v>1</v>
      </c>
      <c r="C461" s="2">
        <v>46034</v>
      </c>
      <c r="D461" s="1">
        <v>223714</v>
      </c>
      <c r="E461" s="1" t="s">
        <v>70</v>
      </c>
      <c r="F461" s="1" t="s">
        <v>62</v>
      </c>
      <c r="G461" s="1" t="s">
        <v>71</v>
      </c>
      <c r="H461" s="1" t="s">
        <v>37</v>
      </c>
      <c r="I461" s="3">
        <v>23103210</v>
      </c>
      <c r="J461" s="1" t="s">
        <v>15</v>
      </c>
      <c r="K461" s="1">
        <v>1</v>
      </c>
      <c r="L461" s="35">
        <f>InventoryTY[[#This Row],[Landed Cost]]*InventoryTY[[#This Row],[Inventory Qty]]</f>
        <v>23103210</v>
      </c>
    </row>
    <row r="462" spans="1:12" x14ac:dyDescent="0.25">
      <c r="A462" s="1">
        <v>2026</v>
      </c>
      <c r="B462" s="1">
        <v>1</v>
      </c>
      <c r="C462" s="2">
        <v>46034</v>
      </c>
      <c r="D462" s="1">
        <v>223715</v>
      </c>
      <c r="E462" s="1" t="s">
        <v>70</v>
      </c>
      <c r="F462" s="1" t="s">
        <v>62</v>
      </c>
      <c r="G462" s="1" t="s">
        <v>71</v>
      </c>
      <c r="H462" s="1" t="s">
        <v>37</v>
      </c>
      <c r="I462" s="3">
        <v>23103210</v>
      </c>
      <c r="J462" s="1" t="s">
        <v>15</v>
      </c>
      <c r="K462" s="1">
        <v>1</v>
      </c>
      <c r="L462" s="35">
        <f>InventoryTY[[#This Row],[Landed Cost]]*InventoryTY[[#This Row],[Inventory Qty]]</f>
        <v>23103210</v>
      </c>
    </row>
    <row r="463" spans="1:12" x14ac:dyDescent="0.25">
      <c r="A463" s="1">
        <v>2026</v>
      </c>
      <c r="B463" s="1">
        <v>1</v>
      </c>
      <c r="C463" s="2">
        <v>46034</v>
      </c>
      <c r="D463" s="1">
        <v>223716</v>
      </c>
      <c r="E463" s="1" t="s">
        <v>70</v>
      </c>
      <c r="F463" s="1" t="s">
        <v>62</v>
      </c>
      <c r="G463" s="1" t="s">
        <v>71</v>
      </c>
      <c r="H463" s="1" t="s">
        <v>37</v>
      </c>
      <c r="I463" s="3">
        <v>23873316</v>
      </c>
      <c r="J463" s="1" t="s">
        <v>15</v>
      </c>
      <c r="K463" s="1">
        <v>1</v>
      </c>
      <c r="L463" s="35">
        <f>InventoryTY[[#This Row],[Landed Cost]]*InventoryTY[[#This Row],[Inventory Qty]]</f>
        <v>23873316</v>
      </c>
    </row>
    <row r="464" spans="1:12" x14ac:dyDescent="0.25">
      <c r="A464" s="1">
        <v>2026</v>
      </c>
      <c r="B464" s="1">
        <v>1</v>
      </c>
      <c r="C464" s="2">
        <v>46034</v>
      </c>
      <c r="D464" s="1">
        <v>223718</v>
      </c>
      <c r="E464" s="1" t="s">
        <v>70</v>
      </c>
      <c r="F464" s="1" t="s">
        <v>62</v>
      </c>
      <c r="G464" s="1" t="s">
        <v>71</v>
      </c>
      <c r="H464" s="1" t="s">
        <v>37</v>
      </c>
      <c r="I464" s="3">
        <v>13399862</v>
      </c>
      <c r="J464" s="1" t="s">
        <v>17</v>
      </c>
      <c r="K464" s="1">
        <v>1</v>
      </c>
      <c r="L464" s="35">
        <f>InventoryTY[[#This Row],[Landed Cost]]*InventoryTY[[#This Row],[Inventory Qty]]</f>
        <v>13399862</v>
      </c>
    </row>
    <row r="465" spans="1:12" x14ac:dyDescent="0.25">
      <c r="A465" s="1">
        <v>2026</v>
      </c>
      <c r="B465" s="1">
        <v>1</v>
      </c>
      <c r="C465" s="2">
        <v>46034</v>
      </c>
      <c r="D465" s="1">
        <v>223719</v>
      </c>
      <c r="E465" s="1" t="s">
        <v>70</v>
      </c>
      <c r="F465" s="1" t="s">
        <v>62</v>
      </c>
      <c r="G465" s="1" t="s">
        <v>71</v>
      </c>
      <c r="H465" s="1" t="s">
        <v>34</v>
      </c>
      <c r="I465" s="3">
        <v>32806558</v>
      </c>
      <c r="J465" s="1" t="s">
        <v>15</v>
      </c>
      <c r="K465" s="1">
        <v>1</v>
      </c>
      <c r="L465" s="35">
        <f>InventoryTY[[#This Row],[Landed Cost]]*InventoryTY[[#This Row],[Inventory Qty]]</f>
        <v>32806558</v>
      </c>
    </row>
    <row r="466" spans="1:12" x14ac:dyDescent="0.25">
      <c r="A466" s="1">
        <v>2026</v>
      </c>
      <c r="B466" s="1">
        <v>1</v>
      </c>
      <c r="C466" s="2">
        <v>46034</v>
      </c>
      <c r="D466" s="1">
        <v>223721</v>
      </c>
      <c r="E466" s="1" t="s">
        <v>70</v>
      </c>
      <c r="F466" s="1" t="s">
        <v>62</v>
      </c>
      <c r="G466" s="1" t="s">
        <v>71</v>
      </c>
      <c r="H466" s="1" t="s">
        <v>34</v>
      </c>
      <c r="I466" s="3">
        <v>24027339</v>
      </c>
      <c r="J466" s="1" t="s">
        <v>15</v>
      </c>
      <c r="K466" s="1">
        <v>2</v>
      </c>
      <c r="L466" s="35">
        <f>InventoryTY[[#This Row],[Landed Cost]]*InventoryTY[[#This Row],[Inventory Qty]]</f>
        <v>48054678</v>
      </c>
    </row>
    <row r="467" spans="1:12" x14ac:dyDescent="0.25">
      <c r="A467" s="1">
        <v>2026</v>
      </c>
      <c r="B467" s="1">
        <v>1</v>
      </c>
      <c r="C467" s="2">
        <v>46034</v>
      </c>
      <c r="D467" s="1">
        <v>223722</v>
      </c>
      <c r="E467" s="1" t="s">
        <v>70</v>
      </c>
      <c r="F467" s="1" t="s">
        <v>62</v>
      </c>
      <c r="G467" s="1" t="s">
        <v>71</v>
      </c>
      <c r="H467" s="1" t="s">
        <v>34</v>
      </c>
      <c r="I467" s="3">
        <v>24027339</v>
      </c>
      <c r="J467" s="1" t="s">
        <v>15</v>
      </c>
      <c r="K467" s="1">
        <v>1</v>
      </c>
      <c r="L467" s="35">
        <f>InventoryTY[[#This Row],[Landed Cost]]*InventoryTY[[#This Row],[Inventory Qty]]</f>
        <v>24027339</v>
      </c>
    </row>
    <row r="468" spans="1:12" x14ac:dyDescent="0.25">
      <c r="A468" s="1">
        <v>2026</v>
      </c>
      <c r="B468" s="1">
        <v>1</v>
      </c>
      <c r="C468" s="2">
        <v>46034</v>
      </c>
      <c r="D468" s="1">
        <v>223722</v>
      </c>
      <c r="E468" s="1" t="s">
        <v>70</v>
      </c>
      <c r="F468" s="1" t="s">
        <v>62</v>
      </c>
      <c r="G468" s="1" t="s">
        <v>71</v>
      </c>
      <c r="H468" s="1" t="s">
        <v>34</v>
      </c>
      <c r="I468" s="3">
        <v>24027339</v>
      </c>
      <c r="J468" s="1" t="s">
        <v>17</v>
      </c>
      <c r="K468" s="1">
        <v>1</v>
      </c>
      <c r="L468" s="35">
        <f>InventoryTY[[#This Row],[Landed Cost]]*InventoryTY[[#This Row],[Inventory Qty]]</f>
        <v>24027339</v>
      </c>
    </row>
    <row r="469" spans="1:12" x14ac:dyDescent="0.25">
      <c r="A469" s="1">
        <v>2026</v>
      </c>
      <c r="B469" s="1">
        <v>1</v>
      </c>
      <c r="C469" s="2">
        <v>46034</v>
      </c>
      <c r="D469" s="1">
        <v>223723</v>
      </c>
      <c r="E469" s="1" t="s">
        <v>70</v>
      </c>
      <c r="F469" s="1" t="s">
        <v>62</v>
      </c>
      <c r="G469" s="1" t="s">
        <v>71</v>
      </c>
      <c r="H469" s="1" t="s">
        <v>34</v>
      </c>
      <c r="I469" s="3">
        <v>7239006</v>
      </c>
      <c r="J469" s="1" t="s">
        <v>15</v>
      </c>
      <c r="K469" s="1">
        <v>2</v>
      </c>
      <c r="L469" s="35">
        <f>InventoryTY[[#This Row],[Landed Cost]]*InventoryTY[[#This Row],[Inventory Qty]]</f>
        <v>14478012</v>
      </c>
    </row>
    <row r="470" spans="1:12" x14ac:dyDescent="0.25">
      <c r="A470" s="1">
        <v>2026</v>
      </c>
      <c r="B470" s="1">
        <v>1</v>
      </c>
      <c r="C470" s="2">
        <v>46034</v>
      </c>
      <c r="D470" s="1">
        <v>223723</v>
      </c>
      <c r="E470" s="1" t="s">
        <v>70</v>
      </c>
      <c r="F470" s="1" t="s">
        <v>62</v>
      </c>
      <c r="G470" s="1" t="s">
        <v>71</v>
      </c>
      <c r="H470" s="1" t="s">
        <v>34</v>
      </c>
      <c r="I470" s="3">
        <v>7239006</v>
      </c>
      <c r="J470" s="1" t="s">
        <v>17</v>
      </c>
      <c r="K470" s="1">
        <v>1</v>
      </c>
      <c r="L470" s="35">
        <f>InventoryTY[[#This Row],[Landed Cost]]*InventoryTY[[#This Row],[Inventory Qty]]</f>
        <v>7239006</v>
      </c>
    </row>
    <row r="471" spans="1:12" x14ac:dyDescent="0.25">
      <c r="A471" s="1">
        <v>2026</v>
      </c>
      <c r="B471" s="1">
        <v>1</v>
      </c>
      <c r="C471" s="2">
        <v>46034</v>
      </c>
      <c r="D471" s="1">
        <v>223724</v>
      </c>
      <c r="E471" s="1" t="s">
        <v>70</v>
      </c>
      <c r="F471" s="1" t="s">
        <v>62</v>
      </c>
      <c r="G471" s="1" t="s">
        <v>71</v>
      </c>
      <c r="H471" s="1" t="s">
        <v>37</v>
      </c>
      <c r="I471" s="3">
        <v>85481875</v>
      </c>
      <c r="J471" s="1" t="s">
        <v>15</v>
      </c>
      <c r="K471" s="1">
        <v>1</v>
      </c>
      <c r="L471" s="35">
        <f>InventoryTY[[#This Row],[Landed Cost]]*InventoryTY[[#This Row],[Inventory Qty]]</f>
        <v>85481875</v>
      </c>
    </row>
    <row r="472" spans="1:12" x14ac:dyDescent="0.25">
      <c r="A472" s="1">
        <v>2026</v>
      </c>
      <c r="B472" s="1">
        <v>1</v>
      </c>
      <c r="C472" s="2">
        <v>46034</v>
      </c>
      <c r="D472" s="1">
        <v>223725</v>
      </c>
      <c r="E472" s="1" t="s">
        <v>70</v>
      </c>
      <c r="F472" s="1" t="s">
        <v>62</v>
      </c>
      <c r="G472" s="1" t="s">
        <v>71</v>
      </c>
      <c r="H472" s="1" t="s">
        <v>37</v>
      </c>
      <c r="I472" s="3">
        <v>38505351</v>
      </c>
      <c r="J472" s="1" t="s">
        <v>15</v>
      </c>
      <c r="K472" s="1">
        <v>1</v>
      </c>
      <c r="L472" s="35">
        <f>InventoryTY[[#This Row],[Landed Cost]]*InventoryTY[[#This Row],[Inventory Qty]]</f>
        <v>38505351</v>
      </c>
    </row>
    <row r="473" spans="1:12" x14ac:dyDescent="0.25">
      <c r="A473" s="1">
        <v>2026</v>
      </c>
      <c r="B473" s="1">
        <v>1</v>
      </c>
      <c r="C473" s="2">
        <v>46034</v>
      </c>
      <c r="D473" s="1">
        <v>223726</v>
      </c>
      <c r="E473" s="1" t="s">
        <v>70</v>
      </c>
      <c r="F473" s="1" t="s">
        <v>62</v>
      </c>
      <c r="G473" s="1" t="s">
        <v>71</v>
      </c>
      <c r="H473" s="1" t="s">
        <v>37</v>
      </c>
      <c r="I473" s="3">
        <v>25413531</v>
      </c>
      <c r="J473" s="1" t="s">
        <v>15</v>
      </c>
      <c r="K473" s="1">
        <v>1</v>
      </c>
      <c r="L473" s="35">
        <f>InventoryTY[[#This Row],[Landed Cost]]*InventoryTY[[#This Row],[Inventory Qty]]</f>
        <v>25413531</v>
      </c>
    </row>
    <row r="474" spans="1:12" x14ac:dyDescent="0.25">
      <c r="A474" s="1">
        <v>2026</v>
      </c>
      <c r="B474" s="1">
        <v>1</v>
      </c>
      <c r="C474" s="2">
        <v>46034</v>
      </c>
      <c r="D474" s="1">
        <v>223726</v>
      </c>
      <c r="E474" s="1" t="s">
        <v>70</v>
      </c>
      <c r="F474" s="1" t="s">
        <v>62</v>
      </c>
      <c r="G474" s="1" t="s">
        <v>71</v>
      </c>
      <c r="H474" s="1" t="s">
        <v>37</v>
      </c>
      <c r="I474" s="3">
        <v>25413531</v>
      </c>
      <c r="J474" s="1" t="s">
        <v>17</v>
      </c>
      <c r="K474" s="1">
        <v>1</v>
      </c>
      <c r="L474" s="35">
        <f>InventoryTY[[#This Row],[Landed Cost]]*InventoryTY[[#This Row],[Inventory Qty]]</f>
        <v>25413531</v>
      </c>
    </row>
    <row r="475" spans="1:12" x14ac:dyDescent="0.25">
      <c r="A475" s="1">
        <v>2026</v>
      </c>
      <c r="B475" s="1">
        <v>1</v>
      </c>
      <c r="C475" s="2">
        <v>46034</v>
      </c>
      <c r="D475" s="1">
        <v>223727</v>
      </c>
      <c r="E475" s="1" t="s">
        <v>70</v>
      </c>
      <c r="F475" s="1" t="s">
        <v>62</v>
      </c>
      <c r="G475" s="1" t="s">
        <v>71</v>
      </c>
      <c r="H475" s="1" t="s">
        <v>37</v>
      </c>
      <c r="I475" s="3">
        <v>25413531.333333332</v>
      </c>
      <c r="J475" s="1" t="s">
        <v>15</v>
      </c>
      <c r="K475" s="1">
        <v>1</v>
      </c>
      <c r="L475" s="35">
        <f>InventoryTY[[#This Row],[Landed Cost]]*InventoryTY[[#This Row],[Inventory Qty]]</f>
        <v>25413531.333333332</v>
      </c>
    </row>
    <row r="476" spans="1:12" x14ac:dyDescent="0.25">
      <c r="A476" s="1">
        <v>2026</v>
      </c>
      <c r="B476" s="1">
        <v>1</v>
      </c>
      <c r="C476" s="2">
        <v>46034</v>
      </c>
      <c r="D476" s="1">
        <v>223727</v>
      </c>
      <c r="E476" s="1" t="s">
        <v>70</v>
      </c>
      <c r="F476" s="1" t="s">
        <v>62</v>
      </c>
      <c r="G476" s="1" t="s">
        <v>71</v>
      </c>
      <c r="H476" s="1" t="s">
        <v>37</v>
      </c>
      <c r="I476" s="3">
        <v>25413531.333333332</v>
      </c>
      <c r="J476" s="1" t="s">
        <v>17</v>
      </c>
      <c r="K476" s="1">
        <v>1</v>
      </c>
      <c r="L476" s="35">
        <f>InventoryTY[[#This Row],[Landed Cost]]*InventoryTY[[#This Row],[Inventory Qty]]</f>
        <v>25413531.333333332</v>
      </c>
    </row>
    <row r="477" spans="1:12" x14ac:dyDescent="0.25">
      <c r="A477" s="1">
        <v>2026</v>
      </c>
      <c r="B477" s="1">
        <v>1</v>
      </c>
      <c r="C477" s="2">
        <v>46034</v>
      </c>
      <c r="D477" s="1">
        <v>223728</v>
      </c>
      <c r="E477" s="1" t="s">
        <v>70</v>
      </c>
      <c r="F477" s="1" t="s">
        <v>62</v>
      </c>
      <c r="G477" s="1" t="s">
        <v>71</v>
      </c>
      <c r="H477" s="1" t="s">
        <v>37</v>
      </c>
      <c r="I477" s="3">
        <v>19252675</v>
      </c>
      <c r="J477" s="1" t="s">
        <v>15</v>
      </c>
      <c r="K477" s="1">
        <v>1</v>
      </c>
      <c r="L477" s="35">
        <f>InventoryTY[[#This Row],[Landed Cost]]*InventoryTY[[#This Row],[Inventory Qty]]</f>
        <v>19252675</v>
      </c>
    </row>
    <row r="478" spans="1:12" x14ac:dyDescent="0.25">
      <c r="A478" s="1">
        <v>2026</v>
      </c>
      <c r="B478" s="1">
        <v>1</v>
      </c>
      <c r="C478" s="2">
        <v>46034</v>
      </c>
      <c r="D478" s="1">
        <v>223729</v>
      </c>
      <c r="E478" s="1" t="s">
        <v>70</v>
      </c>
      <c r="F478" s="1" t="s">
        <v>62</v>
      </c>
      <c r="G478" s="1" t="s">
        <v>71</v>
      </c>
      <c r="H478" s="1" t="s">
        <v>37</v>
      </c>
      <c r="I478" s="3">
        <v>21871039</v>
      </c>
      <c r="J478" s="1" t="s">
        <v>15</v>
      </c>
      <c r="K478" s="1">
        <v>1</v>
      </c>
      <c r="L478" s="35">
        <f>InventoryTY[[#This Row],[Landed Cost]]*InventoryTY[[#This Row],[Inventory Qty]]</f>
        <v>21871039</v>
      </c>
    </row>
    <row r="479" spans="1:12" x14ac:dyDescent="0.25">
      <c r="A479" s="1">
        <v>2026</v>
      </c>
      <c r="B479" s="1">
        <v>1</v>
      </c>
      <c r="C479" s="2">
        <v>46034</v>
      </c>
      <c r="D479" s="1">
        <v>223729</v>
      </c>
      <c r="E479" s="1" t="s">
        <v>70</v>
      </c>
      <c r="F479" s="1" t="s">
        <v>62</v>
      </c>
      <c r="G479" s="1" t="s">
        <v>71</v>
      </c>
      <c r="H479" s="1" t="s">
        <v>37</v>
      </c>
      <c r="I479" s="3">
        <v>21871039</v>
      </c>
      <c r="J479" s="1" t="s">
        <v>17</v>
      </c>
      <c r="K479" s="1">
        <v>1</v>
      </c>
      <c r="L479" s="35">
        <f>InventoryTY[[#This Row],[Landed Cost]]*InventoryTY[[#This Row],[Inventory Qty]]</f>
        <v>21871039</v>
      </c>
    </row>
    <row r="480" spans="1:12" x14ac:dyDescent="0.25">
      <c r="A480" s="1">
        <v>2026</v>
      </c>
      <c r="B480" s="1">
        <v>1</v>
      </c>
      <c r="C480" s="2">
        <v>46034</v>
      </c>
      <c r="D480" s="1">
        <v>223779</v>
      </c>
      <c r="E480" s="1" t="s">
        <v>58</v>
      </c>
      <c r="F480" s="1" t="s">
        <v>62</v>
      </c>
      <c r="G480" s="1" t="s">
        <v>71</v>
      </c>
      <c r="H480" s="1" t="s">
        <v>37</v>
      </c>
      <c r="I480" s="3">
        <v>369398250</v>
      </c>
      <c r="J480" s="1" t="s">
        <v>15</v>
      </c>
      <c r="K480" s="1">
        <v>1</v>
      </c>
      <c r="L480" s="35">
        <f>InventoryTY[[#This Row],[Landed Cost]]*InventoryTY[[#This Row],[Inventory Qty]]</f>
        <v>369398250</v>
      </c>
    </row>
    <row r="481" spans="1:12" x14ac:dyDescent="0.25">
      <c r="A481" s="1">
        <v>2026</v>
      </c>
      <c r="B481" s="1">
        <v>1</v>
      </c>
      <c r="C481" s="2">
        <v>46034</v>
      </c>
      <c r="D481" s="1">
        <v>223780</v>
      </c>
      <c r="E481" s="1" t="s">
        <v>58</v>
      </c>
      <c r="F481" s="1" t="s">
        <v>62</v>
      </c>
      <c r="G481" s="1" t="s">
        <v>71</v>
      </c>
      <c r="H481" s="1" t="s">
        <v>34</v>
      </c>
      <c r="I481" s="3">
        <v>238387500</v>
      </c>
      <c r="J481" s="1" t="s">
        <v>15</v>
      </c>
      <c r="K481" s="1">
        <v>1</v>
      </c>
      <c r="L481" s="35">
        <f>InventoryTY[[#This Row],[Landed Cost]]*InventoryTY[[#This Row],[Inventory Qty]]</f>
        <v>238387500</v>
      </c>
    </row>
    <row r="482" spans="1:12" x14ac:dyDescent="0.25">
      <c r="A482" s="1">
        <v>2026</v>
      </c>
      <c r="B482" s="1">
        <v>1</v>
      </c>
      <c r="C482" s="2">
        <v>46034</v>
      </c>
      <c r="D482" s="1">
        <v>224235</v>
      </c>
      <c r="E482" s="1" t="s">
        <v>55</v>
      </c>
      <c r="F482" s="1" t="s">
        <v>62</v>
      </c>
      <c r="G482" s="1" t="s">
        <v>71</v>
      </c>
      <c r="H482" s="1" t="s">
        <v>43</v>
      </c>
      <c r="I482" s="3">
        <v>30956526</v>
      </c>
      <c r="J482" s="1" t="s">
        <v>15</v>
      </c>
      <c r="K482" s="1">
        <v>1</v>
      </c>
      <c r="L482" s="35">
        <f>InventoryTY[[#This Row],[Landed Cost]]*InventoryTY[[#This Row],[Inventory Qty]]</f>
        <v>30956526</v>
      </c>
    </row>
    <row r="483" spans="1:12" x14ac:dyDescent="0.25">
      <c r="A483" s="1">
        <v>2026</v>
      </c>
      <c r="B483" s="1">
        <v>1</v>
      </c>
      <c r="C483" s="2">
        <v>46034</v>
      </c>
      <c r="D483" s="1">
        <v>224236</v>
      </c>
      <c r="E483" s="1" t="s">
        <v>55</v>
      </c>
      <c r="F483" s="1" t="s">
        <v>62</v>
      </c>
      <c r="G483" s="1" t="s">
        <v>71</v>
      </c>
      <c r="H483" s="1" t="s">
        <v>43</v>
      </c>
      <c r="I483" s="3">
        <v>29700794</v>
      </c>
      <c r="J483" s="1" t="s">
        <v>15</v>
      </c>
      <c r="K483" s="1">
        <v>1</v>
      </c>
      <c r="L483" s="35">
        <f>InventoryTY[[#This Row],[Landed Cost]]*InventoryTY[[#This Row],[Inventory Qty]]</f>
        <v>29700794</v>
      </c>
    </row>
    <row r="484" spans="1:12" x14ac:dyDescent="0.25">
      <c r="A484" s="1">
        <v>2026</v>
      </c>
      <c r="B484" s="1">
        <v>1</v>
      </c>
      <c r="C484" s="2">
        <v>46034</v>
      </c>
      <c r="D484" s="1">
        <v>224237</v>
      </c>
      <c r="E484" s="1" t="s">
        <v>55</v>
      </c>
      <c r="F484" s="1" t="s">
        <v>62</v>
      </c>
      <c r="G484" s="1" t="s">
        <v>71</v>
      </c>
      <c r="H484" s="1" t="s">
        <v>43</v>
      </c>
      <c r="I484" s="3">
        <v>133204025</v>
      </c>
      <c r="J484" s="1" t="s">
        <v>15</v>
      </c>
      <c r="K484" s="1">
        <v>1</v>
      </c>
      <c r="L484" s="35">
        <f>InventoryTY[[#This Row],[Landed Cost]]*InventoryTY[[#This Row],[Inventory Qty]]</f>
        <v>133204025</v>
      </c>
    </row>
    <row r="485" spans="1:12" x14ac:dyDescent="0.25">
      <c r="A485" s="1">
        <v>2026</v>
      </c>
      <c r="B485" s="1">
        <v>1</v>
      </c>
      <c r="C485" s="2">
        <v>46034</v>
      </c>
      <c r="D485" s="1">
        <v>224238</v>
      </c>
      <c r="E485" s="1" t="s">
        <v>55</v>
      </c>
      <c r="F485" s="1" t="s">
        <v>62</v>
      </c>
      <c r="G485" s="1" t="s">
        <v>71</v>
      </c>
      <c r="H485" s="1" t="s">
        <v>34</v>
      </c>
      <c r="I485" s="3">
        <v>49191940</v>
      </c>
      <c r="J485" s="1" t="s">
        <v>17</v>
      </c>
      <c r="K485" s="1">
        <v>1</v>
      </c>
      <c r="L485" s="35">
        <f>InventoryTY[[#This Row],[Landed Cost]]*InventoryTY[[#This Row],[Inventory Qty]]</f>
        <v>49191940</v>
      </c>
    </row>
    <row r="486" spans="1:12" x14ac:dyDescent="0.25">
      <c r="A486" s="1">
        <v>2026</v>
      </c>
      <c r="B486" s="1">
        <v>1</v>
      </c>
      <c r="C486" s="2">
        <v>46034</v>
      </c>
      <c r="D486" s="1">
        <v>224239</v>
      </c>
      <c r="E486" s="1" t="s">
        <v>55</v>
      </c>
      <c r="F486" s="1" t="s">
        <v>62</v>
      </c>
      <c r="G486" s="1" t="s">
        <v>71</v>
      </c>
      <c r="H486" s="1" t="s">
        <v>43</v>
      </c>
      <c r="I486" s="3">
        <v>41411861</v>
      </c>
      <c r="J486" s="1" t="s">
        <v>15</v>
      </c>
      <c r="K486" s="1">
        <v>1</v>
      </c>
      <c r="L486" s="35">
        <f>InventoryTY[[#This Row],[Landed Cost]]*InventoryTY[[#This Row],[Inventory Qty]]</f>
        <v>41411861</v>
      </c>
    </row>
    <row r="487" spans="1:12" x14ac:dyDescent="0.25">
      <c r="A487" s="1">
        <v>2026</v>
      </c>
      <c r="B487" s="1">
        <v>1</v>
      </c>
      <c r="C487" s="2">
        <v>46034</v>
      </c>
      <c r="D487" s="1">
        <v>224240</v>
      </c>
      <c r="E487" s="1" t="s">
        <v>55</v>
      </c>
      <c r="F487" s="1" t="s">
        <v>62</v>
      </c>
      <c r="G487" s="1" t="s">
        <v>71</v>
      </c>
      <c r="H487" s="1" t="s">
        <v>43</v>
      </c>
      <c r="I487" s="3">
        <v>163574358</v>
      </c>
      <c r="J487" s="1" t="s">
        <v>17</v>
      </c>
      <c r="K487" s="1">
        <v>1</v>
      </c>
      <c r="L487" s="35">
        <f>InventoryTY[[#This Row],[Landed Cost]]*InventoryTY[[#This Row],[Inventory Qty]]</f>
        <v>163574358</v>
      </c>
    </row>
    <row r="488" spans="1:12" x14ac:dyDescent="0.25">
      <c r="A488" s="1">
        <v>2026</v>
      </c>
      <c r="B488" s="1">
        <v>1</v>
      </c>
      <c r="C488" s="2">
        <v>46034</v>
      </c>
      <c r="D488" s="1">
        <v>224241</v>
      </c>
      <c r="E488" s="1" t="s">
        <v>55</v>
      </c>
      <c r="F488" s="1" t="s">
        <v>62</v>
      </c>
      <c r="G488" s="1" t="s">
        <v>71</v>
      </c>
      <c r="H488" s="1" t="s">
        <v>34</v>
      </c>
      <c r="I488" s="3">
        <v>31475198</v>
      </c>
      <c r="J488" s="1" t="s">
        <v>15</v>
      </c>
      <c r="K488" s="1">
        <v>1</v>
      </c>
      <c r="L488" s="35">
        <f>InventoryTY[[#This Row],[Landed Cost]]*InventoryTY[[#This Row],[Inventory Qty]]</f>
        <v>31475198</v>
      </c>
    </row>
    <row r="489" spans="1:12" x14ac:dyDescent="0.25">
      <c r="A489" s="1">
        <v>2026</v>
      </c>
      <c r="B489" s="1">
        <v>1</v>
      </c>
      <c r="C489" s="2">
        <v>46034</v>
      </c>
      <c r="D489" s="1">
        <v>224242</v>
      </c>
      <c r="E489" s="1" t="s">
        <v>55</v>
      </c>
      <c r="F489" s="1" t="s">
        <v>62</v>
      </c>
      <c r="G489" s="1" t="s">
        <v>71</v>
      </c>
      <c r="H489" s="1" t="s">
        <v>34</v>
      </c>
      <c r="I489" s="3">
        <v>54597048</v>
      </c>
      <c r="J489" s="1" t="s">
        <v>15</v>
      </c>
      <c r="K489" s="1">
        <v>1</v>
      </c>
      <c r="L489" s="35">
        <f>InventoryTY[[#This Row],[Landed Cost]]*InventoryTY[[#This Row],[Inventory Qty]]</f>
        <v>54597048</v>
      </c>
    </row>
    <row r="490" spans="1:12" x14ac:dyDescent="0.25">
      <c r="A490" s="1">
        <v>2026</v>
      </c>
      <c r="B490" s="1">
        <v>1</v>
      </c>
      <c r="C490" s="2">
        <v>46034</v>
      </c>
      <c r="D490" s="1">
        <v>224243</v>
      </c>
      <c r="E490" s="1" t="s">
        <v>55</v>
      </c>
      <c r="F490" s="1" t="s">
        <v>62</v>
      </c>
      <c r="G490" s="1" t="s">
        <v>71</v>
      </c>
      <c r="H490" s="1" t="s">
        <v>37</v>
      </c>
      <c r="I490" s="3">
        <v>60771623</v>
      </c>
      <c r="J490" s="1" t="s">
        <v>17</v>
      </c>
      <c r="K490" s="1">
        <v>1</v>
      </c>
      <c r="L490" s="35">
        <f>InventoryTY[[#This Row],[Landed Cost]]*InventoryTY[[#This Row],[Inventory Qty]]</f>
        <v>60771623</v>
      </c>
    </row>
    <row r="491" spans="1:12" x14ac:dyDescent="0.25">
      <c r="A491" s="1">
        <v>2026</v>
      </c>
      <c r="B491" s="1">
        <v>1</v>
      </c>
      <c r="C491" s="2">
        <v>46034</v>
      </c>
      <c r="D491" s="1">
        <v>224244</v>
      </c>
      <c r="E491" s="1" t="s">
        <v>55</v>
      </c>
      <c r="F491" s="1" t="s">
        <v>62</v>
      </c>
      <c r="G491" s="1" t="s">
        <v>71</v>
      </c>
      <c r="H491" s="1" t="s">
        <v>37</v>
      </c>
      <c r="I491" s="3">
        <v>66028046</v>
      </c>
      <c r="J491" s="1" t="s">
        <v>15</v>
      </c>
      <c r="K491" s="1">
        <v>1</v>
      </c>
      <c r="L491" s="35">
        <f>InventoryTY[[#This Row],[Landed Cost]]*InventoryTY[[#This Row],[Inventory Qty]]</f>
        <v>66028046</v>
      </c>
    </row>
    <row r="492" spans="1:12" x14ac:dyDescent="0.25">
      <c r="A492" s="1">
        <v>2026</v>
      </c>
      <c r="B492" s="1">
        <v>1</v>
      </c>
      <c r="C492" s="2">
        <v>46034</v>
      </c>
      <c r="D492" s="1">
        <v>224245</v>
      </c>
      <c r="E492" s="1" t="s">
        <v>55</v>
      </c>
      <c r="F492" s="1" t="s">
        <v>62</v>
      </c>
      <c r="G492" s="1" t="s">
        <v>71</v>
      </c>
      <c r="H492" s="1" t="s">
        <v>37</v>
      </c>
      <c r="I492" s="3">
        <v>166304210</v>
      </c>
      <c r="J492" s="1" t="s">
        <v>15</v>
      </c>
      <c r="K492" s="1">
        <v>1</v>
      </c>
      <c r="L492" s="35">
        <f>InventoryTY[[#This Row],[Landed Cost]]*InventoryTY[[#This Row],[Inventory Qty]]</f>
        <v>166304210</v>
      </c>
    </row>
    <row r="493" spans="1:12" x14ac:dyDescent="0.25">
      <c r="A493" s="1">
        <v>2026</v>
      </c>
      <c r="B493" s="1">
        <v>1</v>
      </c>
      <c r="C493" s="2">
        <v>46034</v>
      </c>
      <c r="D493" s="1">
        <v>225128</v>
      </c>
      <c r="E493" s="1" t="s">
        <v>58</v>
      </c>
      <c r="F493" s="1" t="s">
        <v>62</v>
      </c>
      <c r="G493" s="1" t="s">
        <v>71</v>
      </c>
      <c r="H493" s="1" t="s">
        <v>37</v>
      </c>
      <c r="I493" s="3">
        <v>26911874</v>
      </c>
      <c r="J493" s="1" t="s">
        <v>17</v>
      </c>
      <c r="K493" s="1">
        <v>1</v>
      </c>
      <c r="L493" s="35">
        <f>InventoryTY[[#This Row],[Landed Cost]]*InventoryTY[[#This Row],[Inventory Qty]]</f>
        <v>26911874</v>
      </c>
    </row>
    <row r="494" spans="1:12" x14ac:dyDescent="0.25">
      <c r="A494" s="1">
        <v>2026</v>
      </c>
      <c r="B494" s="1">
        <v>1</v>
      </c>
      <c r="C494" s="2">
        <v>46034</v>
      </c>
      <c r="D494" s="1">
        <v>225129</v>
      </c>
      <c r="E494" s="1" t="s">
        <v>58</v>
      </c>
      <c r="F494" s="1" t="s">
        <v>62</v>
      </c>
      <c r="G494" s="1" t="s">
        <v>71</v>
      </c>
      <c r="H494" s="1" t="s">
        <v>34</v>
      </c>
      <c r="I494" s="3">
        <v>35329515</v>
      </c>
      <c r="J494" s="1" t="s">
        <v>13</v>
      </c>
      <c r="K494" s="1">
        <v>1</v>
      </c>
      <c r="L494" s="35">
        <f>InventoryTY[[#This Row],[Landed Cost]]*InventoryTY[[#This Row],[Inventory Qty]]</f>
        <v>35329515</v>
      </c>
    </row>
    <row r="495" spans="1:12" x14ac:dyDescent="0.25">
      <c r="A495" s="1">
        <v>2026</v>
      </c>
      <c r="B495" s="1">
        <v>1</v>
      </c>
      <c r="C495" s="2">
        <v>46034</v>
      </c>
      <c r="D495" s="1">
        <v>225130</v>
      </c>
      <c r="E495" s="1" t="s">
        <v>58</v>
      </c>
      <c r="F495" s="1" t="s">
        <v>62</v>
      </c>
      <c r="G495" s="1" t="s">
        <v>71</v>
      </c>
      <c r="H495" s="1" t="s">
        <v>37</v>
      </c>
      <c r="I495" s="3">
        <v>32779646</v>
      </c>
      <c r="J495" s="1" t="s">
        <v>15</v>
      </c>
      <c r="K495" s="1">
        <v>1</v>
      </c>
      <c r="L495" s="35">
        <f>InventoryTY[[#This Row],[Landed Cost]]*InventoryTY[[#This Row],[Inventory Qty]]</f>
        <v>32779646</v>
      </c>
    </row>
    <row r="496" spans="1:12" x14ac:dyDescent="0.25">
      <c r="A496" s="1">
        <v>2026</v>
      </c>
      <c r="B496" s="1">
        <v>1</v>
      </c>
      <c r="C496" s="2">
        <v>46034</v>
      </c>
      <c r="D496" s="1">
        <v>225130</v>
      </c>
      <c r="E496" s="1" t="s">
        <v>58</v>
      </c>
      <c r="F496" s="1" t="s">
        <v>62</v>
      </c>
      <c r="G496" s="1" t="s">
        <v>71</v>
      </c>
      <c r="H496" s="1" t="s">
        <v>37</v>
      </c>
      <c r="I496" s="3">
        <v>32779646</v>
      </c>
      <c r="J496" s="1" t="s">
        <v>17</v>
      </c>
      <c r="K496" s="1">
        <v>1</v>
      </c>
      <c r="L496" s="35">
        <f>InventoryTY[[#This Row],[Landed Cost]]*InventoryTY[[#This Row],[Inventory Qty]]</f>
        <v>32779646</v>
      </c>
    </row>
    <row r="497" spans="1:12" x14ac:dyDescent="0.25">
      <c r="A497" s="1">
        <v>2026</v>
      </c>
      <c r="B497" s="1">
        <v>1</v>
      </c>
      <c r="C497" s="2">
        <v>46034</v>
      </c>
      <c r="D497" s="1">
        <v>225131</v>
      </c>
      <c r="E497" s="1" t="s">
        <v>58</v>
      </c>
      <c r="F497" s="1" t="s">
        <v>62</v>
      </c>
      <c r="G497" s="1" t="s">
        <v>71</v>
      </c>
      <c r="H497" s="1" t="s">
        <v>37</v>
      </c>
      <c r="I497" s="3">
        <v>20337513</v>
      </c>
      <c r="J497" s="1" t="s">
        <v>17</v>
      </c>
      <c r="K497" s="1">
        <v>1</v>
      </c>
      <c r="L497" s="35">
        <f>InventoryTY[[#This Row],[Landed Cost]]*InventoryTY[[#This Row],[Inventory Qty]]</f>
        <v>20337513</v>
      </c>
    </row>
    <row r="498" spans="1:12" x14ac:dyDescent="0.25">
      <c r="A498" s="1">
        <v>2026</v>
      </c>
      <c r="B498" s="1">
        <v>1</v>
      </c>
      <c r="C498" s="2">
        <v>46034</v>
      </c>
      <c r="D498" s="1">
        <v>225132</v>
      </c>
      <c r="E498" s="1" t="s">
        <v>58</v>
      </c>
      <c r="F498" s="1" t="s">
        <v>62</v>
      </c>
      <c r="G498" s="1" t="s">
        <v>71</v>
      </c>
      <c r="H498" s="1" t="s">
        <v>53</v>
      </c>
      <c r="I498" s="3">
        <v>14623347</v>
      </c>
      <c r="J498" s="1" t="s">
        <v>17</v>
      </c>
      <c r="K498" s="1">
        <v>1</v>
      </c>
      <c r="L498" s="35">
        <f>InventoryTY[[#This Row],[Landed Cost]]*InventoryTY[[#This Row],[Inventory Qty]]</f>
        <v>14623347</v>
      </c>
    </row>
    <row r="499" spans="1:12" x14ac:dyDescent="0.25">
      <c r="A499" s="1">
        <v>2026</v>
      </c>
      <c r="B499" s="1">
        <v>1</v>
      </c>
      <c r="C499" s="2">
        <v>46034</v>
      </c>
      <c r="D499" s="1">
        <v>225133</v>
      </c>
      <c r="E499" s="1" t="s">
        <v>58</v>
      </c>
      <c r="F499" s="1" t="s">
        <v>62</v>
      </c>
      <c r="G499" s="1" t="s">
        <v>71</v>
      </c>
      <c r="H499" s="1" t="s">
        <v>37</v>
      </c>
      <c r="I499" s="3">
        <v>31858007</v>
      </c>
      <c r="J499" s="1" t="s">
        <v>15</v>
      </c>
      <c r="K499" s="1">
        <v>1</v>
      </c>
      <c r="L499" s="35">
        <f>InventoryTY[[#This Row],[Landed Cost]]*InventoryTY[[#This Row],[Inventory Qty]]</f>
        <v>31858007</v>
      </c>
    </row>
    <row r="500" spans="1:12" x14ac:dyDescent="0.25">
      <c r="A500" s="1">
        <v>2026</v>
      </c>
      <c r="B500" s="1">
        <v>1</v>
      </c>
      <c r="C500" s="2">
        <v>46034</v>
      </c>
      <c r="D500" s="1">
        <v>225134</v>
      </c>
      <c r="E500" s="1" t="s">
        <v>58</v>
      </c>
      <c r="F500" s="1" t="s">
        <v>62</v>
      </c>
      <c r="G500" s="1" t="s">
        <v>71</v>
      </c>
      <c r="H500" s="1" t="s">
        <v>37</v>
      </c>
      <c r="I500" s="3">
        <v>19753808</v>
      </c>
      <c r="J500" s="1" t="s">
        <v>15</v>
      </c>
      <c r="K500" s="1">
        <v>1</v>
      </c>
      <c r="L500" s="35">
        <f>InventoryTY[[#This Row],[Landed Cost]]*InventoryTY[[#This Row],[Inventory Qty]]</f>
        <v>19753808</v>
      </c>
    </row>
    <row r="501" spans="1:12" x14ac:dyDescent="0.25">
      <c r="A501" s="1">
        <v>2026</v>
      </c>
      <c r="B501" s="1">
        <v>1</v>
      </c>
      <c r="C501" s="2">
        <v>46034</v>
      </c>
      <c r="D501" s="1">
        <v>225135</v>
      </c>
      <c r="E501" s="1" t="s">
        <v>58</v>
      </c>
      <c r="F501" s="1" t="s">
        <v>62</v>
      </c>
      <c r="G501" s="1" t="s">
        <v>71</v>
      </c>
      <c r="H501" s="1" t="s">
        <v>34</v>
      </c>
      <c r="I501" s="3">
        <v>22088628</v>
      </c>
      <c r="J501" s="1" t="s">
        <v>15</v>
      </c>
      <c r="K501" s="1">
        <v>1</v>
      </c>
      <c r="L501" s="35">
        <f>InventoryTY[[#This Row],[Landed Cost]]*InventoryTY[[#This Row],[Inventory Qty]]</f>
        <v>22088628</v>
      </c>
    </row>
    <row r="502" spans="1:12" x14ac:dyDescent="0.25">
      <c r="A502" s="1">
        <v>2026</v>
      </c>
      <c r="B502" s="1">
        <v>1</v>
      </c>
      <c r="C502" s="2">
        <v>46034</v>
      </c>
      <c r="D502" s="1">
        <v>225135</v>
      </c>
      <c r="E502" s="1" t="s">
        <v>58</v>
      </c>
      <c r="F502" s="1" t="s">
        <v>62</v>
      </c>
      <c r="G502" s="1" t="s">
        <v>71</v>
      </c>
      <c r="H502" s="1" t="s">
        <v>34</v>
      </c>
      <c r="I502" s="3">
        <v>22088628</v>
      </c>
      <c r="J502" s="1" t="s">
        <v>17</v>
      </c>
      <c r="K502" s="1">
        <v>1</v>
      </c>
      <c r="L502" s="35">
        <f>InventoryTY[[#This Row],[Landed Cost]]*InventoryTY[[#This Row],[Inventory Qty]]</f>
        <v>22088628</v>
      </c>
    </row>
    <row r="503" spans="1:12" x14ac:dyDescent="0.25">
      <c r="A503" s="1">
        <v>2026</v>
      </c>
      <c r="B503" s="1">
        <v>1</v>
      </c>
      <c r="C503" s="2">
        <v>46034</v>
      </c>
      <c r="D503" s="1">
        <v>225136</v>
      </c>
      <c r="E503" s="1" t="s">
        <v>58</v>
      </c>
      <c r="F503" s="1" t="s">
        <v>62</v>
      </c>
      <c r="G503" s="1" t="s">
        <v>71</v>
      </c>
      <c r="H503" s="1" t="s">
        <v>43</v>
      </c>
      <c r="I503" s="3">
        <v>32472433</v>
      </c>
      <c r="J503" s="1" t="s">
        <v>15</v>
      </c>
      <c r="K503" s="1">
        <v>1</v>
      </c>
      <c r="L503" s="35">
        <f>InventoryTY[[#This Row],[Landed Cost]]*InventoryTY[[#This Row],[Inventory Qty]]</f>
        <v>32472433</v>
      </c>
    </row>
    <row r="504" spans="1:12" x14ac:dyDescent="0.25">
      <c r="A504" s="1">
        <v>2026</v>
      </c>
      <c r="B504" s="1">
        <v>1</v>
      </c>
      <c r="C504" s="2">
        <v>46034</v>
      </c>
      <c r="D504" s="1">
        <v>225137</v>
      </c>
      <c r="E504" s="1" t="s">
        <v>58</v>
      </c>
      <c r="F504" s="1" t="s">
        <v>62</v>
      </c>
      <c r="G504" s="1" t="s">
        <v>71</v>
      </c>
      <c r="H504" s="1" t="s">
        <v>43</v>
      </c>
      <c r="I504" s="3">
        <v>32472433</v>
      </c>
      <c r="J504" s="1" t="s">
        <v>17</v>
      </c>
      <c r="K504" s="1">
        <v>1</v>
      </c>
      <c r="L504" s="35">
        <f>InventoryTY[[#This Row],[Landed Cost]]*InventoryTY[[#This Row],[Inventory Qty]]</f>
        <v>32472433</v>
      </c>
    </row>
    <row r="505" spans="1:12" x14ac:dyDescent="0.25">
      <c r="A505" s="1">
        <v>2026</v>
      </c>
      <c r="B505" s="1">
        <v>1</v>
      </c>
      <c r="C505" s="2">
        <v>46034</v>
      </c>
      <c r="D505" s="1">
        <v>225139</v>
      </c>
      <c r="E505" s="1" t="s">
        <v>58</v>
      </c>
      <c r="F505" s="1" t="s">
        <v>62</v>
      </c>
      <c r="G505" s="1" t="s">
        <v>71</v>
      </c>
      <c r="H505" s="1" t="s">
        <v>43</v>
      </c>
      <c r="I505" s="3">
        <v>27372695</v>
      </c>
      <c r="J505" s="1" t="s">
        <v>15</v>
      </c>
      <c r="K505" s="1">
        <v>1</v>
      </c>
      <c r="L505" s="35">
        <f>InventoryTY[[#This Row],[Landed Cost]]*InventoryTY[[#This Row],[Inventory Qty]]</f>
        <v>27372695</v>
      </c>
    </row>
    <row r="506" spans="1:12" x14ac:dyDescent="0.25">
      <c r="A506" s="1">
        <v>2026</v>
      </c>
      <c r="B506" s="1">
        <v>1</v>
      </c>
      <c r="C506" s="2">
        <v>46034</v>
      </c>
      <c r="D506" s="1">
        <v>225140</v>
      </c>
      <c r="E506" s="1" t="s">
        <v>58</v>
      </c>
      <c r="F506" s="1" t="s">
        <v>62</v>
      </c>
      <c r="G506" s="1" t="s">
        <v>71</v>
      </c>
      <c r="H506" s="1" t="s">
        <v>43</v>
      </c>
      <c r="I506" s="3">
        <v>41996041</v>
      </c>
      <c r="J506" s="1" t="s">
        <v>17</v>
      </c>
      <c r="K506" s="1">
        <v>1</v>
      </c>
      <c r="L506" s="35">
        <f>InventoryTY[[#This Row],[Landed Cost]]*InventoryTY[[#This Row],[Inventory Qty]]</f>
        <v>41996041</v>
      </c>
    </row>
    <row r="507" spans="1:12" x14ac:dyDescent="0.25">
      <c r="A507" s="1">
        <v>2026</v>
      </c>
      <c r="B507" s="1">
        <v>1</v>
      </c>
      <c r="C507" s="2">
        <v>46034</v>
      </c>
      <c r="D507" s="1">
        <v>225141</v>
      </c>
      <c r="E507" s="1" t="s">
        <v>58</v>
      </c>
      <c r="F507" s="1" t="s">
        <v>62</v>
      </c>
      <c r="G507" s="1" t="s">
        <v>71</v>
      </c>
      <c r="H507" s="1" t="s">
        <v>43</v>
      </c>
      <c r="I507" s="3">
        <v>20829054</v>
      </c>
      <c r="J507" s="1" t="s">
        <v>17</v>
      </c>
      <c r="K507" s="1">
        <v>1</v>
      </c>
      <c r="L507" s="35">
        <f>InventoryTY[[#This Row],[Landed Cost]]*InventoryTY[[#This Row],[Inventory Qty]]</f>
        <v>20829054</v>
      </c>
    </row>
    <row r="508" spans="1:12" x14ac:dyDescent="0.25">
      <c r="A508" s="1">
        <v>2026</v>
      </c>
      <c r="B508" s="1">
        <v>1</v>
      </c>
      <c r="C508" s="2">
        <v>46034</v>
      </c>
      <c r="D508" s="1">
        <v>225142</v>
      </c>
      <c r="E508" s="1" t="s">
        <v>58</v>
      </c>
      <c r="F508" s="1" t="s">
        <v>62</v>
      </c>
      <c r="G508" s="1" t="s">
        <v>71</v>
      </c>
      <c r="H508" s="1" t="s">
        <v>43</v>
      </c>
      <c r="I508" s="3">
        <v>31427909</v>
      </c>
      <c r="J508" s="1" t="s">
        <v>17</v>
      </c>
      <c r="K508" s="1">
        <v>1</v>
      </c>
      <c r="L508" s="35">
        <f>InventoryTY[[#This Row],[Landed Cost]]*InventoryTY[[#This Row],[Inventory Qty]]</f>
        <v>31427909</v>
      </c>
    </row>
    <row r="509" spans="1:12" x14ac:dyDescent="0.25">
      <c r="A509" s="1">
        <v>2026</v>
      </c>
      <c r="B509" s="1">
        <v>1</v>
      </c>
      <c r="C509" s="2">
        <v>46034</v>
      </c>
      <c r="D509" s="1">
        <v>225143</v>
      </c>
      <c r="E509" s="1" t="s">
        <v>58</v>
      </c>
      <c r="F509" s="1" t="s">
        <v>62</v>
      </c>
      <c r="G509" s="1" t="s">
        <v>71</v>
      </c>
      <c r="H509" s="1" t="s">
        <v>43</v>
      </c>
      <c r="I509" s="3">
        <v>13548100</v>
      </c>
      <c r="J509" s="1" t="s">
        <v>15</v>
      </c>
      <c r="K509" s="1">
        <v>1</v>
      </c>
      <c r="L509" s="35">
        <f>InventoryTY[[#This Row],[Landed Cost]]*InventoryTY[[#This Row],[Inventory Qty]]</f>
        <v>13548100</v>
      </c>
    </row>
    <row r="510" spans="1:12" x14ac:dyDescent="0.25">
      <c r="A510" s="1">
        <v>2026</v>
      </c>
      <c r="B510" s="1">
        <v>1</v>
      </c>
      <c r="C510" s="2">
        <v>46034</v>
      </c>
      <c r="D510" s="1">
        <v>225144</v>
      </c>
      <c r="E510" s="1" t="s">
        <v>58</v>
      </c>
      <c r="F510" s="1" t="s">
        <v>62</v>
      </c>
      <c r="G510" s="1" t="s">
        <v>71</v>
      </c>
      <c r="H510" s="1" t="s">
        <v>43</v>
      </c>
      <c r="I510" s="3">
        <v>33209746</v>
      </c>
      <c r="J510" s="1" t="s">
        <v>15</v>
      </c>
      <c r="K510" s="1">
        <v>1</v>
      </c>
      <c r="L510" s="35">
        <f>InventoryTY[[#This Row],[Landed Cost]]*InventoryTY[[#This Row],[Inventory Qty]]</f>
        <v>33209746</v>
      </c>
    </row>
    <row r="511" spans="1:12" x14ac:dyDescent="0.25">
      <c r="A511" s="1">
        <v>2026</v>
      </c>
      <c r="B511" s="1">
        <v>1</v>
      </c>
      <c r="C511" s="2">
        <v>46034</v>
      </c>
      <c r="D511" s="1">
        <v>225145</v>
      </c>
      <c r="E511" s="1" t="s">
        <v>58</v>
      </c>
      <c r="F511" s="1" t="s">
        <v>62</v>
      </c>
      <c r="G511" s="1" t="s">
        <v>71</v>
      </c>
      <c r="H511" s="1" t="s">
        <v>34</v>
      </c>
      <c r="I511" s="3">
        <v>26666104</v>
      </c>
      <c r="J511" s="1" t="s">
        <v>15</v>
      </c>
      <c r="K511" s="1">
        <v>1</v>
      </c>
      <c r="L511" s="35">
        <f>InventoryTY[[#This Row],[Landed Cost]]*InventoryTY[[#This Row],[Inventory Qty]]</f>
        <v>26666104</v>
      </c>
    </row>
    <row r="512" spans="1:12" x14ac:dyDescent="0.25">
      <c r="A512" s="1">
        <v>2026</v>
      </c>
      <c r="B512" s="1">
        <v>1</v>
      </c>
      <c r="C512" s="2">
        <v>46034</v>
      </c>
      <c r="D512" s="1">
        <v>225145</v>
      </c>
      <c r="E512" s="1" t="s">
        <v>58</v>
      </c>
      <c r="F512" s="1" t="s">
        <v>62</v>
      </c>
      <c r="G512" s="1" t="s">
        <v>71</v>
      </c>
      <c r="H512" s="1" t="s">
        <v>34</v>
      </c>
      <c r="I512" s="3">
        <v>26666104</v>
      </c>
      <c r="J512" s="1" t="s">
        <v>17</v>
      </c>
      <c r="K512" s="1">
        <v>1</v>
      </c>
      <c r="L512" s="35">
        <f>InventoryTY[[#This Row],[Landed Cost]]*InventoryTY[[#This Row],[Inventory Qty]]</f>
        <v>26666104</v>
      </c>
    </row>
    <row r="513" spans="1:12" x14ac:dyDescent="0.25">
      <c r="A513" s="1">
        <v>2026</v>
      </c>
      <c r="B513" s="1">
        <v>1</v>
      </c>
      <c r="C513" s="2">
        <v>46034</v>
      </c>
      <c r="D513" s="1">
        <v>225146</v>
      </c>
      <c r="E513" s="1" t="s">
        <v>58</v>
      </c>
      <c r="F513" s="1" t="s">
        <v>62</v>
      </c>
      <c r="G513" s="1" t="s">
        <v>71</v>
      </c>
      <c r="H513" s="1" t="s">
        <v>37</v>
      </c>
      <c r="I513" s="3">
        <v>17910528</v>
      </c>
      <c r="J513" s="1" t="s">
        <v>15</v>
      </c>
      <c r="K513" s="1">
        <v>1</v>
      </c>
      <c r="L513" s="35">
        <f>InventoryTY[[#This Row],[Landed Cost]]*InventoryTY[[#This Row],[Inventory Qty]]</f>
        <v>17910528</v>
      </c>
    </row>
    <row r="514" spans="1:12" x14ac:dyDescent="0.25">
      <c r="A514" s="1">
        <v>2026</v>
      </c>
      <c r="B514" s="1">
        <v>1</v>
      </c>
      <c r="C514" s="2">
        <v>46034</v>
      </c>
      <c r="D514" s="1">
        <v>225147</v>
      </c>
      <c r="E514" s="1" t="s">
        <v>58</v>
      </c>
      <c r="F514" s="1" t="s">
        <v>62</v>
      </c>
      <c r="G514" s="1" t="s">
        <v>71</v>
      </c>
      <c r="H514" s="1" t="s">
        <v>37</v>
      </c>
      <c r="I514" s="3">
        <v>29031646</v>
      </c>
      <c r="J514" s="1" t="s">
        <v>15</v>
      </c>
      <c r="K514" s="1">
        <v>1</v>
      </c>
      <c r="L514" s="35">
        <f>InventoryTY[[#This Row],[Landed Cost]]*InventoryTY[[#This Row],[Inventory Qty]]</f>
        <v>29031646</v>
      </c>
    </row>
    <row r="515" spans="1:12" x14ac:dyDescent="0.25">
      <c r="A515" s="1">
        <v>2026</v>
      </c>
      <c r="B515" s="1">
        <v>1</v>
      </c>
      <c r="C515" s="2">
        <v>46034</v>
      </c>
      <c r="D515" s="1">
        <v>225148</v>
      </c>
      <c r="E515" s="1" t="s">
        <v>58</v>
      </c>
      <c r="F515" s="1" t="s">
        <v>62</v>
      </c>
      <c r="G515" s="1" t="s">
        <v>71</v>
      </c>
      <c r="H515" s="1" t="s">
        <v>49</v>
      </c>
      <c r="I515" s="3">
        <v>12657184</v>
      </c>
      <c r="J515" s="1" t="s">
        <v>15</v>
      </c>
      <c r="K515" s="1">
        <v>1</v>
      </c>
      <c r="L515" s="35">
        <f>InventoryTY[[#This Row],[Landed Cost]]*InventoryTY[[#This Row],[Inventory Qty]]</f>
        <v>12657184</v>
      </c>
    </row>
    <row r="516" spans="1:12" x14ac:dyDescent="0.25">
      <c r="A516" s="1">
        <v>2026</v>
      </c>
      <c r="B516" s="1">
        <v>1</v>
      </c>
      <c r="C516" s="2">
        <v>46034</v>
      </c>
      <c r="D516" s="1">
        <v>225149</v>
      </c>
      <c r="E516" s="1" t="s">
        <v>58</v>
      </c>
      <c r="F516" s="1" t="s">
        <v>62</v>
      </c>
      <c r="G516" s="1" t="s">
        <v>71</v>
      </c>
      <c r="H516" s="1" t="s">
        <v>49</v>
      </c>
      <c r="I516" s="3">
        <v>20091741</v>
      </c>
      <c r="J516" s="1" t="s">
        <v>15</v>
      </c>
      <c r="K516" s="1">
        <v>1</v>
      </c>
      <c r="L516" s="35">
        <f>InventoryTY[[#This Row],[Landed Cost]]*InventoryTY[[#This Row],[Inventory Qty]]</f>
        <v>20091741</v>
      </c>
    </row>
    <row r="517" spans="1:12" x14ac:dyDescent="0.25">
      <c r="A517" s="1">
        <v>2026</v>
      </c>
      <c r="B517" s="1">
        <v>1</v>
      </c>
      <c r="C517" s="2">
        <v>46034</v>
      </c>
      <c r="D517" s="1">
        <v>225150</v>
      </c>
      <c r="E517" s="1" t="s">
        <v>58</v>
      </c>
      <c r="F517" s="1" t="s">
        <v>62</v>
      </c>
      <c r="G517" s="1" t="s">
        <v>71</v>
      </c>
      <c r="H517" s="1" t="s">
        <v>34</v>
      </c>
      <c r="I517" s="3">
        <v>25898071</v>
      </c>
      <c r="J517" s="1" t="s">
        <v>15</v>
      </c>
      <c r="K517" s="1">
        <v>1</v>
      </c>
      <c r="L517" s="35">
        <f>InventoryTY[[#This Row],[Landed Cost]]*InventoryTY[[#This Row],[Inventory Qty]]</f>
        <v>25898071</v>
      </c>
    </row>
    <row r="518" spans="1:12" x14ac:dyDescent="0.25">
      <c r="A518" s="1">
        <v>2026</v>
      </c>
      <c r="B518" s="1">
        <v>1</v>
      </c>
      <c r="C518" s="2">
        <v>46034</v>
      </c>
      <c r="D518" s="1">
        <v>225151</v>
      </c>
      <c r="E518" s="1" t="s">
        <v>58</v>
      </c>
      <c r="F518" s="1" t="s">
        <v>62</v>
      </c>
      <c r="G518" s="1" t="s">
        <v>71</v>
      </c>
      <c r="H518" s="1" t="s">
        <v>34</v>
      </c>
      <c r="I518" s="3">
        <v>37848664</v>
      </c>
      <c r="J518" s="1" t="s">
        <v>15</v>
      </c>
      <c r="K518" s="1">
        <v>1</v>
      </c>
      <c r="L518" s="35">
        <f>InventoryTY[[#This Row],[Landed Cost]]*InventoryTY[[#This Row],[Inventory Qty]]</f>
        <v>37848664</v>
      </c>
    </row>
    <row r="519" spans="1:12" x14ac:dyDescent="0.25">
      <c r="A519" s="1">
        <v>2026</v>
      </c>
      <c r="B519" s="1">
        <v>1</v>
      </c>
      <c r="C519" s="2">
        <v>46034</v>
      </c>
      <c r="D519" s="1">
        <v>225152</v>
      </c>
      <c r="E519" s="1" t="s">
        <v>58</v>
      </c>
      <c r="F519" s="1" t="s">
        <v>62</v>
      </c>
      <c r="G519" s="1" t="s">
        <v>71</v>
      </c>
      <c r="H519" s="1" t="s">
        <v>49</v>
      </c>
      <c r="I519" s="3">
        <v>20091741</v>
      </c>
      <c r="J519" s="1" t="s">
        <v>15</v>
      </c>
      <c r="K519" s="1">
        <v>1</v>
      </c>
      <c r="L519" s="35">
        <f>InventoryTY[[#This Row],[Landed Cost]]*InventoryTY[[#This Row],[Inventory Qty]]</f>
        <v>20091741</v>
      </c>
    </row>
    <row r="520" spans="1:12" x14ac:dyDescent="0.25">
      <c r="A520" s="1">
        <v>2026</v>
      </c>
      <c r="B520" s="1">
        <v>1</v>
      </c>
      <c r="C520" s="2">
        <v>46034</v>
      </c>
      <c r="D520" s="1">
        <v>225153</v>
      </c>
      <c r="E520" s="1" t="s">
        <v>58</v>
      </c>
      <c r="F520" s="1" t="s">
        <v>62</v>
      </c>
      <c r="G520" s="1" t="s">
        <v>71</v>
      </c>
      <c r="H520" s="1" t="s">
        <v>49</v>
      </c>
      <c r="I520" s="3">
        <v>12042757</v>
      </c>
      <c r="J520" s="1" t="s">
        <v>15</v>
      </c>
      <c r="K520" s="1">
        <v>1</v>
      </c>
      <c r="L520" s="35">
        <f>InventoryTY[[#This Row],[Landed Cost]]*InventoryTY[[#This Row],[Inventory Qty]]</f>
        <v>12042757</v>
      </c>
    </row>
    <row r="521" spans="1:12" x14ac:dyDescent="0.25">
      <c r="A521" s="1">
        <v>2026</v>
      </c>
      <c r="B521" s="1">
        <v>1</v>
      </c>
      <c r="C521" s="2">
        <v>46034</v>
      </c>
      <c r="D521" s="1">
        <v>225155</v>
      </c>
      <c r="E521" s="1" t="s">
        <v>58</v>
      </c>
      <c r="F521" s="1" t="s">
        <v>62</v>
      </c>
      <c r="G521" s="1" t="s">
        <v>71</v>
      </c>
      <c r="H521" s="1" t="s">
        <v>34</v>
      </c>
      <c r="I521" s="3">
        <v>37848664</v>
      </c>
      <c r="J521" s="1" t="s">
        <v>67</v>
      </c>
      <c r="K521" s="1">
        <v>1</v>
      </c>
      <c r="L521" s="35">
        <f>InventoryTY[[#This Row],[Landed Cost]]*InventoryTY[[#This Row],[Inventory Qty]]</f>
        <v>37848664</v>
      </c>
    </row>
    <row r="522" spans="1:12" x14ac:dyDescent="0.25">
      <c r="A522" s="1">
        <v>2026</v>
      </c>
      <c r="B522" s="1">
        <v>1</v>
      </c>
      <c r="C522" s="2">
        <v>46034</v>
      </c>
      <c r="D522" s="1">
        <v>225156</v>
      </c>
      <c r="E522" s="1" t="s">
        <v>58</v>
      </c>
      <c r="F522" s="1" t="s">
        <v>62</v>
      </c>
      <c r="G522" s="1" t="s">
        <v>71</v>
      </c>
      <c r="H522" s="1" t="s">
        <v>49</v>
      </c>
      <c r="I522" s="3">
        <v>20091741</v>
      </c>
      <c r="J522" s="1" t="s">
        <v>67</v>
      </c>
      <c r="K522" s="1">
        <v>1</v>
      </c>
      <c r="L522" s="35">
        <f>InventoryTY[[#This Row],[Landed Cost]]*InventoryTY[[#This Row],[Inventory Qty]]</f>
        <v>20091741</v>
      </c>
    </row>
    <row r="523" spans="1:12" x14ac:dyDescent="0.25">
      <c r="A523" s="1">
        <v>2026</v>
      </c>
      <c r="B523" s="1">
        <v>1</v>
      </c>
      <c r="C523" s="2">
        <v>46034</v>
      </c>
      <c r="D523" s="1">
        <v>225157</v>
      </c>
      <c r="E523" s="1" t="s">
        <v>58</v>
      </c>
      <c r="F523" s="1" t="s">
        <v>62</v>
      </c>
      <c r="G523" s="1" t="s">
        <v>71</v>
      </c>
      <c r="H523" s="1" t="s">
        <v>34</v>
      </c>
      <c r="I523" s="3">
        <v>67064638</v>
      </c>
      <c r="J523" s="1" t="s">
        <v>15</v>
      </c>
      <c r="K523" s="1">
        <v>1</v>
      </c>
      <c r="L523" s="35">
        <f>InventoryTY[[#This Row],[Landed Cost]]*InventoryTY[[#This Row],[Inventory Qty]]</f>
        <v>67064638</v>
      </c>
    </row>
    <row r="524" spans="1:12" x14ac:dyDescent="0.25">
      <c r="A524" s="1">
        <v>2026</v>
      </c>
      <c r="B524" s="1">
        <v>1</v>
      </c>
      <c r="C524" s="2">
        <v>46034</v>
      </c>
      <c r="D524" s="1">
        <v>225158</v>
      </c>
      <c r="E524" s="1" t="s">
        <v>58</v>
      </c>
      <c r="F524" s="1" t="s">
        <v>62</v>
      </c>
      <c r="G524" s="1" t="s">
        <v>71</v>
      </c>
      <c r="H524" s="1" t="s">
        <v>37</v>
      </c>
      <c r="I524" s="3">
        <v>57233816</v>
      </c>
      <c r="J524" s="1" t="s">
        <v>17</v>
      </c>
      <c r="K524" s="1">
        <v>1</v>
      </c>
      <c r="L524" s="35">
        <f>InventoryTY[[#This Row],[Landed Cost]]*InventoryTY[[#This Row],[Inventory Qty]]</f>
        <v>57233816</v>
      </c>
    </row>
    <row r="525" spans="1:12" x14ac:dyDescent="0.25">
      <c r="A525" s="1">
        <v>2026</v>
      </c>
      <c r="B525" s="1">
        <v>1</v>
      </c>
      <c r="C525" s="2">
        <v>46034</v>
      </c>
      <c r="D525" s="1">
        <v>225159</v>
      </c>
      <c r="E525" s="1" t="s">
        <v>58</v>
      </c>
      <c r="F525" s="1" t="s">
        <v>62</v>
      </c>
      <c r="G525" s="1" t="s">
        <v>71</v>
      </c>
      <c r="H525" s="1" t="s">
        <v>34</v>
      </c>
      <c r="I525" s="3">
        <v>23225316</v>
      </c>
      <c r="J525" s="1" t="s">
        <v>17</v>
      </c>
      <c r="K525" s="1">
        <v>1</v>
      </c>
      <c r="L525" s="35">
        <f>InventoryTY[[#This Row],[Landed Cost]]*InventoryTY[[#This Row],[Inventory Qty]]</f>
        <v>23225316</v>
      </c>
    </row>
    <row r="526" spans="1:12" x14ac:dyDescent="0.25">
      <c r="A526" s="1">
        <v>2026</v>
      </c>
      <c r="B526" s="1">
        <v>1</v>
      </c>
      <c r="C526" s="2">
        <v>46034</v>
      </c>
      <c r="D526" s="1">
        <v>225160</v>
      </c>
      <c r="E526" s="1" t="s">
        <v>58</v>
      </c>
      <c r="F526" s="1" t="s">
        <v>62</v>
      </c>
      <c r="G526" s="1" t="s">
        <v>71</v>
      </c>
      <c r="H526" s="1" t="s">
        <v>34</v>
      </c>
      <c r="I526" s="3">
        <v>27925677</v>
      </c>
      <c r="J526" s="1" t="s">
        <v>17</v>
      </c>
      <c r="K526" s="1">
        <v>1</v>
      </c>
      <c r="L526" s="35">
        <f>InventoryTY[[#This Row],[Landed Cost]]*InventoryTY[[#This Row],[Inventory Qty]]</f>
        <v>27925677</v>
      </c>
    </row>
    <row r="527" spans="1:12" x14ac:dyDescent="0.25">
      <c r="A527" s="1">
        <v>2026</v>
      </c>
      <c r="B527" s="1">
        <v>1</v>
      </c>
      <c r="C527" s="2">
        <v>46034</v>
      </c>
      <c r="D527" s="1">
        <v>225161</v>
      </c>
      <c r="E527" s="1" t="s">
        <v>58</v>
      </c>
      <c r="F527" s="1" t="s">
        <v>62</v>
      </c>
      <c r="G527" s="1" t="s">
        <v>71</v>
      </c>
      <c r="H527" s="1" t="s">
        <v>43</v>
      </c>
      <c r="I527" s="3">
        <v>32257383</v>
      </c>
      <c r="J527" s="1" t="s">
        <v>15</v>
      </c>
      <c r="K527" s="1">
        <v>1</v>
      </c>
      <c r="L527" s="35">
        <f>InventoryTY[[#This Row],[Landed Cost]]*InventoryTY[[#This Row],[Inventory Qty]]</f>
        <v>32257383</v>
      </c>
    </row>
    <row r="528" spans="1:12" x14ac:dyDescent="0.25">
      <c r="A528" s="1">
        <v>2026</v>
      </c>
      <c r="B528" s="1">
        <v>1</v>
      </c>
      <c r="C528" s="2">
        <v>46034</v>
      </c>
      <c r="D528" s="1">
        <v>225162</v>
      </c>
      <c r="E528" s="1" t="s">
        <v>58</v>
      </c>
      <c r="F528" s="1" t="s">
        <v>62</v>
      </c>
      <c r="G528" s="1" t="s">
        <v>71</v>
      </c>
      <c r="H528" s="1" t="s">
        <v>53</v>
      </c>
      <c r="I528" s="3">
        <v>32103777</v>
      </c>
      <c r="J528" s="1" t="s">
        <v>17</v>
      </c>
      <c r="K528" s="1">
        <v>1</v>
      </c>
      <c r="L528" s="35">
        <f>InventoryTY[[#This Row],[Landed Cost]]*InventoryTY[[#This Row],[Inventory Qty]]</f>
        <v>32103777</v>
      </c>
    </row>
    <row r="529" spans="1:12" x14ac:dyDescent="0.25">
      <c r="A529" s="1">
        <v>2026</v>
      </c>
      <c r="B529" s="1">
        <v>1</v>
      </c>
      <c r="C529" s="2">
        <v>46034</v>
      </c>
      <c r="D529" s="1">
        <v>225163</v>
      </c>
      <c r="E529" s="1" t="s">
        <v>58</v>
      </c>
      <c r="F529" s="1" t="s">
        <v>62</v>
      </c>
      <c r="G529" s="1" t="s">
        <v>71</v>
      </c>
      <c r="H529" s="1" t="s">
        <v>43</v>
      </c>
      <c r="I529" s="3">
        <v>29000924</v>
      </c>
      <c r="J529" s="1" t="s">
        <v>15</v>
      </c>
      <c r="K529" s="1">
        <v>1</v>
      </c>
      <c r="L529" s="35">
        <f>InventoryTY[[#This Row],[Landed Cost]]*InventoryTY[[#This Row],[Inventory Qty]]</f>
        <v>29000924</v>
      </c>
    </row>
    <row r="530" spans="1:12" x14ac:dyDescent="0.25">
      <c r="A530" s="1">
        <v>2026</v>
      </c>
      <c r="B530" s="1">
        <v>1</v>
      </c>
      <c r="C530" s="2">
        <v>46034</v>
      </c>
      <c r="D530" s="1">
        <v>225164</v>
      </c>
      <c r="E530" s="1" t="s">
        <v>58</v>
      </c>
      <c r="F530" s="1" t="s">
        <v>62</v>
      </c>
      <c r="G530" s="1" t="s">
        <v>71</v>
      </c>
      <c r="H530" s="1" t="s">
        <v>43</v>
      </c>
      <c r="I530" s="3">
        <v>30997810</v>
      </c>
      <c r="J530" s="1" t="s">
        <v>15</v>
      </c>
      <c r="K530" s="1">
        <v>1</v>
      </c>
      <c r="L530" s="35">
        <f>InventoryTY[[#This Row],[Landed Cost]]*InventoryTY[[#This Row],[Inventory Qty]]</f>
        <v>30997810</v>
      </c>
    </row>
    <row r="531" spans="1:12" x14ac:dyDescent="0.25">
      <c r="A531" s="1">
        <v>2026</v>
      </c>
      <c r="B531" s="1">
        <v>1</v>
      </c>
      <c r="C531" s="2">
        <v>46034</v>
      </c>
      <c r="D531" s="1">
        <v>225165</v>
      </c>
      <c r="E531" s="1" t="s">
        <v>58</v>
      </c>
      <c r="F531" s="1" t="s">
        <v>62</v>
      </c>
      <c r="G531" s="1" t="s">
        <v>71</v>
      </c>
      <c r="H531" s="1" t="s">
        <v>34</v>
      </c>
      <c r="I531" s="3">
        <v>25222202</v>
      </c>
      <c r="J531" s="1" t="s">
        <v>15</v>
      </c>
      <c r="K531" s="1">
        <v>1</v>
      </c>
      <c r="L531" s="35">
        <f>InventoryTY[[#This Row],[Landed Cost]]*InventoryTY[[#This Row],[Inventory Qty]]</f>
        <v>25222202</v>
      </c>
    </row>
    <row r="532" spans="1:12" x14ac:dyDescent="0.25">
      <c r="A532" s="1">
        <v>2026</v>
      </c>
      <c r="B532" s="1">
        <v>1</v>
      </c>
      <c r="C532" s="2">
        <v>46034</v>
      </c>
      <c r="D532" s="1">
        <v>225166</v>
      </c>
      <c r="E532" s="1" t="s">
        <v>58</v>
      </c>
      <c r="F532" s="1" t="s">
        <v>62</v>
      </c>
      <c r="G532" s="1" t="s">
        <v>71</v>
      </c>
      <c r="H532" s="1" t="s">
        <v>43</v>
      </c>
      <c r="I532" s="3">
        <v>30414104</v>
      </c>
      <c r="J532" s="1" t="s">
        <v>15</v>
      </c>
      <c r="K532" s="1">
        <v>1</v>
      </c>
      <c r="L532" s="35">
        <f>InventoryTY[[#This Row],[Landed Cost]]*InventoryTY[[#This Row],[Inventory Qty]]</f>
        <v>30414104</v>
      </c>
    </row>
    <row r="533" spans="1:12" x14ac:dyDescent="0.25">
      <c r="A533" s="1">
        <v>2026</v>
      </c>
      <c r="B533" s="1">
        <v>1</v>
      </c>
      <c r="C533" s="2">
        <v>46034</v>
      </c>
      <c r="D533" s="1">
        <v>225167</v>
      </c>
      <c r="E533" s="1" t="s">
        <v>58</v>
      </c>
      <c r="F533" s="1" t="s">
        <v>62</v>
      </c>
      <c r="G533" s="1" t="s">
        <v>71</v>
      </c>
      <c r="H533" s="1" t="s">
        <v>34</v>
      </c>
      <c r="I533" s="3">
        <v>23931906</v>
      </c>
      <c r="J533" s="1" t="s">
        <v>15</v>
      </c>
      <c r="K533" s="1">
        <v>1</v>
      </c>
      <c r="L533" s="35">
        <f>InventoryTY[[#This Row],[Landed Cost]]*InventoryTY[[#This Row],[Inventory Qty]]</f>
        <v>23931906</v>
      </c>
    </row>
    <row r="534" spans="1:12" x14ac:dyDescent="0.25">
      <c r="A534" s="1">
        <v>2026</v>
      </c>
      <c r="B534" s="1">
        <v>1</v>
      </c>
      <c r="C534" s="2">
        <v>46034</v>
      </c>
      <c r="D534" s="1">
        <v>225170</v>
      </c>
      <c r="E534" s="1" t="s">
        <v>58</v>
      </c>
      <c r="F534" s="1" t="s">
        <v>62</v>
      </c>
      <c r="G534" s="1" t="s">
        <v>71</v>
      </c>
      <c r="H534" s="1" t="s">
        <v>43</v>
      </c>
      <c r="I534" s="3">
        <v>30137613</v>
      </c>
      <c r="J534" s="1" t="s">
        <v>17</v>
      </c>
      <c r="K534" s="1">
        <v>1</v>
      </c>
      <c r="L534" s="35">
        <f>InventoryTY[[#This Row],[Landed Cost]]*InventoryTY[[#This Row],[Inventory Qty]]</f>
        <v>30137613</v>
      </c>
    </row>
    <row r="535" spans="1:12" x14ac:dyDescent="0.25">
      <c r="A535" s="1">
        <v>2026</v>
      </c>
      <c r="B535" s="1">
        <v>1</v>
      </c>
      <c r="C535" s="2">
        <v>46034</v>
      </c>
      <c r="D535" s="1">
        <v>225171</v>
      </c>
      <c r="E535" s="1" t="s">
        <v>58</v>
      </c>
      <c r="F535" s="1" t="s">
        <v>62</v>
      </c>
      <c r="G535" s="1" t="s">
        <v>71</v>
      </c>
      <c r="H535" s="1" t="s">
        <v>43</v>
      </c>
      <c r="I535" s="3">
        <v>30905646</v>
      </c>
      <c r="J535" s="1" t="s">
        <v>15</v>
      </c>
      <c r="K535" s="1">
        <v>1</v>
      </c>
      <c r="L535" s="35">
        <f>InventoryTY[[#This Row],[Landed Cost]]*InventoryTY[[#This Row],[Inventory Qty]]</f>
        <v>30905646</v>
      </c>
    </row>
    <row r="536" spans="1:12" x14ac:dyDescent="0.25">
      <c r="A536" s="1">
        <v>2026</v>
      </c>
      <c r="B536" s="1">
        <v>1</v>
      </c>
      <c r="C536" s="2">
        <v>46034</v>
      </c>
      <c r="D536" s="1">
        <v>225172</v>
      </c>
      <c r="E536" s="1" t="s">
        <v>58</v>
      </c>
      <c r="F536" s="1" t="s">
        <v>62</v>
      </c>
      <c r="G536" s="1" t="s">
        <v>71</v>
      </c>
      <c r="H536" s="1" t="s">
        <v>53</v>
      </c>
      <c r="I536" s="3">
        <v>32103777</v>
      </c>
      <c r="J536" s="1" t="s">
        <v>15</v>
      </c>
      <c r="K536" s="1">
        <v>1</v>
      </c>
      <c r="L536" s="35">
        <f>InventoryTY[[#This Row],[Landed Cost]]*InventoryTY[[#This Row],[Inventory Qty]]</f>
        <v>32103777</v>
      </c>
    </row>
    <row r="537" spans="1:12" x14ac:dyDescent="0.25">
      <c r="A537" s="1">
        <v>2026</v>
      </c>
      <c r="B537" s="1">
        <v>1</v>
      </c>
      <c r="C537" s="2">
        <v>46034</v>
      </c>
      <c r="D537" s="1">
        <v>225173</v>
      </c>
      <c r="E537" s="1" t="s">
        <v>58</v>
      </c>
      <c r="F537" s="1" t="s">
        <v>62</v>
      </c>
      <c r="G537" s="1" t="s">
        <v>71</v>
      </c>
      <c r="H537" s="1" t="s">
        <v>34</v>
      </c>
      <c r="I537" s="3">
        <v>25222202</v>
      </c>
      <c r="J537" s="1" t="s">
        <v>15</v>
      </c>
      <c r="K537" s="1">
        <v>1</v>
      </c>
      <c r="L537" s="35">
        <f>InventoryTY[[#This Row],[Landed Cost]]*InventoryTY[[#This Row],[Inventory Qty]]</f>
        <v>25222202</v>
      </c>
    </row>
    <row r="538" spans="1:12" x14ac:dyDescent="0.25">
      <c r="A538" s="1">
        <v>2026</v>
      </c>
      <c r="B538" s="1">
        <v>1</v>
      </c>
      <c r="C538" s="2">
        <v>46034</v>
      </c>
      <c r="D538" s="1">
        <v>225174</v>
      </c>
      <c r="E538" s="1" t="s">
        <v>58</v>
      </c>
      <c r="F538" s="1" t="s">
        <v>62</v>
      </c>
      <c r="G538" s="1" t="s">
        <v>71</v>
      </c>
      <c r="H538" s="1" t="s">
        <v>49</v>
      </c>
      <c r="I538" s="3">
        <v>19723087</v>
      </c>
      <c r="J538" s="1" t="s">
        <v>15</v>
      </c>
      <c r="K538" s="1">
        <v>1</v>
      </c>
      <c r="L538" s="35">
        <f>InventoryTY[[#This Row],[Landed Cost]]*InventoryTY[[#This Row],[Inventory Qty]]</f>
        <v>19723087</v>
      </c>
    </row>
    <row r="539" spans="1:12" x14ac:dyDescent="0.25">
      <c r="A539" s="1">
        <v>2026</v>
      </c>
      <c r="B539" s="1">
        <v>1</v>
      </c>
      <c r="C539" s="2">
        <v>46034</v>
      </c>
      <c r="D539" s="1">
        <v>225175</v>
      </c>
      <c r="E539" s="1" t="s">
        <v>58</v>
      </c>
      <c r="F539" s="1" t="s">
        <v>62</v>
      </c>
      <c r="G539" s="1" t="s">
        <v>71</v>
      </c>
      <c r="H539" s="1" t="s">
        <v>37</v>
      </c>
      <c r="I539" s="3">
        <v>12042757</v>
      </c>
      <c r="J539" s="1" t="s">
        <v>15</v>
      </c>
      <c r="K539" s="1">
        <v>1</v>
      </c>
      <c r="L539" s="35">
        <f>InventoryTY[[#This Row],[Landed Cost]]*InventoryTY[[#This Row],[Inventory Qty]]</f>
        <v>12042757</v>
      </c>
    </row>
    <row r="540" spans="1:12" x14ac:dyDescent="0.25">
      <c r="A540" s="1">
        <v>2026</v>
      </c>
      <c r="B540" s="1">
        <v>1</v>
      </c>
      <c r="C540" s="2">
        <v>46034</v>
      </c>
      <c r="D540" s="1">
        <v>225176</v>
      </c>
      <c r="E540" s="1" t="s">
        <v>58</v>
      </c>
      <c r="F540" s="1" t="s">
        <v>62</v>
      </c>
      <c r="G540" s="1" t="s">
        <v>71</v>
      </c>
      <c r="H540" s="1" t="s">
        <v>43</v>
      </c>
      <c r="I540" s="3">
        <v>31980891</v>
      </c>
      <c r="J540" s="1" t="s">
        <v>15</v>
      </c>
      <c r="K540" s="1">
        <v>1</v>
      </c>
      <c r="L540" s="35">
        <f>InventoryTY[[#This Row],[Landed Cost]]*InventoryTY[[#This Row],[Inventory Qty]]</f>
        <v>31980891</v>
      </c>
    </row>
    <row r="541" spans="1:12" x14ac:dyDescent="0.25">
      <c r="A541" s="1">
        <v>2026</v>
      </c>
      <c r="B541" s="1">
        <v>1</v>
      </c>
      <c r="C541" s="2">
        <v>46034</v>
      </c>
      <c r="D541" s="1">
        <v>225177</v>
      </c>
      <c r="E541" s="1" t="s">
        <v>58</v>
      </c>
      <c r="F541" s="1" t="s">
        <v>62</v>
      </c>
      <c r="G541" s="1" t="s">
        <v>71</v>
      </c>
      <c r="H541" s="1" t="s">
        <v>34</v>
      </c>
      <c r="I541" s="3">
        <v>27311251</v>
      </c>
      <c r="J541" s="1" t="s">
        <v>15</v>
      </c>
      <c r="K541" s="1">
        <v>1</v>
      </c>
      <c r="L541" s="35">
        <f>InventoryTY[[#This Row],[Landed Cost]]*InventoryTY[[#This Row],[Inventory Qty]]</f>
        <v>27311251</v>
      </c>
    </row>
    <row r="542" spans="1:12" x14ac:dyDescent="0.25">
      <c r="A542" s="1">
        <v>2026</v>
      </c>
      <c r="B542" s="1">
        <v>1</v>
      </c>
      <c r="C542" s="2">
        <v>46034</v>
      </c>
      <c r="D542" s="1">
        <v>225178</v>
      </c>
      <c r="E542" s="1" t="s">
        <v>58</v>
      </c>
      <c r="F542" s="1" t="s">
        <v>62</v>
      </c>
      <c r="G542" s="1" t="s">
        <v>71</v>
      </c>
      <c r="H542" s="1" t="s">
        <v>49</v>
      </c>
      <c r="I542" s="3">
        <v>22088628</v>
      </c>
      <c r="J542" s="1" t="s">
        <v>17</v>
      </c>
      <c r="K542" s="1">
        <v>1</v>
      </c>
      <c r="L542" s="35">
        <f>InventoryTY[[#This Row],[Landed Cost]]*InventoryTY[[#This Row],[Inventory Qty]]</f>
        <v>22088628</v>
      </c>
    </row>
    <row r="543" spans="1:12" x14ac:dyDescent="0.25">
      <c r="A543" s="1">
        <v>2026</v>
      </c>
      <c r="B543" s="1">
        <v>1</v>
      </c>
      <c r="C543" s="2">
        <v>46034</v>
      </c>
      <c r="D543" s="1">
        <v>225179</v>
      </c>
      <c r="E543" s="1" t="s">
        <v>58</v>
      </c>
      <c r="F543" s="1" t="s">
        <v>62</v>
      </c>
      <c r="G543" s="1" t="s">
        <v>71</v>
      </c>
      <c r="H543" s="1" t="s">
        <v>37</v>
      </c>
      <c r="I543" s="3">
        <v>12042757</v>
      </c>
      <c r="J543" s="1" t="s">
        <v>17</v>
      </c>
      <c r="K543" s="1">
        <v>1</v>
      </c>
      <c r="L543" s="35">
        <f>InventoryTY[[#This Row],[Landed Cost]]*InventoryTY[[#This Row],[Inventory Qty]]</f>
        <v>12042757</v>
      </c>
    </row>
    <row r="544" spans="1:12" x14ac:dyDescent="0.25">
      <c r="A544" s="1">
        <v>2026</v>
      </c>
      <c r="B544" s="1">
        <v>1</v>
      </c>
      <c r="C544" s="2">
        <v>46034</v>
      </c>
      <c r="D544" s="1">
        <v>225180</v>
      </c>
      <c r="E544" s="1" t="s">
        <v>58</v>
      </c>
      <c r="F544" s="1" t="s">
        <v>62</v>
      </c>
      <c r="G544" s="1" t="s">
        <v>71</v>
      </c>
      <c r="H544" s="1" t="s">
        <v>43</v>
      </c>
      <c r="I544" s="3">
        <v>57110930</v>
      </c>
      <c r="J544" s="1" t="s">
        <v>17</v>
      </c>
      <c r="K544" s="1">
        <v>1</v>
      </c>
      <c r="L544" s="35">
        <f>InventoryTY[[#This Row],[Landed Cost]]*InventoryTY[[#This Row],[Inventory Qty]]</f>
        <v>57110930</v>
      </c>
    </row>
    <row r="545" spans="1:12" x14ac:dyDescent="0.25">
      <c r="A545" s="1">
        <v>2026</v>
      </c>
      <c r="B545" s="1">
        <v>1</v>
      </c>
      <c r="C545" s="2">
        <v>46034</v>
      </c>
      <c r="D545" s="1">
        <v>225182</v>
      </c>
      <c r="E545" s="1" t="s">
        <v>58</v>
      </c>
      <c r="F545" s="1" t="s">
        <v>62</v>
      </c>
      <c r="G545" s="1" t="s">
        <v>71</v>
      </c>
      <c r="H545" s="1" t="s">
        <v>53</v>
      </c>
      <c r="I545" s="3">
        <v>83899920.5</v>
      </c>
      <c r="J545" s="1" t="s">
        <v>15</v>
      </c>
      <c r="K545" s="1">
        <v>1</v>
      </c>
      <c r="L545" s="35">
        <f>InventoryTY[[#This Row],[Landed Cost]]*InventoryTY[[#This Row],[Inventory Qty]]</f>
        <v>83899920.5</v>
      </c>
    </row>
    <row r="546" spans="1:12" x14ac:dyDescent="0.25">
      <c r="A546" s="1">
        <v>2026</v>
      </c>
      <c r="B546" s="1">
        <v>1</v>
      </c>
      <c r="C546" s="2">
        <v>46034</v>
      </c>
      <c r="D546" s="1">
        <v>225182</v>
      </c>
      <c r="E546" s="1" t="s">
        <v>58</v>
      </c>
      <c r="F546" s="1" t="s">
        <v>62</v>
      </c>
      <c r="G546" s="1" t="s">
        <v>71</v>
      </c>
      <c r="H546" s="1" t="s">
        <v>53</v>
      </c>
      <c r="I546" s="3">
        <v>83899920.5</v>
      </c>
      <c r="J546" s="1" t="s">
        <v>17</v>
      </c>
      <c r="K546" s="1">
        <v>1</v>
      </c>
      <c r="L546" s="35">
        <f>InventoryTY[[#This Row],[Landed Cost]]*InventoryTY[[#This Row],[Inventory Qty]]</f>
        <v>83899920.5</v>
      </c>
    </row>
    <row r="547" spans="1:12" x14ac:dyDescent="0.25">
      <c r="A547" s="1">
        <v>2026</v>
      </c>
      <c r="B547" s="1">
        <v>1</v>
      </c>
      <c r="C547" s="2">
        <v>46034</v>
      </c>
      <c r="D547" s="1">
        <v>225183</v>
      </c>
      <c r="E547" s="1" t="s">
        <v>58</v>
      </c>
      <c r="F547" s="1" t="s">
        <v>62</v>
      </c>
      <c r="G547" s="1" t="s">
        <v>71</v>
      </c>
      <c r="H547" s="1" t="s">
        <v>43</v>
      </c>
      <c r="I547" s="3">
        <v>31397186</v>
      </c>
      <c r="J547" s="1" t="s">
        <v>17</v>
      </c>
      <c r="K547" s="1">
        <v>1</v>
      </c>
      <c r="L547" s="35">
        <f>InventoryTY[[#This Row],[Landed Cost]]*InventoryTY[[#This Row],[Inventory Qty]]</f>
        <v>31397186</v>
      </c>
    </row>
    <row r="548" spans="1:12" x14ac:dyDescent="0.25">
      <c r="A548" s="1">
        <v>2026</v>
      </c>
      <c r="B548" s="1">
        <v>1</v>
      </c>
      <c r="C548" s="2">
        <v>46034</v>
      </c>
      <c r="D548" s="1">
        <v>225184</v>
      </c>
      <c r="E548" s="1" t="s">
        <v>58</v>
      </c>
      <c r="F548" s="1" t="s">
        <v>62</v>
      </c>
      <c r="G548" s="1" t="s">
        <v>71</v>
      </c>
      <c r="H548" s="1" t="s">
        <v>43</v>
      </c>
      <c r="I548" s="3">
        <v>31858007</v>
      </c>
      <c r="J548" s="1" t="s">
        <v>15</v>
      </c>
      <c r="K548" s="1">
        <v>1</v>
      </c>
      <c r="L548" s="35">
        <f>InventoryTY[[#This Row],[Landed Cost]]*InventoryTY[[#This Row],[Inventory Qty]]</f>
        <v>31858007</v>
      </c>
    </row>
    <row r="549" spans="1:12" x14ac:dyDescent="0.25">
      <c r="A549" s="1">
        <v>2026</v>
      </c>
      <c r="B549" s="1">
        <v>1</v>
      </c>
      <c r="C549" s="2">
        <v>46034</v>
      </c>
      <c r="D549" s="1">
        <v>225185</v>
      </c>
      <c r="E549" s="1" t="s">
        <v>58</v>
      </c>
      <c r="F549" s="1" t="s">
        <v>62</v>
      </c>
      <c r="G549" s="1" t="s">
        <v>71</v>
      </c>
      <c r="H549" s="1" t="s">
        <v>34</v>
      </c>
      <c r="I549" s="3">
        <v>22334399</v>
      </c>
      <c r="J549" s="1" t="s">
        <v>17</v>
      </c>
      <c r="K549" s="1">
        <v>1</v>
      </c>
      <c r="L549" s="35">
        <f>InventoryTY[[#This Row],[Landed Cost]]*InventoryTY[[#This Row],[Inventory Qty]]</f>
        <v>22334399</v>
      </c>
    </row>
    <row r="550" spans="1:12" x14ac:dyDescent="0.25">
      <c r="A550" s="1">
        <v>2026</v>
      </c>
      <c r="B550" s="1">
        <v>1</v>
      </c>
      <c r="C550" s="2">
        <v>46034</v>
      </c>
      <c r="D550" s="1">
        <v>225186</v>
      </c>
      <c r="E550" s="1" t="s">
        <v>58</v>
      </c>
      <c r="F550" s="1" t="s">
        <v>62</v>
      </c>
      <c r="G550" s="1" t="s">
        <v>71</v>
      </c>
      <c r="H550" s="1" t="s">
        <v>43</v>
      </c>
      <c r="I550" s="3">
        <v>31858007</v>
      </c>
      <c r="J550" s="1" t="s">
        <v>17</v>
      </c>
      <c r="K550" s="1">
        <v>1</v>
      </c>
      <c r="L550" s="35">
        <f>InventoryTY[[#This Row],[Landed Cost]]*InventoryTY[[#This Row],[Inventory Qty]]</f>
        <v>31858007</v>
      </c>
    </row>
    <row r="551" spans="1:12" x14ac:dyDescent="0.25">
      <c r="A551" s="1">
        <v>2026</v>
      </c>
      <c r="B551" s="1">
        <v>1</v>
      </c>
      <c r="C551" s="2">
        <v>46034</v>
      </c>
      <c r="D551" s="1">
        <v>225187</v>
      </c>
      <c r="E551" s="1" t="s">
        <v>58</v>
      </c>
      <c r="F551" s="1" t="s">
        <v>62</v>
      </c>
      <c r="G551" s="1" t="s">
        <v>71</v>
      </c>
      <c r="H551" s="1" t="s">
        <v>37</v>
      </c>
      <c r="I551" s="3">
        <v>25160759</v>
      </c>
      <c r="J551" s="1" t="s">
        <v>15</v>
      </c>
      <c r="K551" s="1">
        <v>1</v>
      </c>
      <c r="L551" s="35">
        <f>InventoryTY[[#This Row],[Landed Cost]]*InventoryTY[[#This Row],[Inventory Qty]]</f>
        <v>25160759</v>
      </c>
    </row>
    <row r="552" spans="1:12" x14ac:dyDescent="0.25">
      <c r="A552" s="1">
        <v>2026</v>
      </c>
      <c r="B552" s="1">
        <v>1</v>
      </c>
      <c r="C552" s="2">
        <v>46034</v>
      </c>
      <c r="D552" s="1">
        <v>225188</v>
      </c>
      <c r="E552" s="1" t="s">
        <v>58</v>
      </c>
      <c r="F552" s="1" t="s">
        <v>62</v>
      </c>
      <c r="G552" s="1" t="s">
        <v>71</v>
      </c>
      <c r="H552" s="1" t="s">
        <v>34</v>
      </c>
      <c r="I552" s="3">
        <v>46942174</v>
      </c>
      <c r="J552" s="1" t="s">
        <v>17</v>
      </c>
      <c r="K552" s="1">
        <v>1</v>
      </c>
      <c r="L552" s="35">
        <f>InventoryTY[[#This Row],[Landed Cost]]*InventoryTY[[#This Row],[Inventory Qty]]</f>
        <v>46942174</v>
      </c>
    </row>
    <row r="553" spans="1:12" x14ac:dyDescent="0.25">
      <c r="A553" s="1">
        <v>2026</v>
      </c>
      <c r="B553" s="1">
        <v>1</v>
      </c>
      <c r="C553" s="2">
        <v>46034</v>
      </c>
      <c r="D553" s="1">
        <v>225189</v>
      </c>
      <c r="E553" s="1" t="s">
        <v>58</v>
      </c>
      <c r="F553" s="1" t="s">
        <v>62</v>
      </c>
      <c r="G553" s="1" t="s">
        <v>71</v>
      </c>
      <c r="H553" s="1" t="s">
        <v>37</v>
      </c>
      <c r="I553" s="3">
        <v>89706250</v>
      </c>
      <c r="J553" s="1" t="s">
        <v>17</v>
      </c>
      <c r="K553" s="1">
        <v>1</v>
      </c>
      <c r="L553" s="35">
        <f>InventoryTY[[#This Row],[Landed Cost]]*InventoryTY[[#This Row],[Inventory Qty]]</f>
        <v>89706250</v>
      </c>
    </row>
    <row r="554" spans="1:12" x14ac:dyDescent="0.25">
      <c r="A554" s="1">
        <v>2026</v>
      </c>
      <c r="B554" s="1">
        <v>1</v>
      </c>
      <c r="C554" s="2">
        <v>46034</v>
      </c>
      <c r="D554" s="1">
        <v>225190</v>
      </c>
      <c r="E554" s="1" t="s">
        <v>58</v>
      </c>
      <c r="F554" s="1" t="s">
        <v>62</v>
      </c>
      <c r="G554" s="1" t="s">
        <v>71</v>
      </c>
      <c r="H554" s="1" t="s">
        <v>43</v>
      </c>
      <c r="I554" s="3">
        <v>87801526</v>
      </c>
      <c r="J554" s="1" t="s">
        <v>17</v>
      </c>
      <c r="K554" s="1">
        <v>1</v>
      </c>
      <c r="L554" s="35">
        <f>InventoryTY[[#This Row],[Landed Cost]]*InventoryTY[[#This Row],[Inventory Qty]]</f>
        <v>87801526</v>
      </c>
    </row>
    <row r="555" spans="1:12" x14ac:dyDescent="0.25">
      <c r="A555" s="1">
        <v>2026</v>
      </c>
      <c r="B555" s="1">
        <v>1</v>
      </c>
      <c r="C555" s="2">
        <v>46034</v>
      </c>
      <c r="D555" s="1">
        <v>225191</v>
      </c>
      <c r="E555" s="1" t="s">
        <v>58</v>
      </c>
      <c r="F555" s="1" t="s">
        <v>62</v>
      </c>
      <c r="G555" s="1" t="s">
        <v>71</v>
      </c>
      <c r="H555" s="1" t="s">
        <v>53</v>
      </c>
      <c r="I555" s="3">
        <v>77079787</v>
      </c>
      <c r="J555" s="1" t="s">
        <v>17</v>
      </c>
      <c r="K555" s="1">
        <v>1</v>
      </c>
      <c r="L555" s="35">
        <f>InventoryTY[[#This Row],[Landed Cost]]*InventoryTY[[#This Row],[Inventory Qty]]</f>
        <v>77079787</v>
      </c>
    </row>
    <row r="556" spans="1:12" x14ac:dyDescent="0.25">
      <c r="A556" s="1">
        <v>2026</v>
      </c>
      <c r="B556" s="1">
        <v>1</v>
      </c>
      <c r="C556" s="2">
        <v>46034</v>
      </c>
      <c r="D556" s="1">
        <v>225192</v>
      </c>
      <c r="E556" s="1" t="s">
        <v>58</v>
      </c>
      <c r="F556" s="1" t="s">
        <v>62</v>
      </c>
      <c r="G556" s="1" t="s">
        <v>71</v>
      </c>
      <c r="H556" s="1" t="s">
        <v>37</v>
      </c>
      <c r="I556" s="3">
        <v>115204944</v>
      </c>
      <c r="J556" s="1" t="s">
        <v>17</v>
      </c>
      <c r="K556" s="1">
        <v>1</v>
      </c>
      <c r="L556" s="35">
        <f>InventoryTY[[#This Row],[Landed Cost]]*InventoryTY[[#This Row],[Inventory Qty]]</f>
        <v>115204944</v>
      </c>
    </row>
    <row r="557" spans="1:12" x14ac:dyDescent="0.25">
      <c r="A557" s="1">
        <v>2026</v>
      </c>
      <c r="B557" s="1">
        <v>1</v>
      </c>
      <c r="C557" s="2">
        <v>46034</v>
      </c>
      <c r="D557" s="1">
        <v>225193</v>
      </c>
      <c r="E557" s="1" t="s">
        <v>58</v>
      </c>
      <c r="F557" s="1" t="s">
        <v>62</v>
      </c>
      <c r="G557" s="1" t="s">
        <v>71</v>
      </c>
      <c r="H557" s="1" t="s">
        <v>34</v>
      </c>
      <c r="I557" s="3">
        <v>63347358</v>
      </c>
      <c r="J557" s="1" t="s">
        <v>17</v>
      </c>
      <c r="K557" s="1">
        <v>1</v>
      </c>
      <c r="L557" s="35">
        <f>InventoryTY[[#This Row],[Landed Cost]]*InventoryTY[[#This Row],[Inventory Qty]]</f>
        <v>63347358</v>
      </c>
    </row>
    <row r="558" spans="1:12" x14ac:dyDescent="0.25">
      <c r="A558" s="1">
        <v>2026</v>
      </c>
      <c r="B558" s="1">
        <v>1</v>
      </c>
      <c r="C558" s="2">
        <v>46034</v>
      </c>
      <c r="D558" s="1">
        <v>225194</v>
      </c>
      <c r="E558" s="1" t="s">
        <v>58</v>
      </c>
      <c r="F558" s="1" t="s">
        <v>62</v>
      </c>
      <c r="G558" s="1" t="s">
        <v>71</v>
      </c>
      <c r="H558" s="1" t="s">
        <v>43</v>
      </c>
      <c r="I558" s="3">
        <v>34100664</v>
      </c>
      <c r="J558" s="1" t="s">
        <v>17</v>
      </c>
      <c r="K558" s="1">
        <v>1</v>
      </c>
      <c r="L558" s="35">
        <f>InventoryTY[[#This Row],[Landed Cost]]*InventoryTY[[#This Row],[Inventory Qty]]</f>
        <v>34100664</v>
      </c>
    </row>
    <row r="559" spans="1:12" x14ac:dyDescent="0.25">
      <c r="A559" s="1">
        <v>2026</v>
      </c>
      <c r="B559" s="1">
        <v>1</v>
      </c>
      <c r="C559" s="2">
        <v>46034</v>
      </c>
      <c r="D559" s="1">
        <v>225198</v>
      </c>
      <c r="E559" s="1" t="s">
        <v>44</v>
      </c>
      <c r="F559" s="1" t="s">
        <v>62</v>
      </c>
      <c r="G559" s="1" t="s">
        <v>71</v>
      </c>
      <c r="H559" s="1" t="s">
        <v>43</v>
      </c>
      <c r="I559" s="3">
        <v>132721875.00000001</v>
      </c>
      <c r="J559" s="1" t="s">
        <v>17</v>
      </c>
      <c r="K559" s="1">
        <v>1</v>
      </c>
      <c r="L559" s="35">
        <f>InventoryTY[[#This Row],[Landed Cost]]*InventoryTY[[#This Row],[Inventory Qty]]</f>
        <v>132721875.00000001</v>
      </c>
    </row>
    <row r="560" spans="1:12" x14ac:dyDescent="0.25">
      <c r="A560" s="1">
        <v>2026</v>
      </c>
      <c r="B560" s="1">
        <v>1</v>
      </c>
      <c r="C560" s="2">
        <v>46034</v>
      </c>
      <c r="D560" s="1">
        <v>225199</v>
      </c>
      <c r="E560" s="1" t="s">
        <v>44</v>
      </c>
      <c r="F560" s="1" t="s">
        <v>62</v>
      </c>
      <c r="G560" s="1" t="s">
        <v>71</v>
      </c>
      <c r="H560" s="1" t="s">
        <v>37</v>
      </c>
      <c r="I560" s="3">
        <v>310365000</v>
      </c>
      <c r="J560" s="1" t="s">
        <v>17</v>
      </c>
      <c r="K560" s="1">
        <v>1</v>
      </c>
      <c r="L560" s="35">
        <f>InventoryTY[[#This Row],[Landed Cost]]*InventoryTY[[#This Row],[Inventory Qty]]</f>
        <v>310365000</v>
      </c>
    </row>
    <row r="561" spans="1:12" x14ac:dyDescent="0.25">
      <c r="A561" s="1">
        <v>2026</v>
      </c>
      <c r="B561" s="1">
        <v>1</v>
      </c>
      <c r="C561" s="2">
        <v>46034</v>
      </c>
      <c r="D561" s="1">
        <v>225202</v>
      </c>
      <c r="E561" s="1" t="s">
        <v>44</v>
      </c>
      <c r="F561" s="1" t="s">
        <v>62</v>
      </c>
      <c r="G561" s="1" t="s">
        <v>71</v>
      </c>
      <c r="H561" s="1" t="s">
        <v>43</v>
      </c>
      <c r="I561" s="3">
        <v>213716250.00000003</v>
      </c>
      <c r="J561" s="1" t="s">
        <v>17</v>
      </c>
      <c r="K561" s="1">
        <v>1</v>
      </c>
      <c r="L561" s="35">
        <f>InventoryTY[[#This Row],[Landed Cost]]*InventoryTY[[#This Row],[Inventory Qty]]</f>
        <v>213716250.00000003</v>
      </c>
    </row>
    <row r="562" spans="1:12" x14ac:dyDescent="0.25">
      <c r="A562" s="1">
        <v>2026</v>
      </c>
      <c r="B562" s="1">
        <v>1</v>
      </c>
      <c r="C562" s="2">
        <v>46034</v>
      </c>
      <c r="D562" s="1">
        <v>225204</v>
      </c>
      <c r="E562" s="1" t="s">
        <v>44</v>
      </c>
      <c r="F562" s="1" t="s">
        <v>62</v>
      </c>
      <c r="G562" s="1" t="s">
        <v>71</v>
      </c>
      <c r="H562" s="1" t="s">
        <v>34</v>
      </c>
      <c r="I562" s="3">
        <v>128638125.00000001</v>
      </c>
      <c r="J562" s="1" t="s">
        <v>17</v>
      </c>
      <c r="K562" s="1">
        <v>1</v>
      </c>
      <c r="L562" s="35">
        <f>InventoryTY[[#This Row],[Landed Cost]]*InventoryTY[[#This Row],[Inventory Qty]]</f>
        <v>128638125.00000001</v>
      </c>
    </row>
    <row r="563" spans="1:12" x14ac:dyDescent="0.25">
      <c r="A563" s="1">
        <v>2026</v>
      </c>
      <c r="B563" s="1">
        <v>1</v>
      </c>
      <c r="C563" s="2">
        <v>46034</v>
      </c>
      <c r="D563" s="1">
        <v>225205</v>
      </c>
      <c r="E563" s="1" t="s">
        <v>44</v>
      </c>
      <c r="F563" s="1" t="s">
        <v>62</v>
      </c>
      <c r="G563" s="1" t="s">
        <v>71</v>
      </c>
      <c r="H563" s="1" t="s">
        <v>43</v>
      </c>
      <c r="I563" s="3">
        <v>170156250</v>
      </c>
      <c r="J563" s="1" t="s">
        <v>17</v>
      </c>
      <c r="K563" s="1">
        <v>1</v>
      </c>
      <c r="L563" s="35">
        <f>InventoryTY[[#This Row],[Landed Cost]]*InventoryTY[[#This Row],[Inventory Qty]]</f>
        <v>170156250</v>
      </c>
    </row>
    <row r="564" spans="1:12" x14ac:dyDescent="0.25">
      <c r="A564" s="1">
        <v>2026</v>
      </c>
      <c r="B564" s="1">
        <v>1</v>
      </c>
      <c r="C564" s="2">
        <v>46034</v>
      </c>
      <c r="D564" s="1">
        <v>225206</v>
      </c>
      <c r="E564" s="1" t="s">
        <v>44</v>
      </c>
      <c r="F564" s="1" t="s">
        <v>62</v>
      </c>
      <c r="G564" s="1" t="s">
        <v>71</v>
      </c>
      <c r="H564" s="1" t="s">
        <v>34</v>
      </c>
      <c r="I564" s="3">
        <v>114345000.00000001</v>
      </c>
      <c r="J564" s="1" t="s">
        <v>15</v>
      </c>
      <c r="K564" s="1">
        <v>1</v>
      </c>
      <c r="L564" s="35">
        <f>InventoryTY[[#This Row],[Landed Cost]]*InventoryTY[[#This Row],[Inventory Qty]]</f>
        <v>114345000.00000001</v>
      </c>
    </row>
    <row r="565" spans="1:12" x14ac:dyDescent="0.25">
      <c r="A565" s="1">
        <v>2026</v>
      </c>
      <c r="B565" s="1">
        <v>1</v>
      </c>
      <c r="C565" s="2">
        <v>46034</v>
      </c>
      <c r="D565" s="1">
        <v>225208</v>
      </c>
      <c r="E565" s="1" t="s">
        <v>44</v>
      </c>
      <c r="F565" s="1" t="s">
        <v>62</v>
      </c>
      <c r="G565" s="1" t="s">
        <v>71</v>
      </c>
      <c r="H565" s="1" t="s">
        <v>34</v>
      </c>
      <c r="I565" s="3">
        <v>191936250.00000003</v>
      </c>
      <c r="J565" s="1" t="s">
        <v>17</v>
      </c>
      <c r="K565" s="1">
        <v>1</v>
      </c>
      <c r="L565" s="35">
        <f>InventoryTY[[#This Row],[Landed Cost]]*InventoryTY[[#This Row],[Inventory Qty]]</f>
        <v>191936250.00000003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9439-0538-4E54-839C-42F77395132A}">
  <sheetPr>
    <tabColor rgb="FFFF0000"/>
  </sheetPr>
  <dimension ref="A1"/>
  <sheetViews>
    <sheetView workbookViewId="0">
      <selection activeCell="A2" sqref="A2"/>
    </sheetView>
  </sheetViews>
  <sheetFormatPr defaultRowHeight="15" x14ac:dyDescent="0.25"/>
  <cols>
    <col min="1" max="1" width="20" bestFit="1" customWidth="1"/>
  </cols>
  <sheetData>
    <row r="1" spans="1:1" x14ac:dyDescent="0.25">
      <c r="A1" t="s">
        <v>2700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522C-5547-4EAB-9175-EF5902B1B8E8}">
  <sheetPr>
    <tabColor rgb="FFFFFF00"/>
  </sheetPr>
  <dimension ref="A1:C87"/>
  <sheetViews>
    <sheetView topLeftCell="A59" workbookViewId="0">
      <selection activeCell="AJ113149" sqref="AJ113149"/>
    </sheetView>
  </sheetViews>
  <sheetFormatPr defaultRowHeight="15" x14ac:dyDescent="0.25"/>
  <cols>
    <col min="1" max="1" width="7" customWidth="1"/>
    <col min="2" max="2" width="19.5703125" bestFit="1" customWidth="1"/>
  </cols>
  <sheetData>
    <row r="1" spans="1:3" x14ac:dyDescent="0.25">
      <c r="A1" t="s">
        <v>9</v>
      </c>
      <c r="B1" t="s">
        <v>98</v>
      </c>
      <c r="C1" t="s">
        <v>2558</v>
      </c>
    </row>
    <row r="2" spans="1:3" x14ac:dyDescent="0.25">
      <c r="A2" t="s">
        <v>15</v>
      </c>
      <c r="B2" t="s">
        <v>106</v>
      </c>
      <c r="C2" t="s">
        <v>2556</v>
      </c>
    </row>
    <row r="3" spans="1:3" x14ac:dyDescent="0.25">
      <c r="A3" t="s">
        <v>15</v>
      </c>
      <c r="B3" t="s">
        <v>127</v>
      </c>
      <c r="C3" t="s">
        <v>2557</v>
      </c>
    </row>
    <row r="4" spans="1:3" x14ac:dyDescent="0.25">
      <c r="A4" t="s">
        <v>15</v>
      </c>
      <c r="B4" t="s">
        <v>2004</v>
      </c>
      <c r="C4" t="s">
        <v>2557</v>
      </c>
    </row>
    <row r="5" spans="1:3" x14ac:dyDescent="0.25">
      <c r="A5" t="s">
        <v>15</v>
      </c>
      <c r="B5" t="s">
        <v>286</v>
      </c>
      <c r="C5" t="s">
        <v>2557</v>
      </c>
    </row>
    <row r="6" spans="1:3" x14ac:dyDescent="0.25">
      <c r="A6" t="s">
        <v>15</v>
      </c>
      <c r="B6" t="s">
        <v>112</v>
      </c>
      <c r="C6" t="s">
        <v>2557</v>
      </c>
    </row>
    <row r="7" spans="1:3" x14ac:dyDescent="0.25">
      <c r="A7" t="s">
        <v>15</v>
      </c>
      <c r="B7" t="s">
        <v>270</v>
      </c>
      <c r="C7" t="s">
        <v>2557</v>
      </c>
    </row>
    <row r="8" spans="1:3" x14ac:dyDescent="0.25">
      <c r="A8" t="s">
        <v>15</v>
      </c>
      <c r="B8" t="s">
        <v>109</v>
      </c>
      <c r="C8" t="s">
        <v>2556</v>
      </c>
    </row>
    <row r="9" spans="1:3" x14ac:dyDescent="0.25">
      <c r="A9" t="s">
        <v>15</v>
      </c>
      <c r="B9" t="s">
        <v>111</v>
      </c>
      <c r="C9" t="s">
        <v>2557</v>
      </c>
    </row>
    <row r="10" spans="1:3" x14ac:dyDescent="0.25">
      <c r="A10" t="s">
        <v>15</v>
      </c>
      <c r="B10" t="s">
        <v>136</v>
      </c>
      <c r="C10" t="s">
        <v>2556</v>
      </c>
    </row>
    <row r="11" spans="1:3" x14ac:dyDescent="0.25">
      <c r="A11" t="s">
        <v>15</v>
      </c>
      <c r="B11" t="s">
        <v>885</v>
      </c>
      <c r="C11" t="s">
        <v>2557</v>
      </c>
    </row>
    <row r="12" spans="1:3" x14ac:dyDescent="0.25">
      <c r="A12" t="s">
        <v>15</v>
      </c>
      <c r="B12" t="s">
        <v>299</v>
      </c>
      <c r="C12" t="s">
        <v>2557</v>
      </c>
    </row>
    <row r="13" spans="1:3" x14ac:dyDescent="0.25">
      <c r="A13" t="s">
        <v>15</v>
      </c>
      <c r="B13" t="s">
        <v>1221</v>
      </c>
      <c r="C13" t="s">
        <v>2557</v>
      </c>
    </row>
    <row r="14" spans="1:3" x14ac:dyDescent="0.25">
      <c r="A14" t="s">
        <v>15</v>
      </c>
      <c r="B14" t="s">
        <v>1437</v>
      </c>
      <c r="C14" t="s">
        <v>2557</v>
      </c>
    </row>
    <row r="15" spans="1:3" x14ac:dyDescent="0.25">
      <c r="A15" t="s">
        <v>15</v>
      </c>
      <c r="B15" t="s">
        <v>138</v>
      </c>
      <c r="C15" t="s">
        <v>2557</v>
      </c>
    </row>
    <row r="16" spans="1:3" x14ac:dyDescent="0.25">
      <c r="A16" t="s">
        <v>15</v>
      </c>
      <c r="B16" t="s">
        <v>2243</v>
      </c>
      <c r="C16" t="s">
        <v>2556</v>
      </c>
    </row>
    <row r="17" spans="1:3" x14ac:dyDescent="0.25">
      <c r="A17" t="s">
        <v>15</v>
      </c>
      <c r="B17" t="s">
        <v>1665</v>
      </c>
      <c r="C17" t="s">
        <v>2557</v>
      </c>
    </row>
    <row r="18" spans="1:3" x14ac:dyDescent="0.25">
      <c r="A18" t="s">
        <v>15</v>
      </c>
      <c r="B18" t="s">
        <v>1978</v>
      </c>
      <c r="C18" t="s">
        <v>2556</v>
      </c>
    </row>
    <row r="19" spans="1:3" x14ac:dyDescent="0.25">
      <c r="A19" t="s">
        <v>15</v>
      </c>
      <c r="B19" t="s">
        <v>1970</v>
      </c>
      <c r="C19" t="s">
        <v>2556</v>
      </c>
    </row>
    <row r="20" spans="1:3" x14ac:dyDescent="0.25">
      <c r="A20" t="s">
        <v>15</v>
      </c>
      <c r="B20" t="s">
        <v>2340</v>
      </c>
      <c r="C20" t="s">
        <v>2556</v>
      </c>
    </row>
    <row r="21" spans="1:3" x14ac:dyDescent="0.25">
      <c r="A21" t="s">
        <v>15</v>
      </c>
      <c r="B21" t="s">
        <v>1971</v>
      </c>
      <c r="C21" t="s">
        <v>2556</v>
      </c>
    </row>
    <row r="22" spans="1:3" x14ac:dyDescent="0.25">
      <c r="A22" t="s">
        <v>15</v>
      </c>
      <c r="B22" t="s">
        <v>253</v>
      </c>
      <c r="C22" t="s">
        <v>2557</v>
      </c>
    </row>
    <row r="23" spans="1:3" x14ac:dyDescent="0.25">
      <c r="A23" t="s">
        <v>15</v>
      </c>
      <c r="B23" t="s">
        <v>352</v>
      </c>
      <c r="C23" t="s">
        <v>2557</v>
      </c>
    </row>
    <row r="24" spans="1:3" x14ac:dyDescent="0.25">
      <c r="A24" t="s">
        <v>15</v>
      </c>
      <c r="B24" t="s">
        <v>2445</v>
      </c>
      <c r="C24" t="s">
        <v>2556</v>
      </c>
    </row>
    <row r="25" spans="1:3" x14ac:dyDescent="0.25">
      <c r="A25" t="s">
        <v>15</v>
      </c>
      <c r="B25" t="s">
        <v>264</v>
      </c>
      <c r="C25" t="s">
        <v>2557</v>
      </c>
    </row>
    <row r="26" spans="1:3" x14ac:dyDescent="0.25">
      <c r="A26" t="s">
        <v>15</v>
      </c>
      <c r="B26" t="s">
        <v>350</v>
      </c>
      <c r="C26" t="s">
        <v>2557</v>
      </c>
    </row>
    <row r="27" spans="1:3" x14ac:dyDescent="0.25">
      <c r="A27" t="s">
        <v>15</v>
      </c>
      <c r="B27" t="s">
        <v>278</v>
      </c>
      <c r="C27" t="s">
        <v>2556</v>
      </c>
    </row>
    <row r="28" spans="1:3" x14ac:dyDescent="0.25">
      <c r="A28" t="s">
        <v>15</v>
      </c>
      <c r="B28" t="s">
        <v>117</v>
      </c>
      <c r="C28" t="s">
        <v>2557</v>
      </c>
    </row>
    <row r="29" spans="1:3" x14ac:dyDescent="0.25">
      <c r="A29" t="s">
        <v>15</v>
      </c>
      <c r="B29" t="s">
        <v>2082</v>
      </c>
      <c r="C29" t="s">
        <v>2556</v>
      </c>
    </row>
    <row r="30" spans="1:3" x14ac:dyDescent="0.25">
      <c r="A30" t="s">
        <v>15</v>
      </c>
      <c r="B30" t="s">
        <v>2065</v>
      </c>
      <c r="C30" t="s">
        <v>2557</v>
      </c>
    </row>
    <row r="31" spans="1:3" x14ac:dyDescent="0.25">
      <c r="A31" t="s">
        <v>15</v>
      </c>
      <c r="B31" t="s">
        <v>1973</v>
      </c>
      <c r="C31" t="s">
        <v>2556</v>
      </c>
    </row>
    <row r="32" spans="1:3" x14ac:dyDescent="0.25">
      <c r="A32" t="s">
        <v>15</v>
      </c>
      <c r="B32" t="s">
        <v>604</v>
      </c>
      <c r="C32" t="s">
        <v>2557</v>
      </c>
    </row>
    <row r="33" spans="1:3" x14ac:dyDescent="0.25">
      <c r="A33" t="s">
        <v>15</v>
      </c>
      <c r="B33" t="s">
        <v>921</v>
      </c>
      <c r="C33" t="s">
        <v>2557</v>
      </c>
    </row>
    <row r="34" spans="1:3" x14ac:dyDescent="0.25">
      <c r="A34" t="s">
        <v>17</v>
      </c>
      <c r="B34" t="s">
        <v>827</v>
      </c>
      <c r="C34" t="s">
        <v>2557</v>
      </c>
    </row>
    <row r="35" spans="1:3" x14ac:dyDescent="0.25">
      <c r="A35" t="s">
        <v>17</v>
      </c>
      <c r="B35" t="s">
        <v>534</v>
      </c>
      <c r="C35" t="s">
        <v>2557</v>
      </c>
    </row>
    <row r="36" spans="1:3" x14ac:dyDescent="0.25">
      <c r="A36" t="s">
        <v>17</v>
      </c>
      <c r="B36" t="s">
        <v>170</v>
      </c>
      <c r="C36" t="s">
        <v>2556</v>
      </c>
    </row>
    <row r="37" spans="1:3" x14ac:dyDescent="0.25">
      <c r="A37" t="s">
        <v>17</v>
      </c>
      <c r="B37" t="s">
        <v>181</v>
      </c>
      <c r="C37" t="s">
        <v>2557</v>
      </c>
    </row>
    <row r="38" spans="1:3" x14ac:dyDescent="0.25">
      <c r="A38" t="s">
        <v>17</v>
      </c>
      <c r="B38" t="s">
        <v>127</v>
      </c>
      <c r="C38" t="s">
        <v>2556</v>
      </c>
    </row>
    <row r="39" spans="1:3" x14ac:dyDescent="0.25">
      <c r="A39" t="s">
        <v>17</v>
      </c>
      <c r="B39" t="s">
        <v>273</v>
      </c>
      <c r="C39" t="s">
        <v>2557</v>
      </c>
    </row>
    <row r="40" spans="1:3" x14ac:dyDescent="0.25">
      <c r="A40" t="s">
        <v>17</v>
      </c>
      <c r="B40" t="s">
        <v>846</v>
      </c>
      <c r="C40" t="s">
        <v>2556</v>
      </c>
    </row>
    <row r="41" spans="1:3" x14ac:dyDescent="0.25">
      <c r="A41" t="s">
        <v>17</v>
      </c>
      <c r="B41" t="s">
        <v>696</v>
      </c>
      <c r="C41" t="s">
        <v>2557</v>
      </c>
    </row>
    <row r="42" spans="1:3" x14ac:dyDescent="0.25">
      <c r="A42" t="s">
        <v>17</v>
      </c>
      <c r="B42" t="s">
        <v>326</v>
      </c>
      <c r="C42" t="s">
        <v>2557</v>
      </c>
    </row>
    <row r="43" spans="1:3" x14ac:dyDescent="0.25">
      <c r="A43" t="s">
        <v>17</v>
      </c>
      <c r="B43" t="s">
        <v>286</v>
      </c>
      <c r="C43" t="s">
        <v>2557</v>
      </c>
    </row>
    <row r="44" spans="1:3" x14ac:dyDescent="0.25">
      <c r="A44" t="s">
        <v>17</v>
      </c>
      <c r="B44" t="s">
        <v>356</v>
      </c>
      <c r="C44" t="s">
        <v>2557</v>
      </c>
    </row>
    <row r="45" spans="1:3" x14ac:dyDescent="0.25">
      <c r="A45" t="s">
        <v>17</v>
      </c>
      <c r="B45" t="s">
        <v>147</v>
      </c>
      <c r="C45" t="s">
        <v>2557</v>
      </c>
    </row>
    <row r="46" spans="1:3" x14ac:dyDescent="0.25">
      <c r="A46" t="s">
        <v>17</v>
      </c>
      <c r="B46" t="s">
        <v>1144</v>
      </c>
      <c r="C46" t="s">
        <v>2556</v>
      </c>
    </row>
    <row r="47" spans="1:3" x14ac:dyDescent="0.25">
      <c r="A47" t="s">
        <v>17</v>
      </c>
      <c r="B47" t="s">
        <v>1338</v>
      </c>
      <c r="C47" t="s">
        <v>2556</v>
      </c>
    </row>
    <row r="48" spans="1:3" x14ac:dyDescent="0.25">
      <c r="A48" t="s">
        <v>17</v>
      </c>
      <c r="B48" t="s">
        <v>1831</v>
      </c>
      <c r="C48" t="s">
        <v>2556</v>
      </c>
    </row>
    <row r="49" spans="1:3" x14ac:dyDescent="0.25">
      <c r="A49" t="s">
        <v>17</v>
      </c>
      <c r="B49" t="s">
        <v>111</v>
      </c>
      <c r="C49" t="s">
        <v>2556</v>
      </c>
    </row>
    <row r="50" spans="1:3" x14ac:dyDescent="0.25">
      <c r="A50" t="s">
        <v>17</v>
      </c>
      <c r="B50" t="s">
        <v>125</v>
      </c>
      <c r="C50" t="s">
        <v>2556</v>
      </c>
    </row>
    <row r="51" spans="1:3" x14ac:dyDescent="0.25">
      <c r="A51" t="s">
        <v>17</v>
      </c>
      <c r="B51" t="s">
        <v>141</v>
      </c>
      <c r="C51" t="s">
        <v>2557</v>
      </c>
    </row>
    <row r="52" spans="1:3" x14ac:dyDescent="0.25">
      <c r="A52" t="s">
        <v>17</v>
      </c>
      <c r="B52" t="s">
        <v>618</v>
      </c>
      <c r="C52" t="s">
        <v>2556</v>
      </c>
    </row>
    <row r="53" spans="1:3" x14ac:dyDescent="0.25">
      <c r="A53" t="s">
        <v>17</v>
      </c>
      <c r="B53" t="s">
        <v>379</v>
      </c>
      <c r="C53" t="s">
        <v>2557</v>
      </c>
    </row>
    <row r="54" spans="1:3" x14ac:dyDescent="0.25">
      <c r="A54" t="s">
        <v>17</v>
      </c>
      <c r="B54" t="s">
        <v>133</v>
      </c>
      <c r="C54" t="s">
        <v>2557</v>
      </c>
    </row>
    <row r="55" spans="1:3" x14ac:dyDescent="0.25">
      <c r="A55" t="s">
        <v>17</v>
      </c>
      <c r="B55" t="s">
        <v>324</v>
      </c>
      <c r="C55" t="s">
        <v>2557</v>
      </c>
    </row>
    <row r="56" spans="1:3" x14ac:dyDescent="0.25">
      <c r="A56" t="s">
        <v>17</v>
      </c>
      <c r="B56" t="s">
        <v>169</v>
      </c>
      <c r="C56" t="s">
        <v>2557</v>
      </c>
    </row>
    <row r="57" spans="1:3" x14ac:dyDescent="0.25">
      <c r="A57" t="s">
        <v>17</v>
      </c>
      <c r="B57" t="s">
        <v>885</v>
      </c>
      <c r="C57" t="s">
        <v>2556</v>
      </c>
    </row>
    <row r="58" spans="1:3" x14ac:dyDescent="0.25">
      <c r="A58" t="s">
        <v>17</v>
      </c>
      <c r="B58" t="s">
        <v>898</v>
      </c>
      <c r="C58" t="s">
        <v>2557</v>
      </c>
    </row>
    <row r="59" spans="1:3" x14ac:dyDescent="0.25">
      <c r="A59" t="s">
        <v>17</v>
      </c>
      <c r="B59" t="s">
        <v>845</v>
      </c>
      <c r="C59" t="s">
        <v>2557</v>
      </c>
    </row>
    <row r="60" spans="1:3" x14ac:dyDescent="0.25">
      <c r="A60" t="s">
        <v>17</v>
      </c>
      <c r="B60" t="s">
        <v>129</v>
      </c>
      <c r="C60" t="s">
        <v>2556</v>
      </c>
    </row>
    <row r="61" spans="1:3" x14ac:dyDescent="0.25">
      <c r="A61" t="s">
        <v>17</v>
      </c>
      <c r="B61" t="s">
        <v>998</v>
      </c>
      <c r="C61" t="s">
        <v>2556</v>
      </c>
    </row>
    <row r="62" spans="1:3" x14ac:dyDescent="0.25">
      <c r="A62" t="s">
        <v>17</v>
      </c>
      <c r="B62" t="s">
        <v>1098</v>
      </c>
      <c r="C62" t="s">
        <v>2557</v>
      </c>
    </row>
    <row r="63" spans="1:3" x14ac:dyDescent="0.25">
      <c r="A63" t="s">
        <v>17</v>
      </c>
      <c r="B63" t="s">
        <v>145</v>
      </c>
      <c r="C63" t="s">
        <v>2557</v>
      </c>
    </row>
    <row r="64" spans="1:3" x14ac:dyDescent="0.25">
      <c r="A64" t="s">
        <v>17</v>
      </c>
      <c r="B64" t="s">
        <v>121</v>
      </c>
      <c r="C64" t="s">
        <v>2556</v>
      </c>
    </row>
    <row r="65" spans="1:3" x14ac:dyDescent="0.25">
      <c r="A65" t="s">
        <v>17</v>
      </c>
      <c r="B65" t="s">
        <v>1752</v>
      </c>
      <c r="C65" t="s">
        <v>2557</v>
      </c>
    </row>
    <row r="66" spans="1:3" x14ac:dyDescent="0.25">
      <c r="A66" t="s">
        <v>17</v>
      </c>
      <c r="B66" t="s">
        <v>113</v>
      </c>
      <c r="C66" t="s">
        <v>2556</v>
      </c>
    </row>
    <row r="67" spans="1:3" x14ac:dyDescent="0.25">
      <c r="A67" t="s">
        <v>17</v>
      </c>
      <c r="B67" t="s">
        <v>2089</v>
      </c>
      <c r="C67" t="s">
        <v>2556</v>
      </c>
    </row>
    <row r="68" spans="1:3" x14ac:dyDescent="0.25">
      <c r="A68" t="s">
        <v>17</v>
      </c>
      <c r="B68" t="s">
        <v>116</v>
      </c>
      <c r="C68" t="s">
        <v>2557</v>
      </c>
    </row>
    <row r="69" spans="1:3" x14ac:dyDescent="0.25">
      <c r="A69" t="s">
        <v>17</v>
      </c>
      <c r="B69" t="s">
        <v>253</v>
      </c>
      <c r="C69" t="s">
        <v>2557</v>
      </c>
    </row>
    <row r="70" spans="1:3" x14ac:dyDescent="0.25">
      <c r="A70" t="s">
        <v>17</v>
      </c>
      <c r="B70" t="s">
        <v>1078</v>
      </c>
      <c r="C70" t="s">
        <v>2557</v>
      </c>
    </row>
    <row r="71" spans="1:3" x14ac:dyDescent="0.25">
      <c r="A71" t="s">
        <v>17</v>
      </c>
      <c r="B71" t="s">
        <v>925</v>
      </c>
      <c r="C71" t="s">
        <v>2557</v>
      </c>
    </row>
    <row r="72" spans="1:3" x14ac:dyDescent="0.25">
      <c r="A72" t="s">
        <v>17</v>
      </c>
      <c r="B72" t="s">
        <v>789</v>
      </c>
      <c r="C72" t="s">
        <v>2556</v>
      </c>
    </row>
    <row r="73" spans="1:3" x14ac:dyDescent="0.25">
      <c r="A73" t="s">
        <v>17</v>
      </c>
      <c r="B73" t="s">
        <v>1146</v>
      </c>
      <c r="C73" t="s">
        <v>2557</v>
      </c>
    </row>
    <row r="74" spans="1:3" x14ac:dyDescent="0.25">
      <c r="A74" t="s">
        <v>17</v>
      </c>
      <c r="B74" t="s">
        <v>540</v>
      </c>
      <c r="C74" t="s">
        <v>2556</v>
      </c>
    </row>
    <row r="75" spans="1:3" x14ac:dyDescent="0.25">
      <c r="A75" t="s">
        <v>17</v>
      </c>
      <c r="B75" t="s">
        <v>117</v>
      </c>
      <c r="C75" t="s">
        <v>2557</v>
      </c>
    </row>
    <row r="76" spans="1:3" x14ac:dyDescent="0.25">
      <c r="A76" t="s">
        <v>17</v>
      </c>
      <c r="B76" t="s">
        <v>142</v>
      </c>
      <c r="C76" t="s">
        <v>2557</v>
      </c>
    </row>
    <row r="77" spans="1:3" x14ac:dyDescent="0.25">
      <c r="A77" t="s">
        <v>17</v>
      </c>
      <c r="B77" t="s">
        <v>139</v>
      </c>
      <c r="C77" t="s">
        <v>2556</v>
      </c>
    </row>
    <row r="78" spans="1:3" x14ac:dyDescent="0.25">
      <c r="A78" t="s">
        <v>17</v>
      </c>
      <c r="B78" t="s">
        <v>132</v>
      </c>
      <c r="C78" t="s">
        <v>2557</v>
      </c>
    </row>
    <row r="79" spans="1:3" x14ac:dyDescent="0.25">
      <c r="A79" t="s">
        <v>17</v>
      </c>
      <c r="B79" t="s">
        <v>752</v>
      </c>
      <c r="C79" t="s">
        <v>2557</v>
      </c>
    </row>
    <row r="80" spans="1:3" x14ac:dyDescent="0.25">
      <c r="A80" t="s">
        <v>17</v>
      </c>
      <c r="B80" t="s">
        <v>126</v>
      </c>
      <c r="C80" t="s">
        <v>2557</v>
      </c>
    </row>
    <row r="81" spans="1:3" x14ac:dyDescent="0.25">
      <c r="A81" t="s">
        <v>17</v>
      </c>
      <c r="B81" t="s">
        <v>162</v>
      </c>
      <c r="C81" t="s">
        <v>2557</v>
      </c>
    </row>
    <row r="82" spans="1:3" x14ac:dyDescent="0.25">
      <c r="A82" t="s">
        <v>17</v>
      </c>
      <c r="B82" t="s">
        <v>255</v>
      </c>
      <c r="C82" t="s">
        <v>2556</v>
      </c>
    </row>
    <row r="83" spans="1:3" x14ac:dyDescent="0.25">
      <c r="A83" t="s">
        <v>17</v>
      </c>
      <c r="B83" t="s">
        <v>2328</v>
      </c>
      <c r="C83" t="s">
        <v>2556</v>
      </c>
    </row>
    <row r="84" spans="1:3" x14ac:dyDescent="0.25">
      <c r="A84" t="s">
        <v>17</v>
      </c>
      <c r="B84" t="s">
        <v>119</v>
      </c>
      <c r="C84" t="s">
        <v>2557</v>
      </c>
    </row>
    <row r="85" spans="1:3" x14ac:dyDescent="0.25">
      <c r="A85" t="s">
        <v>17</v>
      </c>
      <c r="B85" t="s">
        <v>1187</v>
      </c>
      <c r="C85" t="s">
        <v>2557</v>
      </c>
    </row>
    <row r="86" spans="1:3" x14ac:dyDescent="0.25">
      <c r="A86" t="s">
        <v>17</v>
      </c>
      <c r="B86" t="s">
        <v>756</v>
      </c>
      <c r="C86" t="s">
        <v>2557</v>
      </c>
    </row>
    <row r="87" spans="1:3" x14ac:dyDescent="0.25">
      <c r="A87" t="s">
        <v>17</v>
      </c>
      <c r="B87" t="s">
        <v>123</v>
      </c>
      <c r="C87" t="s">
        <v>2556</v>
      </c>
    </row>
  </sheetData>
  <sortState xmlns:xlrd2="http://schemas.microsoft.com/office/spreadsheetml/2017/richdata2" ref="B2:B33">
    <sortCondition ref="B2:B33"/>
  </sortState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5317-E66A-46A0-98DE-E29B30B05A23}">
  <sheetPr>
    <tabColor rgb="FFFFFF00"/>
  </sheetPr>
  <dimension ref="A1:B17"/>
  <sheetViews>
    <sheetView workbookViewId="0">
      <selection activeCell="AJ113149" sqref="AJ113149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9</v>
      </c>
    </row>
    <row r="2" spans="1:2" x14ac:dyDescent="0.25">
      <c r="A2" t="s">
        <v>781</v>
      </c>
      <c r="B2" t="s">
        <v>2550</v>
      </c>
    </row>
    <row r="3" spans="1:2" x14ac:dyDescent="0.25">
      <c r="A3" t="s">
        <v>599</v>
      </c>
      <c r="B3" t="s">
        <v>2550</v>
      </c>
    </row>
    <row r="4" spans="1:2" x14ac:dyDescent="0.25">
      <c r="A4" t="s">
        <v>114</v>
      </c>
      <c r="B4" t="s">
        <v>2550</v>
      </c>
    </row>
    <row r="5" spans="1:2" x14ac:dyDescent="0.25">
      <c r="A5" t="s">
        <v>861</v>
      </c>
      <c r="B5" t="s">
        <v>2550</v>
      </c>
    </row>
    <row r="6" spans="1:2" x14ac:dyDescent="0.25">
      <c r="A6" t="s">
        <v>424</v>
      </c>
      <c r="B6" t="s">
        <v>2550</v>
      </c>
    </row>
    <row r="7" spans="1:2" x14ac:dyDescent="0.25">
      <c r="A7" t="s">
        <v>41</v>
      </c>
      <c r="B7" t="s">
        <v>2550</v>
      </c>
    </row>
    <row r="8" spans="1:2" x14ac:dyDescent="0.25">
      <c r="A8" t="s">
        <v>13</v>
      </c>
      <c r="B8" t="s">
        <v>2549</v>
      </c>
    </row>
    <row r="9" spans="1:2" x14ac:dyDescent="0.25">
      <c r="A9" t="s">
        <v>22</v>
      </c>
      <c r="B9" t="s">
        <v>2550</v>
      </c>
    </row>
    <row r="10" spans="1:2" x14ac:dyDescent="0.25">
      <c r="A10" t="s">
        <v>27</v>
      </c>
      <c r="B10" t="s">
        <v>2549</v>
      </c>
    </row>
    <row r="11" spans="1:2" x14ac:dyDescent="0.25">
      <c r="A11" t="s">
        <v>15</v>
      </c>
      <c r="B11" t="s">
        <v>2549</v>
      </c>
    </row>
    <row r="12" spans="1:2" x14ac:dyDescent="0.25">
      <c r="A12" t="s">
        <v>28</v>
      </c>
      <c r="B12" t="s">
        <v>2549</v>
      </c>
    </row>
    <row r="13" spans="1:2" x14ac:dyDescent="0.25">
      <c r="A13" t="s">
        <v>16</v>
      </c>
      <c r="B13" t="s">
        <v>2550</v>
      </c>
    </row>
    <row r="14" spans="1:2" x14ac:dyDescent="0.25">
      <c r="A14" t="s">
        <v>68</v>
      </c>
      <c r="B14" t="s">
        <v>2549</v>
      </c>
    </row>
    <row r="15" spans="1:2" x14ac:dyDescent="0.25">
      <c r="A15" t="s">
        <v>17</v>
      </c>
      <c r="B15" t="s">
        <v>2549</v>
      </c>
    </row>
    <row r="16" spans="1:2" x14ac:dyDescent="0.25">
      <c r="A16" t="s">
        <v>21</v>
      </c>
      <c r="B16" t="s">
        <v>2549</v>
      </c>
    </row>
    <row r="17" spans="1:2" x14ac:dyDescent="0.25">
      <c r="A17" t="s">
        <v>118</v>
      </c>
      <c r="B17" t="s">
        <v>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 Report</vt:lpstr>
      <vt:lpstr>Sales by Vendor</vt:lpstr>
      <vt:lpstr>Inventory by Vendor</vt:lpstr>
      <vt:lpstr>Inventory by Season</vt:lpstr>
      <vt:lpstr>Associate RHN</vt:lpstr>
      <vt:lpstr>Sales TY</vt:lpstr>
      <vt:lpstr>Inventory TY</vt:lpstr>
      <vt:lpstr>Report date</vt:lpstr>
      <vt:lpstr>Associate Status</vt:lpstr>
      <vt:lpstr>Store lay bao  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Quân GL</dc:creator>
  <cp:lastModifiedBy>Hữu Quân GL</cp:lastModifiedBy>
  <dcterms:created xsi:type="dcterms:W3CDTF">2025-10-04T03:30:10Z</dcterms:created>
  <dcterms:modified xsi:type="dcterms:W3CDTF">2026-01-13T17:07:11Z</dcterms:modified>
</cp:coreProperties>
</file>